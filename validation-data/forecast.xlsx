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namedSheetViews/namedSheetView1.xml" ContentType="application/vnd.ms-excel.namedsheetviews+xml"/>
  <Override PartName="/xl/tables/table11.xml" ContentType="application/vnd.openxmlformats-officedocument.spreadsheetml.table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namedSheetViews/namedSheetView2.xml" ContentType="application/vnd.ms-excel.namedsheetviews+xml"/>
  <Override PartName="/xl/tables/table12.xml" ContentType="application/vnd.openxmlformats-officedocument.spreadsheetml.table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documenttasks/documenttask2.xml" ContentType="application/vnd.ms-excel.documenttasks+xml"/>
  <Override PartName="/xl/tables/table13.xml" ContentType="application/vnd.openxmlformats-officedocument.spreadsheetml.table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documenttasks/documenttask3.xml" ContentType="application/vnd.ms-excel.documenttasks+xml"/>
  <Override PartName="/xl/tables/table14.xml" ContentType="application/vnd.openxmlformats-officedocument.spreadsheetml.table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documenttasks/documenttask4.xml" ContentType="application/vnd.ms-excel.documenttask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nan2.shao\Downloads\"/>
    </mc:Choice>
  </mc:AlternateContent>
  <xr:revisionPtr revIDLastSave="0" documentId="13_ncr:1_{D93A11FE-71F4-49FF-B453-21B1FA106CB5}" xr6:coauthVersionLast="47" xr6:coauthVersionMax="47" xr10:uidLastSave="{00000000-0000-0000-0000-000000000000}"/>
  <bookViews>
    <workbookView xWindow="620" yWindow="1070" windowWidth="18580" windowHeight="9670" tabRatio="889" activeTab="2" xr2:uid="{00000000-000D-0000-FFFF-FFFF00000000}"/>
  </bookViews>
  <sheets>
    <sheet name="Pivot Weekly report" sheetId="58" r:id="rId1"/>
    <sheet name="Fcst Accuracy data" sheetId="87" r:id="rId2"/>
    <sheet name="Conso" sheetId="47" r:id="rId3"/>
    <sheet name="Country-Region" sheetId="88" r:id="rId4"/>
    <sheet name="Instructions" sheetId="21" r:id="rId5"/>
    <sheet name="Nordic" sheetId="50" r:id="rId6"/>
    <sheet name="BeNeLux" sheetId="41" r:id="rId7"/>
    <sheet name="UK" sheetId="43" r:id="rId8"/>
    <sheet name="Spain" sheetId="28" r:id="rId9"/>
    <sheet name="France + CH" sheetId="40" r:id="rId10"/>
    <sheet name="Central &amp; East EU" sheetId="39" r:id="rId11"/>
    <sheet name="ITaly" sheetId="44" r:id="rId12"/>
    <sheet name="ITaly-Backup" sheetId="94" state="hidden" r:id="rId13"/>
    <sheet name="DACH-Backup" sheetId="93" state="hidden" r:id="rId14"/>
    <sheet name="DACH" sheetId="42" r:id="rId15"/>
    <sheet name="Product List" sheetId="19" r:id="rId16"/>
    <sheet name="Customer List" sheetId="24" r:id="rId17"/>
    <sheet name="Stages and Status" sheetId="33" r:id="rId18"/>
    <sheet name="Central &amp; East EU-Backup" sheetId="95" state="hidden" r:id="rId19"/>
    <sheet name="Nordic-backup" sheetId="92" state="hidden" r:id="rId20"/>
    <sheet name="BeNeLux -backup" sheetId="91" state="hidden" r:id="rId21"/>
    <sheet name="Spain-bakcup" sheetId="90" state="hidden" r:id="rId22"/>
    <sheet name="France + CH-backup" sheetId="89" state="hidden" r:id="rId23"/>
    <sheet name="backup italy" sheetId="85" r:id="rId24"/>
  </sheets>
  <definedNames>
    <definedName name="_Fill" hidden="1">#REF!</definedName>
    <definedName name="_xlnm._FilterDatabase" localSheetId="6" hidden="1">BeNeLux!#REF!</definedName>
    <definedName name="_xlnm._FilterDatabase" localSheetId="20" hidden="1">'BeNeLux -backup'!$A$6:$R$59</definedName>
    <definedName name="_xlnm._FilterDatabase" localSheetId="10" hidden="1">'Central &amp; East EU'!#REF!</definedName>
    <definedName name="_xlnm._FilterDatabase" localSheetId="18" hidden="1">'Central &amp; East EU'!#REF!</definedName>
    <definedName name="_xlnm._FilterDatabase" localSheetId="16" hidden="1">'Customer List'!$A$3:$A$156</definedName>
    <definedName name="_xlnm._FilterDatabase" localSheetId="14" hidden="1">DACH!#REF!</definedName>
    <definedName name="_xlnm._FilterDatabase" localSheetId="13" hidden="1">DACH!#REF!</definedName>
    <definedName name="_xlnm._FilterDatabase" localSheetId="22" hidden="1">'France + CH'!#REF!</definedName>
    <definedName name="_xlnm._FilterDatabase" localSheetId="11" hidden="1">ITaly!#REF!</definedName>
    <definedName name="_xlnm._FilterDatabase" localSheetId="12" hidden="1">ITaly!#REF!</definedName>
    <definedName name="_xlnm._FilterDatabase" localSheetId="5" hidden="1">Nordic!#REF!</definedName>
    <definedName name="_xlnm._FilterDatabase" localSheetId="19" hidden="1">'Nordic-backup'!$A$3:$R$42</definedName>
    <definedName name="_xlnm._FilterDatabase" localSheetId="15" hidden="1">'Product List'!$L$4:$L$22</definedName>
    <definedName name="_xlnm._FilterDatabase" localSheetId="8" hidden="1">Spain!#REF!</definedName>
    <definedName name="_xlnm._FilterDatabase" localSheetId="21" hidden="1">'Spain-bakcup'!$A$6:$R$45</definedName>
    <definedName name="_xlnm._FilterDatabase" localSheetId="7" hidden="1">UK!$B$4:$B$4</definedName>
    <definedName name="Austria">'Customer List'!$F$4:$F$31</definedName>
    <definedName name="Belgium">'Customer List'!$B$4:$B$50</definedName>
    <definedName name="Country_List">'Product List'!$A$5:$A$17</definedName>
    <definedName name="Emerging_Markets">'Customer List'!$G$4:$G$60</definedName>
    <definedName name="ESS_SPR_Gen2">'Product List'!$E$5:$E$20</definedName>
    <definedName name="ESS_TCL_CI">'Product List'!$F$5:$F$20</definedName>
    <definedName name="ESS_TCL_Res">'Product List'!$G$5:$G$20</definedName>
    <definedName name="ExternalData_1" localSheetId="2" hidden="1">Conso!$A$1:$X$548</definedName>
    <definedName name="ExternalData_2" localSheetId="1" hidden="1">'Fcst Accuracy data'!$A$1:$F$146</definedName>
    <definedName name="France">'Customer List'!$H$4:$H$80</definedName>
    <definedName name="Germany">'Customer List'!$D$4:$D$120</definedName>
    <definedName name="Heat_Pump">'Product List'!$Q$5:$Q$18</definedName>
    <definedName name="Incoterm_List" localSheetId="20">Incoterm[Incoterm]</definedName>
    <definedName name="Incoterm_List" localSheetId="18">Incoterm[Incoterm]</definedName>
    <definedName name="Incoterm_List" localSheetId="13">Incoterm[Incoterm]</definedName>
    <definedName name="Incoterm_List" localSheetId="22">Incoterm[Incoterm]</definedName>
    <definedName name="Incoterm_List" localSheetId="12">Incoterm[Incoterm]</definedName>
    <definedName name="Incoterm_List" localSheetId="19">Incoterm[Incoterm]</definedName>
    <definedName name="Incoterm_List" localSheetId="21">Incoterm[Incoterm]</definedName>
    <definedName name="Incoterm_List">Incoterm[Incoterm]</definedName>
    <definedName name="Italy">'Customer List'!$I$4:$I$300</definedName>
    <definedName name="Netherlands">'Customer List'!$C$4:$C$70</definedName>
    <definedName name="Nordic">'Customer List'!$J$4:$J$20</definedName>
    <definedName name="Product_List">'Product List'!$C$5:$C$19</definedName>
    <definedName name="Spain">'Customer List'!$K$4:$K$120</definedName>
    <definedName name="SPR_BC">'Product List'!$P$5:$P$20</definedName>
    <definedName name="SPR_M_Class">'Product List'!$O$5:$O$20</definedName>
    <definedName name="SPR_MAX_P6">'Product List'!$R$4:$R$20</definedName>
    <definedName name="SPR_P_Class">'Product List'!$I$5:$I$20</definedName>
    <definedName name="SPR_P7">'Product List'!$H$5:$H$20</definedName>
    <definedName name="Stage_List" localSheetId="20">Stage[Stage]</definedName>
    <definedName name="Stage_List" localSheetId="18">Stage[Stage]</definedName>
    <definedName name="Stage_List" localSheetId="13">Stage[Stage]</definedName>
    <definedName name="Stage_List" localSheetId="22">Stage[Stage]</definedName>
    <definedName name="Stage_List" localSheetId="12">Stage[Stage]</definedName>
    <definedName name="Stage_List" localSheetId="19">Stage[Stage]</definedName>
    <definedName name="Stage_List" localSheetId="21">Stage[Stage]</definedName>
    <definedName name="Stage_List">Stage[Stage]</definedName>
    <definedName name="Switzerland">'Customer List'!$E$4:$E$15</definedName>
    <definedName name="TCL_C2_Series">'Product List'!$N$5:$N$22</definedName>
    <definedName name="TCL_E_Class">'Product List'!$M$5:$M$20</definedName>
    <definedName name="TCL_S_Class">'Product List'!$J$5:$J$20</definedName>
    <definedName name="TCL_T_Class">'Product List'!$L$5:$L$21</definedName>
    <definedName name="TCL_T5_Pro">'Product List'!$K$5:$K$20</definedName>
    <definedName name="UK">'Customer List'!$L$4:$L$120</definedName>
  </definedNames>
  <calcPr calcId="191028"/>
  <pivotCaches>
    <pivotCache cacheId="11" r:id="rId25"/>
    <pivotCache cacheId="18" r:id="rId2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" i="47" l="1"/>
  <c r="Y3" i="47"/>
  <c r="Y4" i="47"/>
  <c r="Y5" i="47"/>
  <c r="Y6" i="47"/>
  <c r="Y7" i="47"/>
  <c r="Y8" i="47"/>
  <c r="Y9" i="47"/>
  <c r="Y10" i="47"/>
  <c r="Y11" i="47"/>
  <c r="Y12" i="47"/>
  <c r="Y13" i="47"/>
  <c r="Y14" i="47"/>
  <c r="Y15" i="47"/>
  <c r="Y16" i="47"/>
  <c r="Y17" i="47"/>
  <c r="Y18" i="47"/>
  <c r="Y19" i="47"/>
  <c r="Y20" i="47"/>
  <c r="Y21" i="47"/>
  <c r="Y22" i="47"/>
  <c r="Y23" i="47"/>
  <c r="Y24" i="47"/>
  <c r="Y25" i="47"/>
  <c r="Y26" i="47"/>
  <c r="Y27" i="47"/>
  <c r="Y28" i="47"/>
  <c r="Y29" i="47"/>
  <c r="Y30" i="47"/>
  <c r="Y31" i="47"/>
  <c r="Y32" i="47"/>
  <c r="Y33" i="47"/>
  <c r="Y34" i="47"/>
  <c r="Y35" i="47"/>
  <c r="Y36" i="47"/>
  <c r="Y37" i="47"/>
  <c r="Y38" i="47"/>
  <c r="Y39" i="47"/>
  <c r="Y40" i="47"/>
  <c r="Y41" i="47"/>
  <c r="Y42" i="47"/>
  <c r="Y43" i="47"/>
  <c r="Y44" i="47"/>
  <c r="Y45" i="47"/>
  <c r="Y46" i="47"/>
  <c r="Y47" i="47"/>
  <c r="Y48" i="47"/>
  <c r="Y49" i="47"/>
  <c r="Y50" i="47"/>
  <c r="Y51" i="47"/>
  <c r="Y52" i="47"/>
  <c r="Y53" i="47"/>
  <c r="Y54" i="47"/>
  <c r="Y55" i="47"/>
  <c r="Y56" i="47"/>
  <c r="Y57" i="47"/>
  <c r="Y58" i="47"/>
  <c r="Y59" i="47"/>
  <c r="Y60" i="47"/>
  <c r="Y61" i="47"/>
  <c r="Y62" i="47"/>
  <c r="Y63" i="47"/>
  <c r="Y64" i="47"/>
  <c r="Y65" i="47"/>
  <c r="Y66" i="47"/>
  <c r="Y67" i="47"/>
  <c r="Y68" i="47"/>
  <c r="Y69" i="47"/>
  <c r="Y70" i="47"/>
  <c r="Y71" i="47"/>
  <c r="Y72" i="47"/>
  <c r="Y73" i="47"/>
  <c r="Y74" i="47"/>
  <c r="Y75" i="47"/>
  <c r="Y76" i="47"/>
  <c r="Y77" i="47"/>
  <c r="Y78" i="47"/>
  <c r="Y79" i="47"/>
  <c r="Y80" i="47"/>
  <c r="Y81" i="47"/>
  <c r="Y82" i="47"/>
  <c r="Y83" i="47"/>
  <c r="Y84" i="47"/>
  <c r="Y85" i="47"/>
  <c r="Y86" i="47"/>
  <c r="Y87" i="47"/>
  <c r="Y88" i="47"/>
  <c r="Y89" i="47"/>
  <c r="Y90" i="47"/>
  <c r="Y91" i="47"/>
  <c r="Y92" i="47"/>
  <c r="Y93" i="47"/>
  <c r="Y94" i="47"/>
  <c r="Y95" i="47"/>
  <c r="Y96" i="47"/>
  <c r="Y97" i="47"/>
  <c r="Y98" i="47"/>
  <c r="Y99" i="47"/>
  <c r="Y100" i="47"/>
  <c r="Y101" i="47"/>
  <c r="Y102" i="47"/>
  <c r="Y103" i="47"/>
  <c r="Y104" i="47"/>
  <c r="Y105" i="47"/>
  <c r="Y106" i="47"/>
  <c r="Y107" i="47"/>
  <c r="Y108" i="47"/>
  <c r="Y109" i="47"/>
  <c r="Y110" i="47"/>
  <c r="Y111" i="47"/>
  <c r="Y112" i="47"/>
  <c r="Y113" i="47"/>
  <c r="Y114" i="47"/>
  <c r="Y115" i="47"/>
  <c r="Y116" i="47"/>
  <c r="Y117" i="47"/>
  <c r="Y118" i="47"/>
  <c r="Y119" i="47"/>
  <c r="Y120" i="47"/>
  <c r="Y121" i="47"/>
  <c r="Y122" i="47"/>
  <c r="Y123" i="47"/>
  <c r="Y124" i="47"/>
  <c r="Y125" i="47"/>
  <c r="Y126" i="47"/>
  <c r="Y127" i="47"/>
  <c r="Y128" i="47"/>
  <c r="Y129" i="47"/>
  <c r="Y130" i="47"/>
  <c r="Y131" i="47"/>
  <c r="Y132" i="47"/>
  <c r="Y133" i="47"/>
  <c r="Y134" i="47"/>
  <c r="Y135" i="47"/>
  <c r="Y136" i="47"/>
  <c r="Y137" i="47"/>
  <c r="Y138" i="47"/>
  <c r="Y139" i="47"/>
  <c r="Y140" i="47"/>
  <c r="Y141" i="47"/>
  <c r="Y142" i="47"/>
  <c r="Y143" i="47"/>
  <c r="Y144" i="47"/>
  <c r="Y145" i="47"/>
  <c r="Y146" i="47"/>
  <c r="Y147" i="47"/>
  <c r="Y148" i="47"/>
  <c r="Y149" i="47"/>
  <c r="Y150" i="47"/>
  <c r="Y151" i="47"/>
  <c r="Y152" i="47"/>
  <c r="Y153" i="47"/>
  <c r="Y154" i="47"/>
  <c r="Y155" i="47"/>
  <c r="Y156" i="47"/>
  <c r="Y157" i="47"/>
  <c r="Y158" i="47"/>
  <c r="Y159" i="47"/>
  <c r="Y160" i="47"/>
  <c r="Y161" i="47"/>
  <c r="Y162" i="47"/>
  <c r="Y163" i="47"/>
  <c r="Y164" i="47"/>
  <c r="Y165" i="47"/>
  <c r="Y166" i="47"/>
  <c r="Y167" i="47"/>
  <c r="Y168" i="47"/>
  <c r="Y169" i="47"/>
  <c r="Y170" i="47"/>
  <c r="Y171" i="47"/>
  <c r="Y172" i="47"/>
  <c r="Y173" i="47"/>
  <c r="Y174" i="47"/>
  <c r="Y175" i="47"/>
  <c r="Y176" i="47"/>
  <c r="Y177" i="47"/>
  <c r="Y178" i="47"/>
  <c r="Y179" i="47"/>
  <c r="Y180" i="47"/>
  <c r="Y181" i="47"/>
  <c r="Y182" i="47"/>
  <c r="Y183" i="47"/>
  <c r="Y184" i="47"/>
  <c r="Y185" i="47"/>
  <c r="Y186" i="47"/>
  <c r="Y187" i="47"/>
  <c r="Y188" i="47"/>
  <c r="Y189" i="47"/>
  <c r="Y190" i="47"/>
  <c r="Y191" i="47"/>
  <c r="Y192" i="47"/>
  <c r="Y193" i="47"/>
  <c r="Y194" i="47"/>
  <c r="Y195" i="47"/>
  <c r="Y196" i="47"/>
  <c r="Y197" i="47"/>
  <c r="Y198" i="47"/>
  <c r="Y199" i="47"/>
  <c r="Y200" i="47"/>
  <c r="Y201" i="47"/>
  <c r="Y202" i="47"/>
  <c r="Y203" i="47"/>
  <c r="Y204" i="47"/>
  <c r="Y205" i="47"/>
  <c r="Y206" i="47"/>
  <c r="Y207" i="47"/>
  <c r="Y208" i="47"/>
  <c r="Y209" i="47"/>
  <c r="Y210" i="47"/>
  <c r="Y211" i="47"/>
  <c r="Y212" i="47"/>
  <c r="Y213" i="47"/>
  <c r="Y214" i="47"/>
  <c r="Y215" i="47"/>
  <c r="Y216" i="47"/>
  <c r="Y217" i="47"/>
  <c r="Y218" i="47"/>
  <c r="Y219" i="47"/>
  <c r="Y220" i="47"/>
  <c r="Y221" i="47"/>
  <c r="Y222" i="47"/>
  <c r="Y223" i="47"/>
  <c r="Y224" i="47"/>
  <c r="Y225" i="47"/>
  <c r="Y226" i="47"/>
  <c r="Y227" i="47"/>
  <c r="Y228" i="47"/>
  <c r="Y229" i="47"/>
  <c r="Y230" i="47"/>
  <c r="Y231" i="47"/>
  <c r="Y232" i="47"/>
  <c r="Y233" i="47"/>
  <c r="Y234" i="47"/>
  <c r="Y235" i="47"/>
  <c r="Y236" i="47"/>
  <c r="Y237" i="47"/>
  <c r="Y238" i="47"/>
  <c r="Y239" i="47"/>
  <c r="Y240" i="47"/>
  <c r="Y241" i="47"/>
  <c r="Y242" i="47"/>
  <c r="Y243" i="47"/>
  <c r="Y244" i="47"/>
  <c r="Y245" i="47"/>
  <c r="Y246" i="47"/>
  <c r="Y247" i="47"/>
  <c r="Y248" i="47"/>
  <c r="Y249" i="47"/>
  <c r="Y250" i="47"/>
  <c r="Y251" i="47"/>
  <c r="Y252" i="47"/>
  <c r="Y253" i="47"/>
  <c r="Y254" i="47"/>
  <c r="Y255" i="47"/>
  <c r="Y256" i="47"/>
  <c r="Y257" i="47"/>
  <c r="Y258" i="47"/>
  <c r="Y259" i="47"/>
  <c r="Y260" i="47"/>
  <c r="Y261" i="47"/>
  <c r="Y262" i="47"/>
  <c r="Y263" i="47"/>
  <c r="Y264" i="47"/>
  <c r="Y265" i="47"/>
  <c r="Y266" i="47"/>
  <c r="Y267" i="47"/>
  <c r="Y268" i="47"/>
  <c r="Y269" i="47"/>
  <c r="Y270" i="47"/>
  <c r="Y271" i="47"/>
  <c r="Y272" i="47"/>
  <c r="Y273" i="47"/>
  <c r="Y274" i="47"/>
  <c r="Y275" i="47"/>
  <c r="Y276" i="47"/>
  <c r="Y277" i="47"/>
  <c r="Y278" i="47"/>
  <c r="Y279" i="47"/>
  <c r="Y280" i="47"/>
  <c r="Y281" i="47"/>
  <c r="Y282" i="47"/>
  <c r="Y283" i="47"/>
  <c r="Y284" i="47"/>
  <c r="Y285" i="47"/>
  <c r="Y286" i="47"/>
  <c r="Y287" i="47"/>
  <c r="Y288" i="47"/>
  <c r="Y289" i="47"/>
  <c r="Y290" i="47"/>
  <c r="Y291" i="47"/>
  <c r="Y292" i="47"/>
  <c r="Y293" i="47"/>
  <c r="Y294" i="47"/>
  <c r="Y295" i="47"/>
  <c r="Y296" i="47"/>
  <c r="Y297" i="47"/>
  <c r="Y298" i="47"/>
  <c r="Y299" i="47"/>
  <c r="Y300" i="47"/>
  <c r="Y301" i="47"/>
  <c r="Y302" i="47"/>
  <c r="Y303" i="47"/>
  <c r="Y304" i="47"/>
  <c r="Y305" i="47"/>
  <c r="Y306" i="47"/>
  <c r="Y307" i="47"/>
  <c r="Y308" i="47"/>
  <c r="Y309" i="47"/>
  <c r="Y310" i="47"/>
  <c r="Y311" i="47"/>
  <c r="Y312" i="47"/>
  <c r="Y313" i="47"/>
  <c r="Y314" i="47"/>
  <c r="Y315" i="47"/>
  <c r="Y316" i="47"/>
  <c r="Y317" i="47"/>
  <c r="Y318" i="47"/>
  <c r="Y319" i="47"/>
  <c r="Y320" i="47"/>
  <c r="Y321" i="47"/>
  <c r="Y322" i="47"/>
  <c r="Y323" i="47"/>
  <c r="Y324" i="47"/>
  <c r="Y325" i="47"/>
  <c r="Y326" i="47"/>
  <c r="Y327" i="47"/>
  <c r="Y328" i="47"/>
  <c r="Y329" i="47"/>
  <c r="Y330" i="47"/>
  <c r="Y331" i="47"/>
  <c r="Y332" i="47"/>
  <c r="Y333" i="47"/>
  <c r="Y334" i="47"/>
  <c r="Y335" i="47"/>
  <c r="Y336" i="47"/>
  <c r="Y337" i="47"/>
  <c r="Y338" i="47"/>
  <c r="Y339" i="47"/>
  <c r="Y340" i="47"/>
  <c r="Y341" i="47"/>
  <c r="Y342" i="47"/>
  <c r="Y343" i="47"/>
  <c r="Y344" i="47"/>
  <c r="Y345" i="47"/>
  <c r="Y346" i="47"/>
  <c r="Y347" i="47"/>
  <c r="Y348" i="47"/>
  <c r="Y349" i="47"/>
  <c r="Y350" i="47"/>
  <c r="Y351" i="47"/>
  <c r="Y352" i="47"/>
  <c r="Y353" i="47"/>
  <c r="Y354" i="47"/>
  <c r="Y355" i="47"/>
  <c r="Y356" i="47"/>
  <c r="Y357" i="47"/>
  <c r="Y358" i="47"/>
  <c r="Y359" i="47"/>
  <c r="Y360" i="47"/>
  <c r="Y361" i="47"/>
  <c r="Y362" i="47"/>
  <c r="Y363" i="47"/>
  <c r="Y364" i="47"/>
  <c r="Y365" i="47"/>
  <c r="Y366" i="47"/>
  <c r="Y367" i="47"/>
  <c r="Y368" i="47"/>
  <c r="Y369" i="47"/>
  <c r="Y370" i="47"/>
  <c r="Y371" i="47"/>
  <c r="Y372" i="47"/>
  <c r="Y373" i="47"/>
  <c r="Y374" i="47"/>
  <c r="Y375" i="47"/>
  <c r="Y376" i="47"/>
  <c r="Y377" i="47"/>
  <c r="Y378" i="47"/>
  <c r="Y379" i="47"/>
  <c r="Y380" i="47"/>
  <c r="Y381" i="47"/>
  <c r="Y382" i="47"/>
  <c r="Y383" i="47"/>
  <c r="Y384" i="47"/>
  <c r="Y385" i="47"/>
  <c r="Y386" i="47"/>
  <c r="Y387" i="47"/>
  <c r="Y388" i="47"/>
  <c r="Y389" i="47"/>
  <c r="Y390" i="47"/>
  <c r="Y391" i="47"/>
  <c r="Y392" i="47"/>
  <c r="Y393" i="47"/>
  <c r="Y394" i="47"/>
  <c r="Y395" i="47"/>
  <c r="Y396" i="47"/>
  <c r="Y397" i="47"/>
  <c r="Y398" i="47"/>
  <c r="Y399" i="47"/>
  <c r="Y400" i="47"/>
  <c r="Y401" i="47"/>
  <c r="Y402" i="47"/>
  <c r="Y403" i="47"/>
  <c r="Y404" i="47"/>
  <c r="Y405" i="47"/>
  <c r="Y406" i="47"/>
  <c r="Y407" i="47"/>
  <c r="Y408" i="47"/>
  <c r="Y409" i="47"/>
  <c r="Y410" i="47"/>
  <c r="Y411" i="47"/>
  <c r="Y412" i="47"/>
  <c r="Y413" i="47"/>
  <c r="Y414" i="47"/>
  <c r="Y415" i="47"/>
  <c r="Y416" i="47"/>
  <c r="Y417" i="47"/>
  <c r="Y418" i="47"/>
  <c r="Y419" i="47"/>
  <c r="Y420" i="47"/>
  <c r="Y421" i="47"/>
  <c r="Y422" i="47"/>
  <c r="Y423" i="47"/>
  <c r="Y424" i="47"/>
  <c r="Y425" i="47"/>
  <c r="Y426" i="47"/>
  <c r="Y427" i="47"/>
  <c r="Y428" i="47"/>
  <c r="Y429" i="47"/>
  <c r="Y430" i="47"/>
  <c r="Y431" i="47"/>
  <c r="Y432" i="47"/>
  <c r="Y433" i="47"/>
  <c r="Y434" i="47"/>
  <c r="Y435" i="47"/>
  <c r="Y436" i="47"/>
  <c r="Y437" i="47"/>
  <c r="Y438" i="47"/>
  <c r="Y439" i="47"/>
  <c r="Y440" i="47"/>
  <c r="Y441" i="47"/>
  <c r="Y442" i="47"/>
  <c r="Y443" i="47"/>
  <c r="Y444" i="47"/>
  <c r="Y445" i="47"/>
  <c r="Y446" i="47"/>
  <c r="Y447" i="47"/>
  <c r="Y448" i="47"/>
  <c r="Y449" i="47"/>
  <c r="Y450" i="47"/>
  <c r="Y451" i="47"/>
  <c r="Y452" i="47"/>
  <c r="Y453" i="47"/>
  <c r="Y454" i="47"/>
  <c r="Y455" i="47"/>
  <c r="Y456" i="47"/>
  <c r="Y457" i="47"/>
  <c r="Y458" i="47"/>
  <c r="Y459" i="47"/>
  <c r="Y460" i="47"/>
  <c r="Y461" i="47"/>
  <c r="Y462" i="47"/>
  <c r="Y463" i="47"/>
  <c r="Y464" i="47"/>
  <c r="Y465" i="47"/>
  <c r="Y466" i="47"/>
  <c r="Y467" i="47"/>
  <c r="Y468" i="47"/>
  <c r="Y469" i="47"/>
  <c r="Y470" i="47"/>
  <c r="Y471" i="47"/>
  <c r="Y472" i="47"/>
  <c r="Y473" i="47"/>
  <c r="Y474" i="47"/>
  <c r="Y475" i="47"/>
  <c r="Y476" i="47"/>
  <c r="Y477" i="47"/>
  <c r="Y478" i="47"/>
  <c r="Y479" i="47"/>
  <c r="Y480" i="47"/>
  <c r="Y481" i="47"/>
  <c r="Y482" i="47"/>
  <c r="Y483" i="47"/>
  <c r="Y484" i="47"/>
  <c r="Y485" i="47"/>
  <c r="Y486" i="47"/>
  <c r="Y487" i="47"/>
  <c r="Y488" i="47"/>
  <c r="Y489" i="47"/>
  <c r="Y490" i="47"/>
  <c r="Y491" i="47"/>
  <c r="Y492" i="47"/>
  <c r="Y493" i="47"/>
  <c r="Y494" i="47"/>
  <c r="Y495" i="47"/>
  <c r="Y496" i="47"/>
  <c r="Y497" i="47"/>
  <c r="Y498" i="47"/>
  <c r="Y499" i="47"/>
  <c r="Y500" i="47"/>
  <c r="Y501" i="47"/>
  <c r="Y502" i="47"/>
  <c r="Y503" i="47"/>
  <c r="Y504" i="47"/>
  <c r="Y505" i="47"/>
  <c r="Y506" i="47"/>
  <c r="Y507" i="47"/>
  <c r="Y508" i="47"/>
  <c r="Y509" i="47"/>
  <c r="Y510" i="47"/>
  <c r="Y511" i="47"/>
  <c r="Y512" i="47"/>
  <c r="Y513" i="47"/>
  <c r="Y514" i="47"/>
  <c r="Y515" i="47"/>
  <c r="Y516" i="47"/>
  <c r="Y517" i="47"/>
  <c r="Y518" i="47"/>
  <c r="Y519" i="47"/>
  <c r="Y520" i="47"/>
  <c r="Y521" i="47"/>
  <c r="Y522" i="47"/>
  <c r="Y523" i="47"/>
  <c r="Y524" i="47"/>
  <c r="Y525" i="47"/>
  <c r="Y526" i="47"/>
  <c r="Y527" i="47"/>
  <c r="Y528" i="47"/>
  <c r="Y529" i="47"/>
  <c r="Y530" i="47"/>
  <c r="Y531" i="47"/>
  <c r="Y532" i="47"/>
  <c r="Y533" i="47"/>
  <c r="Y534" i="47"/>
  <c r="Y535" i="47"/>
  <c r="Y536" i="47"/>
  <c r="Y537" i="47"/>
  <c r="Y538" i="47"/>
  <c r="Y539" i="47"/>
  <c r="Y540" i="47"/>
  <c r="Y541" i="47"/>
  <c r="Y542" i="47"/>
  <c r="Y543" i="47"/>
  <c r="Y544" i="47"/>
  <c r="Y545" i="47"/>
  <c r="Y546" i="47"/>
  <c r="Y547" i="47"/>
  <c r="Y548" i="47"/>
  <c r="Z2" i="47"/>
  <c r="Z3" i="47"/>
  <c r="Z4" i="47"/>
  <c r="Z5" i="47"/>
  <c r="Z6" i="47"/>
  <c r="Z7" i="47"/>
  <c r="Z8" i="47"/>
  <c r="Z9" i="47"/>
  <c r="Z10" i="47"/>
  <c r="Z11" i="47"/>
  <c r="Z12" i="47"/>
  <c r="Z13" i="47"/>
  <c r="Z14" i="47"/>
  <c r="Z15" i="47"/>
  <c r="Z16" i="47"/>
  <c r="Z17" i="47"/>
  <c r="Z18" i="47"/>
  <c r="Z19" i="47"/>
  <c r="Z20" i="47"/>
  <c r="Z21" i="47"/>
  <c r="Z22" i="47"/>
  <c r="Z23" i="47"/>
  <c r="Z24" i="47"/>
  <c r="Z25" i="47"/>
  <c r="Z26" i="47"/>
  <c r="Z27" i="47"/>
  <c r="Z28" i="47"/>
  <c r="Z29" i="47"/>
  <c r="Z30" i="47"/>
  <c r="Z31" i="47"/>
  <c r="Z32" i="47"/>
  <c r="Z33" i="47"/>
  <c r="Z34" i="47"/>
  <c r="Z35" i="47"/>
  <c r="Z36" i="47"/>
  <c r="Z37" i="47"/>
  <c r="Z38" i="47"/>
  <c r="Z39" i="47"/>
  <c r="Z40" i="47"/>
  <c r="Z41" i="47"/>
  <c r="Z42" i="47"/>
  <c r="Z43" i="47"/>
  <c r="Z44" i="47"/>
  <c r="Z45" i="47"/>
  <c r="Z46" i="47"/>
  <c r="Z47" i="47"/>
  <c r="Z48" i="47"/>
  <c r="Z49" i="47"/>
  <c r="Z50" i="47"/>
  <c r="Z51" i="47"/>
  <c r="Z52" i="47"/>
  <c r="Z53" i="47"/>
  <c r="Z54" i="47"/>
  <c r="Z55" i="47"/>
  <c r="Z56" i="47"/>
  <c r="Z57" i="47"/>
  <c r="Z58" i="47"/>
  <c r="Z59" i="47"/>
  <c r="Z60" i="47"/>
  <c r="Z61" i="47"/>
  <c r="Z62" i="47"/>
  <c r="Z63" i="47"/>
  <c r="Z64" i="47"/>
  <c r="Z65" i="47"/>
  <c r="Z66" i="47"/>
  <c r="Z67" i="47"/>
  <c r="Z68" i="47"/>
  <c r="Z69" i="47"/>
  <c r="Z70" i="47"/>
  <c r="Z71" i="47"/>
  <c r="Z72" i="47"/>
  <c r="Z73" i="47"/>
  <c r="Z74" i="47"/>
  <c r="Z75" i="47"/>
  <c r="Z76" i="47"/>
  <c r="Z77" i="47"/>
  <c r="Z78" i="47"/>
  <c r="Z79" i="47"/>
  <c r="Z80" i="47"/>
  <c r="Z81" i="47"/>
  <c r="Z82" i="47"/>
  <c r="Z83" i="47"/>
  <c r="Z84" i="47"/>
  <c r="Z85" i="47"/>
  <c r="Z86" i="47"/>
  <c r="Z87" i="47"/>
  <c r="Z88" i="47"/>
  <c r="Z89" i="47"/>
  <c r="Z90" i="47"/>
  <c r="Z91" i="47"/>
  <c r="Z92" i="47"/>
  <c r="Z93" i="47"/>
  <c r="Z94" i="47"/>
  <c r="Z95" i="47"/>
  <c r="Z96" i="47"/>
  <c r="Z97" i="47"/>
  <c r="Z98" i="47"/>
  <c r="Z99" i="47"/>
  <c r="Z100" i="47"/>
  <c r="Z101" i="47"/>
  <c r="Z102" i="47"/>
  <c r="Z103" i="47"/>
  <c r="Z104" i="47"/>
  <c r="Z105" i="47"/>
  <c r="Z106" i="47"/>
  <c r="Z107" i="47"/>
  <c r="Z108" i="47"/>
  <c r="Z109" i="47"/>
  <c r="Z110" i="47"/>
  <c r="Z111" i="47"/>
  <c r="Z112" i="47"/>
  <c r="Z113" i="47"/>
  <c r="Z114" i="47"/>
  <c r="Z115" i="47"/>
  <c r="Z116" i="47"/>
  <c r="Z117" i="47"/>
  <c r="Z118" i="47"/>
  <c r="Z119" i="47"/>
  <c r="Z120" i="47"/>
  <c r="Z121" i="47"/>
  <c r="Z122" i="47"/>
  <c r="Z123" i="47"/>
  <c r="Z124" i="47"/>
  <c r="Z125" i="47"/>
  <c r="Z126" i="47"/>
  <c r="Z127" i="47"/>
  <c r="Z128" i="47"/>
  <c r="Z129" i="47"/>
  <c r="Z130" i="47"/>
  <c r="Z131" i="47"/>
  <c r="Z132" i="47"/>
  <c r="Z133" i="47"/>
  <c r="Z134" i="47"/>
  <c r="Z135" i="47"/>
  <c r="Z136" i="47"/>
  <c r="Z137" i="47"/>
  <c r="Z138" i="47"/>
  <c r="Z139" i="47"/>
  <c r="Z140" i="47"/>
  <c r="Z141" i="47"/>
  <c r="Z142" i="47"/>
  <c r="Z143" i="47"/>
  <c r="Z144" i="47"/>
  <c r="Z145" i="47"/>
  <c r="Z146" i="47"/>
  <c r="Z147" i="47"/>
  <c r="Z148" i="47"/>
  <c r="Z149" i="47"/>
  <c r="Z150" i="47"/>
  <c r="Z151" i="47"/>
  <c r="Z152" i="47"/>
  <c r="Z153" i="47"/>
  <c r="Z154" i="47"/>
  <c r="Z155" i="47"/>
  <c r="Z156" i="47"/>
  <c r="Z157" i="47"/>
  <c r="Z158" i="47"/>
  <c r="Z159" i="47"/>
  <c r="Z160" i="47"/>
  <c r="Z161" i="47"/>
  <c r="Z162" i="47"/>
  <c r="Z163" i="47"/>
  <c r="Z164" i="47"/>
  <c r="Z165" i="47"/>
  <c r="Z166" i="47"/>
  <c r="Z167" i="47"/>
  <c r="Z168" i="47"/>
  <c r="Z169" i="47"/>
  <c r="Z170" i="47"/>
  <c r="Z171" i="47"/>
  <c r="Z172" i="47"/>
  <c r="Z173" i="47"/>
  <c r="Z174" i="47"/>
  <c r="Z175" i="47"/>
  <c r="Z176" i="47"/>
  <c r="Z177" i="47"/>
  <c r="Z178" i="47"/>
  <c r="Z179" i="47"/>
  <c r="Z180" i="47"/>
  <c r="Z181" i="47"/>
  <c r="Z182" i="47"/>
  <c r="Z183" i="47"/>
  <c r="Z184" i="47"/>
  <c r="Z185" i="47"/>
  <c r="Z186" i="47"/>
  <c r="Z187" i="47"/>
  <c r="Z188" i="47"/>
  <c r="Z189" i="47"/>
  <c r="Z190" i="47"/>
  <c r="Z191" i="47"/>
  <c r="Z192" i="47"/>
  <c r="Z193" i="47"/>
  <c r="Z194" i="47"/>
  <c r="Z195" i="47"/>
  <c r="Z196" i="47"/>
  <c r="Z197" i="47"/>
  <c r="Z198" i="47"/>
  <c r="Z199" i="47"/>
  <c r="Z200" i="47"/>
  <c r="Z201" i="47"/>
  <c r="Z202" i="47"/>
  <c r="Z203" i="47"/>
  <c r="Z204" i="47"/>
  <c r="Z205" i="47"/>
  <c r="Z206" i="47"/>
  <c r="Z207" i="47"/>
  <c r="Z208" i="47"/>
  <c r="Z209" i="47"/>
  <c r="Z210" i="47"/>
  <c r="Z211" i="47"/>
  <c r="Z212" i="47"/>
  <c r="Z213" i="47"/>
  <c r="Z214" i="47"/>
  <c r="Z215" i="47"/>
  <c r="Z216" i="47"/>
  <c r="Z217" i="47"/>
  <c r="Z218" i="47"/>
  <c r="Z219" i="47"/>
  <c r="Z220" i="47"/>
  <c r="Z221" i="47"/>
  <c r="Z222" i="47"/>
  <c r="Z223" i="47"/>
  <c r="Z224" i="47"/>
  <c r="Z225" i="47"/>
  <c r="Z226" i="47"/>
  <c r="Z227" i="47"/>
  <c r="Z228" i="47"/>
  <c r="Z229" i="47"/>
  <c r="Z230" i="47"/>
  <c r="Z231" i="47"/>
  <c r="Z232" i="47"/>
  <c r="Z233" i="47"/>
  <c r="Z234" i="47"/>
  <c r="Z235" i="47"/>
  <c r="Z236" i="47"/>
  <c r="Z237" i="47"/>
  <c r="Z238" i="47"/>
  <c r="Z239" i="47"/>
  <c r="Z240" i="47"/>
  <c r="Z241" i="47"/>
  <c r="Z242" i="47"/>
  <c r="Z243" i="47"/>
  <c r="Z244" i="47"/>
  <c r="Z245" i="47"/>
  <c r="Z246" i="47"/>
  <c r="Z247" i="47"/>
  <c r="Z248" i="47"/>
  <c r="Z249" i="47"/>
  <c r="Z250" i="47"/>
  <c r="Z251" i="47"/>
  <c r="Z252" i="47"/>
  <c r="Z253" i="47"/>
  <c r="Z254" i="47"/>
  <c r="Z255" i="47"/>
  <c r="Z256" i="47"/>
  <c r="Z257" i="47"/>
  <c r="Z258" i="47"/>
  <c r="Z259" i="47"/>
  <c r="Z260" i="47"/>
  <c r="Z261" i="47"/>
  <c r="Z262" i="47"/>
  <c r="Z263" i="47"/>
  <c r="Z264" i="47"/>
  <c r="Z265" i="47"/>
  <c r="Z266" i="47"/>
  <c r="Z267" i="47"/>
  <c r="Z268" i="47"/>
  <c r="Z269" i="47"/>
  <c r="Z270" i="47"/>
  <c r="Z271" i="47"/>
  <c r="Z272" i="47"/>
  <c r="Z273" i="47"/>
  <c r="Z274" i="47"/>
  <c r="Z275" i="47"/>
  <c r="Z276" i="47"/>
  <c r="Z277" i="47"/>
  <c r="Z278" i="47"/>
  <c r="Z279" i="47"/>
  <c r="Z280" i="47"/>
  <c r="Z281" i="47"/>
  <c r="Z282" i="47"/>
  <c r="Z283" i="47"/>
  <c r="Z284" i="47"/>
  <c r="Z285" i="47"/>
  <c r="Z286" i="47"/>
  <c r="Z287" i="47"/>
  <c r="Z288" i="47"/>
  <c r="Z289" i="47"/>
  <c r="Z290" i="47"/>
  <c r="Z291" i="47"/>
  <c r="Z292" i="47"/>
  <c r="Z293" i="47"/>
  <c r="Z294" i="47"/>
  <c r="Z295" i="47"/>
  <c r="Z296" i="47"/>
  <c r="Z297" i="47"/>
  <c r="Z298" i="47"/>
  <c r="Z299" i="47"/>
  <c r="Z300" i="47"/>
  <c r="Z301" i="47"/>
  <c r="Z302" i="47"/>
  <c r="Z303" i="47"/>
  <c r="Z304" i="47"/>
  <c r="Z305" i="47"/>
  <c r="Z306" i="47"/>
  <c r="Z307" i="47"/>
  <c r="Z308" i="47"/>
  <c r="Z309" i="47"/>
  <c r="Z310" i="47"/>
  <c r="Z311" i="47"/>
  <c r="Z312" i="47"/>
  <c r="Z313" i="47"/>
  <c r="Z314" i="47"/>
  <c r="Z315" i="47"/>
  <c r="Z316" i="47"/>
  <c r="Z317" i="47"/>
  <c r="Z318" i="47"/>
  <c r="Z319" i="47"/>
  <c r="Z320" i="47"/>
  <c r="Z321" i="47"/>
  <c r="Z322" i="47"/>
  <c r="Z323" i="47"/>
  <c r="Z324" i="47"/>
  <c r="Z325" i="47"/>
  <c r="Z326" i="47"/>
  <c r="Z327" i="47"/>
  <c r="Z328" i="47"/>
  <c r="Z329" i="47"/>
  <c r="Z330" i="47"/>
  <c r="Z331" i="47"/>
  <c r="Z332" i="47"/>
  <c r="Z333" i="47"/>
  <c r="Z334" i="47"/>
  <c r="Z335" i="47"/>
  <c r="Z336" i="47"/>
  <c r="Z337" i="47"/>
  <c r="Z338" i="47"/>
  <c r="Z339" i="47"/>
  <c r="Z340" i="47"/>
  <c r="Z341" i="47"/>
  <c r="Z342" i="47"/>
  <c r="Z343" i="47"/>
  <c r="Z344" i="47"/>
  <c r="Z345" i="47"/>
  <c r="Z346" i="47"/>
  <c r="Z347" i="47"/>
  <c r="Z348" i="47"/>
  <c r="Z349" i="47"/>
  <c r="Z350" i="47"/>
  <c r="Z351" i="47"/>
  <c r="Z352" i="47"/>
  <c r="Z353" i="47"/>
  <c r="Z354" i="47"/>
  <c r="Z355" i="47"/>
  <c r="Z356" i="47"/>
  <c r="Z357" i="47"/>
  <c r="Z358" i="47"/>
  <c r="Z359" i="47"/>
  <c r="Z360" i="47"/>
  <c r="Z361" i="47"/>
  <c r="Z362" i="47"/>
  <c r="Z363" i="47"/>
  <c r="Z364" i="47"/>
  <c r="Z365" i="47"/>
  <c r="Z366" i="47"/>
  <c r="Z367" i="47"/>
  <c r="Z368" i="47"/>
  <c r="Z369" i="47"/>
  <c r="Z370" i="47"/>
  <c r="Z371" i="47"/>
  <c r="Z372" i="47"/>
  <c r="Z373" i="47"/>
  <c r="Z374" i="47"/>
  <c r="Z375" i="47"/>
  <c r="Z376" i="47"/>
  <c r="Z377" i="47"/>
  <c r="Z378" i="47"/>
  <c r="Z379" i="47"/>
  <c r="Z380" i="47"/>
  <c r="Z381" i="47"/>
  <c r="Z382" i="47"/>
  <c r="Z383" i="47"/>
  <c r="Z384" i="47"/>
  <c r="Z385" i="47"/>
  <c r="Z386" i="47"/>
  <c r="Z387" i="47"/>
  <c r="Z388" i="47"/>
  <c r="Z389" i="47"/>
  <c r="Z390" i="47"/>
  <c r="Z391" i="47"/>
  <c r="Z392" i="47"/>
  <c r="Z393" i="47"/>
  <c r="Z394" i="47"/>
  <c r="Z395" i="47"/>
  <c r="Z396" i="47"/>
  <c r="Z397" i="47"/>
  <c r="Z398" i="47"/>
  <c r="Z399" i="47"/>
  <c r="Z400" i="47"/>
  <c r="Z401" i="47"/>
  <c r="Z402" i="47"/>
  <c r="Z403" i="47"/>
  <c r="Z404" i="47"/>
  <c r="Z405" i="47"/>
  <c r="Z406" i="47"/>
  <c r="Z407" i="47"/>
  <c r="Z408" i="47"/>
  <c r="Z409" i="47"/>
  <c r="Z410" i="47"/>
  <c r="Z411" i="47"/>
  <c r="Z412" i="47"/>
  <c r="Z413" i="47"/>
  <c r="Z414" i="47"/>
  <c r="Z415" i="47"/>
  <c r="Z416" i="47"/>
  <c r="Z417" i="47"/>
  <c r="Z418" i="47"/>
  <c r="Z419" i="47"/>
  <c r="Z420" i="47"/>
  <c r="Z421" i="47"/>
  <c r="Z422" i="47"/>
  <c r="Z423" i="47"/>
  <c r="Z424" i="47"/>
  <c r="Z425" i="47"/>
  <c r="Z426" i="47"/>
  <c r="Z427" i="47"/>
  <c r="Z428" i="47"/>
  <c r="Z429" i="47"/>
  <c r="Z430" i="47"/>
  <c r="Z431" i="47"/>
  <c r="Z432" i="47"/>
  <c r="Z433" i="47"/>
  <c r="Z434" i="47"/>
  <c r="Z435" i="47"/>
  <c r="Z436" i="47"/>
  <c r="Z437" i="47"/>
  <c r="Z438" i="47"/>
  <c r="Z439" i="47"/>
  <c r="Z440" i="47"/>
  <c r="Z441" i="47"/>
  <c r="Z442" i="47"/>
  <c r="Z443" i="47"/>
  <c r="Z444" i="47"/>
  <c r="Z445" i="47"/>
  <c r="Z446" i="47"/>
  <c r="Z447" i="47"/>
  <c r="Z448" i="47"/>
  <c r="Z449" i="47"/>
  <c r="Z450" i="47"/>
  <c r="Z451" i="47"/>
  <c r="Z452" i="47"/>
  <c r="Z453" i="47"/>
  <c r="Z454" i="47"/>
  <c r="Z455" i="47"/>
  <c r="Z456" i="47"/>
  <c r="Z457" i="47"/>
  <c r="Z458" i="47"/>
  <c r="Z459" i="47"/>
  <c r="Z460" i="47"/>
  <c r="Z461" i="47"/>
  <c r="Z462" i="47"/>
  <c r="Z463" i="47"/>
  <c r="Z464" i="47"/>
  <c r="Z465" i="47"/>
  <c r="Z466" i="47"/>
  <c r="Z467" i="47"/>
  <c r="Z468" i="47"/>
  <c r="Z469" i="47"/>
  <c r="Z470" i="47"/>
  <c r="Z471" i="47"/>
  <c r="Z472" i="47"/>
  <c r="Z473" i="47"/>
  <c r="Z474" i="47"/>
  <c r="Z475" i="47"/>
  <c r="Z476" i="47"/>
  <c r="Z477" i="47"/>
  <c r="Z478" i="47"/>
  <c r="Z479" i="47"/>
  <c r="Z480" i="47"/>
  <c r="Z481" i="47"/>
  <c r="Z482" i="47"/>
  <c r="Z483" i="47"/>
  <c r="Z484" i="47"/>
  <c r="Z485" i="47"/>
  <c r="Z486" i="47"/>
  <c r="Z487" i="47"/>
  <c r="Z488" i="47"/>
  <c r="Z489" i="47"/>
  <c r="Z490" i="47"/>
  <c r="Z491" i="47"/>
  <c r="Z492" i="47"/>
  <c r="Z493" i="47"/>
  <c r="Z494" i="47"/>
  <c r="Z495" i="47"/>
  <c r="Z496" i="47"/>
  <c r="Z497" i="47"/>
  <c r="Z498" i="47"/>
  <c r="Z499" i="47"/>
  <c r="Z500" i="47"/>
  <c r="Z501" i="47"/>
  <c r="Z502" i="47"/>
  <c r="Z503" i="47"/>
  <c r="Z504" i="47"/>
  <c r="Z505" i="47"/>
  <c r="Z506" i="47"/>
  <c r="Z507" i="47"/>
  <c r="Z508" i="47"/>
  <c r="Z509" i="47"/>
  <c r="Z510" i="47"/>
  <c r="Z511" i="47"/>
  <c r="Z512" i="47"/>
  <c r="Z513" i="47"/>
  <c r="Z514" i="47"/>
  <c r="Z515" i="47"/>
  <c r="Z516" i="47"/>
  <c r="Z517" i="47"/>
  <c r="Z518" i="47"/>
  <c r="Z519" i="47"/>
  <c r="Z520" i="47"/>
  <c r="Z521" i="47"/>
  <c r="Z522" i="47"/>
  <c r="Z523" i="47"/>
  <c r="Z524" i="47"/>
  <c r="Z525" i="47"/>
  <c r="Z526" i="47"/>
  <c r="Z527" i="47"/>
  <c r="Z528" i="47"/>
  <c r="Z529" i="47"/>
  <c r="Z530" i="47"/>
  <c r="Z531" i="47"/>
  <c r="Z532" i="47"/>
  <c r="Z533" i="47"/>
  <c r="Z534" i="47"/>
  <c r="Z535" i="47"/>
  <c r="Z536" i="47"/>
  <c r="Z537" i="47"/>
  <c r="Z538" i="47"/>
  <c r="Z539" i="47"/>
  <c r="Z540" i="47"/>
  <c r="Z541" i="47"/>
  <c r="Z542" i="47"/>
  <c r="Z543" i="47"/>
  <c r="Z544" i="47"/>
  <c r="Z545" i="47"/>
  <c r="Z546" i="47"/>
  <c r="Z547" i="47"/>
  <c r="Z548" i="47"/>
  <c r="AA2" i="47"/>
  <c r="AA3" i="47"/>
  <c r="AA4" i="47"/>
  <c r="AA5" i="47"/>
  <c r="AA6" i="47"/>
  <c r="AA7" i="47"/>
  <c r="AA8" i="47"/>
  <c r="AA9" i="47"/>
  <c r="AA10" i="47"/>
  <c r="AA11" i="47"/>
  <c r="AA12" i="47"/>
  <c r="AA13" i="47"/>
  <c r="AA14" i="47"/>
  <c r="AA15" i="47"/>
  <c r="AA16" i="47"/>
  <c r="AA17" i="47"/>
  <c r="AA18" i="47"/>
  <c r="AA19" i="47"/>
  <c r="AA20" i="47"/>
  <c r="AA21" i="47"/>
  <c r="AA22" i="47"/>
  <c r="AA23" i="47"/>
  <c r="AA24" i="47"/>
  <c r="AA25" i="47"/>
  <c r="AA26" i="47"/>
  <c r="AA27" i="47"/>
  <c r="AA28" i="47"/>
  <c r="AA29" i="47"/>
  <c r="AA30" i="47"/>
  <c r="AA31" i="47"/>
  <c r="AA32" i="47"/>
  <c r="AA33" i="47"/>
  <c r="AA34" i="47"/>
  <c r="AA35" i="47"/>
  <c r="AA36" i="47"/>
  <c r="AA37" i="47"/>
  <c r="AA38" i="47"/>
  <c r="AA39" i="47"/>
  <c r="AA40" i="47"/>
  <c r="AA41" i="47"/>
  <c r="AA42" i="47"/>
  <c r="AA43" i="47"/>
  <c r="AA44" i="47"/>
  <c r="AA45" i="47"/>
  <c r="AA46" i="47"/>
  <c r="AA47" i="47"/>
  <c r="AA48" i="47"/>
  <c r="AA49" i="47"/>
  <c r="AA50" i="47"/>
  <c r="AA51" i="47"/>
  <c r="AA52" i="47"/>
  <c r="AA53" i="47"/>
  <c r="AA54" i="47"/>
  <c r="AA55" i="47"/>
  <c r="AA56" i="47"/>
  <c r="AA57" i="47"/>
  <c r="AA58" i="47"/>
  <c r="AA59" i="47"/>
  <c r="AA60" i="47"/>
  <c r="AA61" i="47"/>
  <c r="AA62" i="47"/>
  <c r="AA63" i="47"/>
  <c r="AA64" i="47"/>
  <c r="AA65" i="47"/>
  <c r="AA66" i="47"/>
  <c r="AA67" i="47"/>
  <c r="AA68" i="47"/>
  <c r="AA69" i="47"/>
  <c r="AA70" i="47"/>
  <c r="AA71" i="47"/>
  <c r="AA72" i="47"/>
  <c r="AA73" i="47"/>
  <c r="AA74" i="47"/>
  <c r="AA75" i="47"/>
  <c r="AA76" i="47"/>
  <c r="AA77" i="47"/>
  <c r="AA78" i="47"/>
  <c r="AA79" i="47"/>
  <c r="AA80" i="47"/>
  <c r="AA81" i="47"/>
  <c r="AA82" i="47"/>
  <c r="AA83" i="47"/>
  <c r="AA84" i="47"/>
  <c r="AA85" i="47"/>
  <c r="AA86" i="47"/>
  <c r="AA87" i="47"/>
  <c r="AA88" i="47"/>
  <c r="AA89" i="47"/>
  <c r="AA90" i="47"/>
  <c r="AA91" i="47"/>
  <c r="AA92" i="47"/>
  <c r="AA93" i="47"/>
  <c r="AA94" i="47"/>
  <c r="AA95" i="47"/>
  <c r="AA96" i="47"/>
  <c r="AA97" i="47"/>
  <c r="AA98" i="47"/>
  <c r="AA99" i="47"/>
  <c r="AA100" i="47"/>
  <c r="AA101" i="47"/>
  <c r="AA102" i="47"/>
  <c r="AA103" i="47"/>
  <c r="AA104" i="47"/>
  <c r="AA105" i="47"/>
  <c r="AA106" i="47"/>
  <c r="AA107" i="47"/>
  <c r="AA108" i="47"/>
  <c r="AA109" i="47"/>
  <c r="AA110" i="47"/>
  <c r="AA111" i="47"/>
  <c r="AA112" i="47"/>
  <c r="AA113" i="47"/>
  <c r="AA114" i="47"/>
  <c r="AA115" i="47"/>
  <c r="AA116" i="47"/>
  <c r="AA117" i="47"/>
  <c r="AA118" i="47"/>
  <c r="AA119" i="47"/>
  <c r="AA120" i="47"/>
  <c r="AA121" i="47"/>
  <c r="AA122" i="47"/>
  <c r="AA123" i="47"/>
  <c r="AA124" i="47"/>
  <c r="AA125" i="47"/>
  <c r="AA126" i="47"/>
  <c r="AA127" i="47"/>
  <c r="AA128" i="47"/>
  <c r="AA129" i="47"/>
  <c r="AA130" i="47"/>
  <c r="AA131" i="47"/>
  <c r="AA132" i="47"/>
  <c r="AA133" i="47"/>
  <c r="AA134" i="47"/>
  <c r="AA135" i="47"/>
  <c r="AA136" i="47"/>
  <c r="AA137" i="47"/>
  <c r="AA138" i="47"/>
  <c r="AA139" i="47"/>
  <c r="AA140" i="47"/>
  <c r="AA141" i="47"/>
  <c r="AA142" i="47"/>
  <c r="AA143" i="47"/>
  <c r="AA144" i="47"/>
  <c r="AA145" i="47"/>
  <c r="AA146" i="47"/>
  <c r="AA147" i="47"/>
  <c r="AA148" i="47"/>
  <c r="AA149" i="47"/>
  <c r="AA150" i="47"/>
  <c r="AA151" i="47"/>
  <c r="AA152" i="47"/>
  <c r="AA153" i="47"/>
  <c r="AA154" i="47"/>
  <c r="AA155" i="47"/>
  <c r="AA156" i="47"/>
  <c r="AA157" i="47"/>
  <c r="AA158" i="47"/>
  <c r="AA159" i="47"/>
  <c r="AA160" i="47"/>
  <c r="AA161" i="47"/>
  <c r="AA162" i="47"/>
  <c r="AA163" i="47"/>
  <c r="AA164" i="47"/>
  <c r="AA165" i="47"/>
  <c r="AA166" i="47"/>
  <c r="AA167" i="47"/>
  <c r="AA168" i="47"/>
  <c r="AA169" i="47"/>
  <c r="AA170" i="47"/>
  <c r="AA171" i="47"/>
  <c r="AA172" i="47"/>
  <c r="AA173" i="47"/>
  <c r="AA174" i="47"/>
  <c r="AA175" i="47"/>
  <c r="AA176" i="47"/>
  <c r="AA177" i="47"/>
  <c r="AA178" i="47"/>
  <c r="AA179" i="47"/>
  <c r="AA180" i="47"/>
  <c r="AA181" i="47"/>
  <c r="AA182" i="47"/>
  <c r="AA183" i="47"/>
  <c r="AA184" i="47"/>
  <c r="AA185" i="47"/>
  <c r="AA186" i="47"/>
  <c r="AA187" i="47"/>
  <c r="AA188" i="47"/>
  <c r="AA189" i="47"/>
  <c r="AA190" i="47"/>
  <c r="AA191" i="47"/>
  <c r="AA192" i="47"/>
  <c r="AA193" i="47"/>
  <c r="AA194" i="47"/>
  <c r="AA195" i="47"/>
  <c r="AA196" i="47"/>
  <c r="AA197" i="47"/>
  <c r="AA198" i="47"/>
  <c r="AA199" i="47"/>
  <c r="AA200" i="47"/>
  <c r="AA201" i="47"/>
  <c r="AA202" i="47"/>
  <c r="AA203" i="47"/>
  <c r="AA204" i="47"/>
  <c r="AA205" i="47"/>
  <c r="AA206" i="47"/>
  <c r="AA207" i="47"/>
  <c r="AA208" i="47"/>
  <c r="AA209" i="47"/>
  <c r="AA210" i="47"/>
  <c r="AA211" i="47"/>
  <c r="AA212" i="47"/>
  <c r="AA213" i="47"/>
  <c r="AA214" i="47"/>
  <c r="AA215" i="47"/>
  <c r="AA216" i="47"/>
  <c r="AA217" i="47"/>
  <c r="AA218" i="47"/>
  <c r="AA219" i="47"/>
  <c r="AA220" i="47"/>
  <c r="AA221" i="47"/>
  <c r="AA222" i="47"/>
  <c r="AA223" i="47"/>
  <c r="AA224" i="47"/>
  <c r="AA225" i="47"/>
  <c r="AA226" i="47"/>
  <c r="AA227" i="47"/>
  <c r="AA228" i="47"/>
  <c r="AA229" i="47"/>
  <c r="AA230" i="47"/>
  <c r="AA231" i="47"/>
  <c r="AA232" i="47"/>
  <c r="AA233" i="47"/>
  <c r="AA234" i="47"/>
  <c r="AA235" i="47"/>
  <c r="AA236" i="47"/>
  <c r="AA237" i="47"/>
  <c r="AA238" i="47"/>
  <c r="AA239" i="47"/>
  <c r="AA240" i="47"/>
  <c r="AA241" i="47"/>
  <c r="AA242" i="47"/>
  <c r="AA243" i="47"/>
  <c r="AA244" i="47"/>
  <c r="AA245" i="47"/>
  <c r="AA246" i="47"/>
  <c r="AA247" i="47"/>
  <c r="AA248" i="47"/>
  <c r="AA249" i="47"/>
  <c r="AA250" i="47"/>
  <c r="AA251" i="47"/>
  <c r="AA252" i="47"/>
  <c r="AA253" i="47"/>
  <c r="AA254" i="47"/>
  <c r="AA255" i="47"/>
  <c r="AA256" i="47"/>
  <c r="AA257" i="47"/>
  <c r="AA258" i="47"/>
  <c r="AA259" i="47"/>
  <c r="AA260" i="47"/>
  <c r="AA261" i="47"/>
  <c r="AA262" i="47"/>
  <c r="AA263" i="47"/>
  <c r="AA264" i="47"/>
  <c r="AA265" i="47"/>
  <c r="AA266" i="47"/>
  <c r="AA267" i="47"/>
  <c r="AA268" i="47"/>
  <c r="AA269" i="47"/>
  <c r="AA270" i="47"/>
  <c r="AA271" i="47"/>
  <c r="AA272" i="47"/>
  <c r="AA273" i="47"/>
  <c r="AA274" i="47"/>
  <c r="AA275" i="47"/>
  <c r="AA276" i="47"/>
  <c r="AA277" i="47"/>
  <c r="AA278" i="47"/>
  <c r="AA279" i="47"/>
  <c r="AA280" i="47"/>
  <c r="AA281" i="47"/>
  <c r="AA282" i="47"/>
  <c r="AA283" i="47"/>
  <c r="AA284" i="47"/>
  <c r="AA285" i="47"/>
  <c r="AA286" i="47"/>
  <c r="AA287" i="47"/>
  <c r="AA288" i="47"/>
  <c r="AA289" i="47"/>
  <c r="AA290" i="47"/>
  <c r="AA291" i="47"/>
  <c r="AA292" i="47"/>
  <c r="AA293" i="47"/>
  <c r="AA294" i="47"/>
  <c r="AA295" i="47"/>
  <c r="AA296" i="47"/>
  <c r="AA297" i="47"/>
  <c r="AA298" i="47"/>
  <c r="AA299" i="47"/>
  <c r="AA300" i="47"/>
  <c r="AA301" i="47"/>
  <c r="AA302" i="47"/>
  <c r="AA303" i="47"/>
  <c r="AA304" i="47"/>
  <c r="AA305" i="47"/>
  <c r="AA306" i="47"/>
  <c r="AA307" i="47"/>
  <c r="AA308" i="47"/>
  <c r="AA309" i="47"/>
  <c r="AA310" i="47"/>
  <c r="AA311" i="47"/>
  <c r="AA312" i="47"/>
  <c r="AA313" i="47"/>
  <c r="AA314" i="47"/>
  <c r="AA315" i="47"/>
  <c r="AA316" i="47"/>
  <c r="AA317" i="47"/>
  <c r="AA318" i="47"/>
  <c r="AA319" i="47"/>
  <c r="AA320" i="47"/>
  <c r="AA321" i="47"/>
  <c r="AA322" i="47"/>
  <c r="AA323" i="47"/>
  <c r="AA324" i="47"/>
  <c r="AA325" i="47"/>
  <c r="AA326" i="47"/>
  <c r="AA327" i="47"/>
  <c r="AA328" i="47"/>
  <c r="AA329" i="47"/>
  <c r="AA330" i="47"/>
  <c r="AA331" i="47"/>
  <c r="AA332" i="47"/>
  <c r="AA333" i="47"/>
  <c r="AA334" i="47"/>
  <c r="AA335" i="47"/>
  <c r="AA336" i="47"/>
  <c r="AA337" i="47"/>
  <c r="AA338" i="47"/>
  <c r="AA339" i="47"/>
  <c r="AA340" i="47"/>
  <c r="AA341" i="47"/>
  <c r="AA342" i="47"/>
  <c r="AA343" i="47"/>
  <c r="AA344" i="47"/>
  <c r="AA345" i="47"/>
  <c r="AA346" i="47"/>
  <c r="AA347" i="47"/>
  <c r="AA348" i="47"/>
  <c r="AA349" i="47"/>
  <c r="AA350" i="47"/>
  <c r="AA351" i="47"/>
  <c r="AA352" i="47"/>
  <c r="AA353" i="47"/>
  <c r="AA354" i="47"/>
  <c r="AA355" i="47"/>
  <c r="AA356" i="47"/>
  <c r="AA357" i="47"/>
  <c r="AA358" i="47"/>
  <c r="AA359" i="47"/>
  <c r="AA360" i="47"/>
  <c r="AA361" i="47"/>
  <c r="AA362" i="47"/>
  <c r="AA363" i="47"/>
  <c r="AA364" i="47"/>
  <c r="AA365" i="47"/>
  <c r="AA366" i="47"/>
  <c r="AA367" i="47"/>
  <c r="AA368" i="47"/>
  <c r="AA369" i="47"/>
  <c r="AA370" i="47"/>
  <c r="AA371" i="47"/>
  <c r="AA372" i="47"/>
  <c r="AA373" i="47"/>
  <c r="AA374" i="47"/>
  <c r="AA375" i="47"/>
  <c r="AA376" i="47"/>
  <c r="AA377" i="47"/>
  <c r="AA378" i="47"/>
  <c r="AA379" i="47"/>
  <c r="AA380" i="47"/>
  <c r="AA381" i="47"/>
  <c r="AA382" i="47"/>
  <c r="AA383" i="47"/>
  <c r="AA384" i="47"/>
  <c r="AA385" i="47"/>
  <c r="AA386" i="47"/>
  <c r="AA387" i="47"/>
  <c r="AA388" i="47"/>
  <c r="AA389" i="47"/>
  <c r="AA390" i="47"/>
  <c r="AA391" i="47"/>
  <c r="AA392" i="47"/>
  <c r="AA393" i="47"/>
  <c r="AA394" i="47"/>
  <c r="AA395" i="47"/>
  <c r="AA396" i="47"/>
  <c r="AA397" i="47"/>
  <c r="AA398" i="47"/>
  <c r="AA399" i="47"/>
  <c r="AA400" i="47"/>
  <c r="AA401" i="47"/>
  <c r="AA402" i="47"/>
  <c r="AA403" i="47"/>
  <c r="AA404" i="47"/>
  <c r="AA405" i="47"/>
  <c r="AA406" i="47"/>
  <c r="AA407" i="47"/>
  <c r="AA408" i="47"/>
  <c r="AA409" i="47"/>
  <c r="AA410" i="47"/>
  <c r="AA411" i="47"/>
  <c r="AA412" i="47"/>
  <c r="AA413" i="47"/>
  <c r="AA414" i="47"/>
  <c r="AA415" i="47"/>
  <c r="AA416" i="47"/>
  <c r="AA417" i="47"/>
  <c r="AA418" i="47"/>
  <c r="AA419" i="47"/>
  <c r="AA420" i="47"/>
  <c r="AA421" i="47"/>
  <c r="AA422" i="47"/>
  <c r="AA423" i="47"/>
  <c r="AA424" i="47"/>
  <c r="AA425" i="47"/>
  <c r="AA426" i="47"/>
  <c r="AA427" i="47"/>
  <c r="AA428" i="47"/>
  <c r="AA429" i="47"/>
  <c r="AA430" i="47"/>
  <c r="AA431" i="47"/>
  <c r="AA432" i="47"/>
  <c r="AA433" i="47"/>
  <c r="AA434" i="47"/>
  <c r="AA435" i="47"/>
  <c r="AA436" i="47"/>
  <c r="AA437" i="47"/>
  <c r="AA438" i="47"/>
  <c r="AA439" i="47"/>
  <c r="AA440" i="47"/>
  <c r="AA441" i="47"/>
  <c r="AA442" i="47"/>
  <c r="AA443" i="47"/>
  <c r="AA444" i="47"/>
  <c r="AA445" i="47"/>
  <c r="AA446" i="47"/>
  <c r="AA447" i="47"/>
  <c r="AA448" i="47"/>
  <c r="AA449" i="47"/>
  <c r="AA450" i="47"/>
  <c r="AA451" i="47"/>
  <c r="AA452" i="47"/>
  <c r="AA453" i="47"/>
  <c r="AA454" i="47"/>
  <c r="AA455" i="47"/>
  <c r="AA456" i="47"/>
  <c r="AA457" i="47"/>
  <c r="AA458" i="47"/>
  <c r="AA459" i="47"/>
  <c r="AA460" i="47"/>
  <c r="AA461" i="47"/>
  <c r="AA462" i="47"/>
  <c r="AA463" i="47"/>
  <c r="AA464" i="47"/>
  <c r="AA465" i="47"/>
  <c r="AA466" i="47"/>
  <c r="AA467" i="47"/>
  <c r="AA468" i="47"/>
  <c r="AA469" i="47"/>
  <c r="AA470" i="47"/>
  <c r="AA471" i="47"/>
  <c r="AA472" i="47"/>
  <c r="AA473" i="47"/>
  <c r="AA474" i="47"/>
  <c r="AA475" i="47"/>
  <c r="AA476" i="47"/>
  <c r="AA477" i="47"/>
  <c r="AA478" i="47"/>
  <c r="AA479" i="47"/>
  <c r="AA480" i="47"/>
  <c r="AA481" i="47"/>
  <c r="AA482" i="47"/>
  <c r="AA483" i="47"/>
  <c r="AA484" i="47"/>
  <c r="AA485" i="47"/>
  <c r="AA486" i="47"/>
  <c r="AA487" i="47"/>
  <c r="AA488" i="47"/>
  <c r="AA489" i="47"/>
  <c r="AA490" i="47"/>
  <c r="AA491" i="47"/>
  <c r="AA492" i="47"/>
  <c r="AA493" i="47"/>
  <c r="AA494" i="47"/>
  <c r="AA495" i="47"/>
  <c r="AA496" i="47"/>
  <c r="AA497" i="47"/>
  <c r="AA498" i="47"/>
  <c r="AA499" i="47"/>
  <c r="AA500" i="47"/>
  <c r="AA501" i="47"/>
  <c r="AA502" i="47"/>
  <c r="AA503" i="47"/>
  <c r="AA504" i="47"/>
  <c r="AA505" i="47"/>
  <c r="AA506" i="47"/>
  <c r="AA507" i="47"/>
  <c r="AA508" i="47"/>
  <c r="AA509" i="47"/>
  <c r="AA510" i="47"/>
  <c r="AA511" i="47"/>
  <c r="AA512" i="47"/>
  <c r="AA513" i="47"/>
  <c r="AA514" i="47"/>
  <c r="AA515" i="47"/>
  <c r="AA516" i="47"/>
  <c r="AA517" i="47"/>
  <c r="AA518" i="47"/>
  <c r="AA519" i="47"/>
  <c r="AA520" i="47"/>
  <c r="AA521" i="47"/>
  <c r="AA522" i="47"/>
  <c r="AA523" i="47"/>
  <c r="AA524" i="47"/>
  <c r="AA525" i="47"/>
  <c r="AA526" i="47"/>
  <c r="AA527" i="47"/>
  <c r="AA528" i="47"/>
  <c r="AA529" i="47"/>
  <c r="AA530" i="47"/>
  <c r="AA531" i="47"/>
  <c r="AA532" i="47"/>
  <c r="AA533" i="47"/>
  <c r="AA534" i="47"/>
  <c r="AA535" i="47"/>
  <c r="AA536" i="47"/>
  <c r="AA537" i="47"/>
  <c r="AA538" i="47"/>
  <c r="AA539" i="47"/>
  <c r="AA540" i="47"/>
  <c r="AA541" i="47"/>
  <c r="AA542" i="47"/>
  <c r="AA543" i="47"/>
  <c r="AA544" i="47"/>
  <c r="AA545" i="47"/>
  <c r="AA546" i="47"/>
  <c r="AA547" i="47"/>
  <c r="AA548" i="47"/>
  <c r="AE106" i="40"/>
  <c r="AC106" i="40"/>
  <c r="AB106" i="40"/>
  <c r="U106" i="40"/>
  <c r="T106" i="40"/>
  <c r="S106" i="40"/>
  <c r="AD106" i="40" s="1"/>
  <c r="AE103" i="40"/>
  <c r="AC103" i="40"/>
  <c r="AB103" i="40"/>
  <c r="U103" i="40"/>
  <c r="T103" i="40"/>
  <c r="S103" i="40"/>
  <c r="AD103" i="40" s="1"/>
  <c r="D106" i="40"/>
  <c r="D103" i="40"/>
  <c r="AE104" i="40"/>
  <c r="AC104" i="40"/>
  <c r="AB104" i="40"/>
  <c r="U104" i="40"/>
  <c r="T104" i="40"/>
  <c r="S104" i="40"/>
  <c r="AD104" i="40" s="1"/>
  <c r="D104" i="40"/>
  <c r="AE105" i="40"/>
  <c r="AC105" i="40"/>
  <c r="AB105" i="40"/>
  <c r="U105" i="40"/>
  <c r="T105" i="40"/>
  <c r="S105" i="40"/>
  <c r="AD105" i="40" s="1"/>
  <c r="D105" i="40"/>
  <c r="AE102" i="40"/>
  <c r="AC102" i="40"/>
  <c r="AB102" i="40"/>
  <c r="U102" i="40"/>
  <c r="T102" i="40"/>
  <c r="S102" i="40"/>
  <c r="AD102" i="40" s="1"/>
  <c r="D102" i="40"/>
  <c r="AC6" i="40"/>
  <c r="AC7" i="40"/>
  <c r="AC8" i="40"/>
  <c r="AC9" i="40"/>
  <c r="AC10" i="40"/>
  <c r="AC11" i="40"/>
  <c r="AC12" i="40"/>
  <c r="AC13" i="40"/>
  <c r="AC14" i="40"/>
  <c r="AC15" i="40"/>
  <c r="AC16" i="40"/>
  <c r="AC17" i="40"/>
  <c r="AC18" i="40"/>
  <c r="AC19" i="40"/>
  <c r="AC20" i="40"/>
  <c r="AC21" i="40"/>
  <c r="AC22" i="40"/>
  <c r="AC23" i="40"/>
  <c r="AC24" i="40"/>
  <c r="AC25" i="40"/>
  <c r="AC26" i="40"/>
  <c r="AC27" i="40"/>
  <c r="AC28" i="40"/>
  <c r="AC29" i="40"/>
  <c r="AC30" i="40"/>
  <c r="AC31" i="40"/>
  <c r="AC32" i="40"/>
  <c r="AC33" i="40"/>
  <c r="AC34" i="40"/>
  <c r="AC35" i="40"/>
  <c r="AC36" i="40"/>
  <c r="AC37" i="40"/>
  <c r="AC38" i="40"/>
  <c r="AC39" i="40"/>
  <c r="AC40" i="40"/>
  <c r="AC41" i="40"/>
  <c r="AC42" i="40"/>
  <c r="AC43" i="40"/>
  <c r="AC44" i="40"/>
  <c r="AC45" i="40"/>
  <c r="AC46" i="40"/>
  <c r="AC47" i="40"/>
  <c r="AC48" i="40"/>
  <c r="AC49" i="40"/>
  <c r="AC50" i="40"/>
  <c r="AC51" i="40"/>
  <c r="AC52" i="40"/>
  <c r="AC53" i="40"/>
  <c r="AC54" i="40"/>
  <c r="AC55" i="40"/>
  <c r="AC56" i="40"/>
  <c r="AC57" i="40"/>
  <c r="AC58" i="40"/>
  <c r="AC59" i="40"/>
  <c r="AC60" i="40"/>
  <c r="AC61" i="40"/>
  <c r="AC62" i="40"/>
  <c r="AC63" i="40"/>
  <c r="AC64" i="40"/>
  <c r="AC65" i="40"/>
  <c r="AC66" i="40"/>
  <c r="AC67" i="40"/>
  <c r="AC68" i="40"/>
  <c r="AC69" i="40"/>
  <c r="AC70" i="40"/>
  <c r="AC71" i="40"/>
  <c r="AC72" i="40"/>
  <c r="AC73" i="40"/>
  <c r="AC74" i="40"/>
  <c r="AC75" i="40"/>
  <c r="AC76" i="40"/>
  <c r="AC77" i="40"/>
  <c r="AC78" i="40"/>
  <c r="AC79" i="40"/>
  <c r="AC80" i="40"/>
  <c r="AC81" i="40"/>
  <c r="AC82" i="40"/>
  <c r="AC83" i="40"/>
  <c r="AC84" i="40"/>
  <c r="AC85" i="40"/>
  <c r="AC86" i="40"/>
  <c r="AC87" i="40"/>
  <c r="AC88" i="40"/>
  <c r="AC89" i="40"/>
  <c r="AC90" i="40"/>
  <c r="AC91" i="40"/>
  <c r="AC92" i="40"/>
  <c r="AC93" i="40"/>
  <c r="AC94" i="40"/>
  <c r="AC95" i="40"/>
  <c r="AC96" i="40"/>
  <c r="AC97" i="40"/>
  <c r="AC98" i="40"/>
  <c r="AC99" i="40"/>
  <c r="AC100" i="40"/>
  <c r="AC101" i="40"/>
  <c r="AC107" i="40"/>
  <c r="AE101" i="40"/>
  <c r="AB101" i="40"/>
  <c r="U101" i="40"/>
  <c r="T101" i="40"/>
  <c r="S101" i="40"/>
  <c r="AD101" i="40" s="1"/>
  <c r="D101" i="40"/>
  <c r="AB6" i="40"/>
  <c r="AB7" i="40"/>
  <c r="AB8" i="40"/>
  <c r="AB9" i="40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7" i="40"/>
  <c r="AC4" i="44" a="1"/>
  <c r="AB4" i="44" a="1"/>
  <c r="AA4" i="44" a="1"/>
  <c r="Z4" i="44" a="1"/>
  <c r="Y4" i="44" a="1"/>
  <c r="X4" i="44" a="1"/>
  <c r="W4" i="44" a="1"/>
  <c r="V4" i="44" a="1"/>
  <c r="AC3" i="44" a="1"/>
  <c r="AB3" i="44" a="1"/>
  <c r="AA3" i="44" a="1"/>
  <c r="Z3" i="44" a="1"/>
  <c r="Y3" i="44" a="1"/>
  <c r="X3" i="44" a="1"/>
  <c r="W3" i="44" a="1"/>
  <c r="V3" i="44" a="1"/>
  <c r="U4" i="44" a="1"/>
  <c r="T4" i="44" a="1"/>
  <c r="S4" i="44" a="1"/>
  <c r="R4" i="44" a="1"/>
  <c r="Q4" i="44" a="1"/>
  <c r="P4" i="44" a="1"/>
  <c r="O4" i="44" a="1"/>
  <c r="N4" i="44" a="1"/>
  <c r="M4" i="44" a="1"/>
  <c r="L4" i="44" a="1"/>
  <c r="U3" i="44" a="1"/>
  <c r="T3" i="44" a="1"/>
  <c r="S3" i="44" a="1"/>
  <c r="R3" i="44" a="1"/>
  <c r="Q3" i="44" a="1"/>
  <c r="P3" i="44" a="1"/>
  <c r="O3" i="44" a="1"/>
  <c r="N3" i="44" a="1"/>
  <c r="M3" i="44" a="1"/>
  <c r="L3" i="44" a="1"/>
  <c r="K4" i="44" a="1"/>
  <c r="K3" i="44" a="1"/>
  <c r="AC2" i="44" a="1"/>
  <c r="AB2" i="44" a="1"/>
  <c r="AA2" i="44" a="1"/>
  <c r="Z2" i="44" a="1"/>
  <c r="Y2" i="44" a="1"/>
  <c r="X2" i="44" a="1"/>
  <c r="W2" i="44" a="1"/>
  <c r="V2" i="44" a="1"/>
  <c r="U2" i="44" a="1"/>
  <c r="T2" i="44" a="1"/>
  <c r="S2" i="44" a="1"/>
  <c r="Q2" i="44" a="1"/>
  <c r="R2" i="44" a="1"/>
  <c r="P2" i="44" a="1"/>
  <c r="O2" i="44" a="1"/>
  <c r="N2" i="44" a="1"/>
  <c r="M2" i="44" a="1"/>
  <c r="L2" i="44" a="1"/>
  <c r="K2" i="44" a="1"/>
  <c r="J4" i="44" a="1"/>
  <c r="J3" i="44" a="1"/>
  <c r="J2" i="44" a="1"/>
  <c r="R33" i="44"/>
  <c r="Q33" i="44"/>
  <c r="P33" i="44"/>
  <c r="O33" i="44"/>
  <c r="N33" i="44"/>
  <c r="M33" i="44"/>
  <c r="J33" i="44"/>
  <c r="AE32" i="44"/>
  <c r="AC32" i="44"/>
  <c r="AB32" i="44"/>
  <c r="U32" i="44"/>
  <c r="T32" i="44"/>
  <c r="S32" i="44"/>
  <c r="D32" i="44"/>
  <c r="AE31" i="44"/>
  <c r="AC31" i="44"/>
  <c r="AB31" i="44"/>
  <c r="U31" i="44"/>
  <c r="T31" i="44"/>
  <c r="D31" i="44"/>
  <c r="AE30" i="44"/>
  <c r="AC30" i="44"/>
  <c r="AB30" i="44"/>
  <c r="U30" i="44"/>
  <c r="T30" i="44"/>
  <c r="S30" i="44"/>
  <c r="D30" i="44"/>
  <c r="AE29" i="44"/>
  <c r="AC29" i="44"/>
  <c r="AB29" i="44"/>
  <c r="U29" i="44"/>
  <c r="T29" i="44"/>
  <c r="S29" i="44"/>
  <c r="D29" i="44"/>
  <c r="AE28" i="44"/>
  <c r="AC28" i="44"/>
  <c r="AB28" i="44"/>
  <c r="U28" i="44"/>
  <c r="T28" i="44"/>
  <c r="S28" i="44"/>
  <c r="D28" i="44"/>
  <c r="AE27" i="44"/>
  <c r="AC27" i="44"/>
  <c r="AB27" i="44"/>
  <c r="U27" i="44"/>
  <c r="T27" i="44"/>
  <c r="S27" i="44"/>
  <c r="D27" i="44"/>
  <c r="AE26" i="44"/>
  <c r="AC26" i="44"/>
  <c r="AB26" i="44"/>
  <c r="U26" i="44"/>
  <c r="T26" i="44"/>
  <c r="S26" i="44"/>
  <c r="D26" i="44"/>
  <c r="AE25" i="44"/>
  <c r="AC25" i="44"/>
  <c r="AB25" i="44"/>
  <c r="U25" i="44"/>
  <c r="T25" i="44"/>
  <c r="S25" i="44"/>
  <c r="D25" i="44"/>
  <c r="AE24" i="44"/>
  <c r="AC24" i="44"/>
  <c r="AB24" i="44"/>
  <c r="U24" i="44"/>
  <c r="T24" i="44"/>
  <c r="S24" i="44"/>
  <c r="D24" i="44"/>
  <c r="AE23" i="44"/>
  <c r="AC23" i="44"/>
  <c r="AB23" i="44"/>
  <c r="U23" i="44"/>
  <c r="T23" i="44"/>
  <c r="S23" i="44"/>
  <c r="D23" i="44"/>
  <c r="AE22" i="44"/>
  <c r="AC22" i="44"/>
  <c r="AB22" i="44"/>
  <c r="U22" i="44"/>
  <c r="T22" i="44"/>
  <c r="K33" i="44"/>
  <c r="D22" i="44"/>
  <c r="AE21" i="44"/>
  <c r="AC21" i="44"/>
  <c r="AB21" i="44"/>
  <c r="U21" i="44"/>
  <c r="T21" i="44"/>
  <c r="S21" i="44"/>
  <c r="D21" i="44"/>
  <c r="AE20" i="44"/>
  <c r="AC20" i="44"/>
  <c r="AB20" i="44"/>
  <c r="U20" i="44"/>
  <c r="T20" i="44"/>
  <c r="S20" i="44"/>
  <c r="D20" i="44"/>
  <c r="AE19" i="44"/>
  <c r="AC19" i="44"/>
  <c r="AB19" i="44"/>
  <c r="U19" i="44"/>
  <c r="T19" i="44"/>
  <c r="S19" i="44"/>
  <c r="D19" i="44"/>
  <c r="AE18" i="44"/>
  <c r="AC18" i="44"/>
  <c r="AB18" i="44"/>
  <c r="U18" i="44"/>
  <c r="T18" i="44"/>
  <c r="S18" i="44"/>
  <c r="D18" i="44"/>
  <c r="AE17" i="44"/>
  <c r="AC17" i="44"/>
  <c r="AB17" i="44"/>
  <c r="U17" i="44"/>
  <c r="T17" i="44"/>
  <c r="S17" i="44"/>
  <c r="D17" i="44"/>
  <c r="AE16" i="44"/>
  <c r="AC16" i="44"/>
  <c r="AB16" i="44"/>
  <c r="U16" i="44"/>
  <c r="T16" i="44"/>
  <c r="D16" i="44"/>
  <c r="AE15" i="44"/>
  <c r="AC15" i="44"/>
  <c r="AB15" i="44"/>
  <c r="U15" i="44"/>
  <c r="T15" i="44"/>
  <c r="S15" i="44"/>
  <c r="D15" i="44"/>
  <c r="AE14" i="44"/>
  <c r="AC14" i="44"/>
  <c r="AB14" i="44"/>
  <c r="U14" i="44"/>
  <c r="T14" i="44"/>
  <c r="S14" i="44"/>
  <c r="D14" i="44"/>
  <c r="AE13" i="44"/>
  <c r="AC13" i="44"/>
  <c r="AB13" i="44"/>
  <c r="U13" i="44"/>
  <c r="T13" i="44"/>
  <c r="S13" i="44"/>
  <c r="D13" i="44"/>
  <c r="AE12" i="44"/>
  <c r="AC12" i="44"/>
  <c r="AB12" i="44"/>
  <c r="U12" i="44"/>
  <c r="T12" i="44"/>
  <c r="D12" i="44"/>
  <c r="AE11" i="44"/>
  <c r="AC11" i="44"/>
  <c r="AB11" i="44"/>
  <c r="U11" i="44"/>
  <c r="T11" i="44"/>
  <c r="S11" i="44"/>
  <c r="D11" i="44"/>
  <c r="AE10" i="44"/>
  <c r="AC10" i="44"/>
  <c r="AB10" i="44"/>
  <c r="U10" i="44"/>
  <c r="T10" i="44"/>
  <c r="S10" i="44"/>
  <c r="D10" i="44"/>
  <c r="AE9" i="44"/>
  <c r="AC9" i="44"/>
  <c r="AB9" i="44"/>
  <c r="U9" i="44"/>
  <c r="T9" i="44"/>
  <c r="S9" i="44"/>
  <c r="D9" i="44"/>
  <c r="AE8" i="44"/>
  <c r="AC8" i="44"/>
  <c r="AB8" i="44"/>
  <c r="U8" i="44"/>
  <c r="T8" i="44"/>
  <c r="S8" i="44"/>
  <c r="D8" i="44"/>
  <c r="AE7" i="44"/>
  <c r="AC7" i="44"/>
  <c r="AB7" i="44"/>
  <c r="U7" i="44"/>
  <c r="T7" i="44"/>
  <c r="S7" i="44"/>
  <c r="D7" i="44"/>
  <c r="AH6" i="44" a="1"/>
  <c r="AE6" i="44"/>
  <c r="AC6" i="44"/>
  <c r="AB6" i="44"/>
  <c r="U6" i="44"/>
  <c r="T6" i="44"/>
  <c r="D6" i="44"/>
  <c r="Q130" i="42"/>
  <c r="K125" i="42"/>
  <c r="P124" i="42"/>
  <c r="N124" i="42"/>
  <c r="L123" i="42"/>
  <c r="P121" i="42"/>
  <c r="P120" i="42"/>
  <c r="U120" i="42" s="1"/>
  <c r="Q119" i="42"/>
  <c r="O119" i="42"/>
  <c r="M119" i="42"/>
  <c r="J118" i="42"/>
  <c r="S118" i="42" s="1"/>
  <c r="Q117" i="42"/>
  <c r="O117" i="42"/>
  <c r="M117" i="42"/>
  <c r="T117" i="42" s="1"/>
  <c r="K117" i="42"/>
  <c r="P113" i="42"/>
  <c r="U113" i="42" s="1"/>
  <c r="M113" i="42"/>
  <c r="P112" i="42"/>
  <c r="M112" i="42"/>
  <c r="P111" i="42"/>
  <c r="M111" i="42"/>
  <c r="J111" i="42"/>
  <c r="P110" i="42"/>
  <c r="M110" i="42"/>
  <c r="J110" i="42"/>
  <c r="N109" i="42"/>
  <c r="R108" i="42"/>
  <c r="Q108" i="42"/>
  <c r="P108" i="42"/>
  <c r="O108" i="42"/>
  <c r="N108" i="42"/>
  <c r="M108" i="42"/>
  <c r="T108" i="42" s="1"/>
  <c r="N107" i="42"/>
  <c r="P106" i="42"/>
  <c r="L106" i="42"/>
  <c r="R105" i="42"/>
  <c r="Q105" i="42"/>
  <c r="U105" i="42" s="1"/>
  <c r="P105" i="42"/>
  <c r="O105" i="42"/>
  <c r="N105" i="42"/>
  <c r="M105" i="42"/>
  <c r="L105" i="42"/>
  <c r="K105" i="42"/>
  <c r="J105" i="42"/>
  <c r="R104" i="42"/>
  <c r="U104" i="42" s="1"/>
  <c r="Q103" i="42"/>
  <c r="P103" i="42"/>
  <c r="U103" i="42" s="1"/>
  <c r="Q102" i="42"/>
  <c r="U102" i="42" s="1"/>
  <c r="N102" i="42"/>
  <c r="T102" i="42" s="1"/>
  <c r="L102" i="42"/>
  <c r="Q101" i="42"/>
  <c r="U101" i="42" s="1"/>
  <c r="N101" i="42"/>
  <c r="L101" i="42"/>
  <c r="Q100" i="42"/>
  <c r="N100" i="42"/>
  <c r="L100" i="42"/>
  <c r="P99" i="42"/>
  <c r="M99" i="42"/>
  <c r="T99" i="42" s="1"/>
  <c r="J98" i="42"/>
  <c r="P97" i="42"/>
  <c r="U97" i="42" s="1"/>
  <c r="M97" i="42"/>
  <c r="T97" i="42" s="1"/>
  <c r="N95" i="42"/>
  <c r="R94" i="42"/>
  <c r="Q94" i="42"/>
  <c r="U94" i="42" s="1"/>
  <c r="P94" i="42"/>
  <c r="O94" i="42"/>
  <c r="R93" i="42"/>
  <c r="Q93" i="42"/>
  <c r="P93" i="42"/>
  <c r="O93" i="42"/>
  <c r="N92" i="42"/>
  <c r="M92" i="42"/>
  <c r="L92" i="42"/>
  <c r="K92" i="42"/>
  <c r="J92" i="42"/>
  <c r="S92" i="42" s="1"/>
  <c r="N91" i="42"/>
  <c r="T91" i="42" s="1"/>
  <c r="R90" i="42"/>
  <c r="R160" i="42" s="1"/>
  <c r="Q90" i="42"/>
  <c r="P90" i="42"/>
  <c r="O90" i="42"/>
  <c r="N90" i="42"/>
  <c r="M90" i="42"/>
  <c r="T90" i="42" s="1"/>
  <c r="L90" i="42"/>
  <c r="K90" i="42"/>
  <c r="J90" i="42"/>
  <c r="K89" i="42"/>
  <c r="J89" i="42"/>
  <c r="Q88" i="42"/>
  <c r="O88" i="42"/>
  <c r="M88" i="42"/>
  <c r="K88" i="42"/>
  <c r="S88" i="42" s="1"/>
  <c r="Q87" i="42"/>
  <c r="U87" i="42" s="1"/>
  <c r="N87" i="42"/>
  <c r="T87" i="42" s="1"/>
  <c r="J87" i="42"/>
  <c r="S87" i="42" s="1"/>
  <c r="Q85" i="42"/>
  <c r="U85" i="42" s="1"/>
  <c r="N85" i="42"/>
  <c r="T85" i="42" s="1"/>
  <c r="Q84" i="42"/>
  <c r="N84" i="42"/>
  <c r="P83" i="42"/>
  <c r="P82" i="42"/>
  <c r="P81" i="42"/>
  <c r="O80" i="42"/>
  <c r="N79" i="42"/>
  <c r="Q78" i="42"/>
  <c r="N78" i="42"/>
  <c r="Q77" i="42"/>
  <c r="N77" i="42"/>
  <c r="T77" i="42" s="1"/>
  <c r="L77" i="42"/>
  <c r="S77" i="42" s="1"/>
  <c r="Q76" i="42"/>
  <c r="U76" i="42" s="1"/>
  <c r="N76" i="42"/>
  <c r="T76" i="42" s="1"/>
  <c r="L76" i="42"/>
  <c r="Q75" i="42"/>
  <c r="U75" i="42" s="1"/>
  <c r="N75" i="42"/>
  <c r="L75" i="42"/>
  <c r="O73" i="42"/>
  <c r="L73" i="42"/>
  <c r="P72" i="42"/>
  <c r="M72" i="42"/>
  <c r="P71" i="42"/>
  <c r="M71" i="42"/>
  <c r="K71" i="42"/>
  <c r="J70" i="42"/>
  <c r="Q68" i="42"/>
  <c r="N68" i="42"/>
  <c r="P67" i="42"/>
  <c r="U67" i="42" s="1"/>
  <c r="M67" i="42"/>
  <c r="T67" i="42" s="1"/>
  <c r="Q66" i="42"/>
  <c r="N66" i="42"/>
  <c r="T66" i="42" s="1"/>
  <c r="L66" i="42"/>
  <c r="J66" i="42"/>
  <c r="Q65" i="42"/>
  <c r="N65" i="42"/>
  <c r="L65" i="42"/>
  <c r="Q64" i="42"/>
  <c r="N64" i="42"/>
  <c r="Q63" i="42"/>
  <c r="N63" i="42"/>
  <c r="K63" i="42"/>
  <c r="Q62" i="42"/>
  <c r="U62" i="42" s="1"/>
  <c r="N62" i="42"/>
  <c r="T62" i="42" s="1"/>
  <c r="K62" i="42"/>
  <c r="S62" i="42" s="1"/>
  <c r="Q60" i="42"/>
  <c r="U60" i="42" s="1"/>
  <c r="O60" i="42"/>
  <c r="M60" i="42"/>
  <c r="M160" i="42" s="1"/>
  <c r="R59" i="42"/>
  <c r="P59" i="42"/>
  <c r="N59" i="42"/>
  <c r="Q58" i="42"/>
  <c r="O58" i="42"/>
  <c r="O160" i="42" s="1"/>
  <c r="M58" i="42"/>
  <c r="L58" i="42"/>
  <c r="J58" i="42"/>
  <c r="Q57" i="42"/>
  <c r="O57" i="42"/>
  <c r="M57" i="42"/>
  <c r="J57" i="42"/>
  <c r="U117" i="42"/>
  <c r="S117" i="42"/>
  <c r="T113" i="42"/>
  <c r="S113" i="42"/>
  <c r="S112" i="42"/>
  <c r="S108" i="42"/>
  <c r="T103" i="42"/>
  <c r="T101" i="42"/>
  <c r="S97" i="42"/>
  <c r="T95" i="42"/>
  <c r="U90" i="42"/>
  <c r="S90" i="42"/>
  <c r="T83" i="42"/>
  <c r="S67" i="42"/>
  <c r="U66" i="42"/>
  <c r="T65" i="42"/>
  <c r="S60" i="42"/>
  <c r="U58" i="42"/>
  <c r="D99" i="42"/>
  <c r="D100" i="42"/>
  <c r="D101" i="42"/>
  <c r="D102" i="42"/>
  <c r="D103" i="42"/>
  <c r="D104" i="42"/>
  <c r="D105" i="42"/>
  <c r="D106" i="42"/>
  <c r="D107" i="42"/>
  <c r="D108" i="42"/>
  <c r="D109" i="42"/>
  <c r="D110" i="42"/>
  <c r="D111" i="42"/>
  <c r="D112" i="42"/>
  <c r="D113" i="42"/>
  <c r="D114" i="42"/>
  <c r="D115" i="42"/>
  <c r="D116" i="42"/>
  <c r="D117" i="42"/>
  <c r="D118" i="42"/>
  <c r="D119" i="42"/>
  <c r="D120" i="42"/>
  <c r="D121" i="42"/>
  <c r="D122" i="42"/>
  <c r="D123" i="42"/>
  <c r="D124" i="42"/>
  <c r="D125" i="42"/>
  <c r="D126" i="42"/>
  <c r="D127" i="42"/>
  <c r="D128" i="42"/>
  <c r="D129" i="42"/>
  <c r="D130" i="42"/>
  <c r="D131" i="42"/>
  <c r="D132" i="42"/>
  <c r="D133" i="42"/>
  <c r="D134" i="42"/>
  <c r="D135" i="42"/>
  <c r="D136" i="42"/>
  <c r="D137" i="42"/>
  <c r="D138" i="42"/>
  <c r="D139" i="42"/>
  <c r="D140" i="42"/>
  <c r="D141" i="42"/>
  <c r="D142" i="42"/>
  <c r="D143" i="42"/>
  <c r="D144" i="42"/>
  <c r="D145" i="42"/>
  <c r="D146" i="42"/>
  <c r="D147" i="42"/>
  <c r="D148" i="42"/>
  <c r="D149" i="42"/>
  <c r="D150" i="42"/>
  <c r="D151" i="42"/>
  <c r="D152" i="42"/>
  <c r="D153" i="42"/>
  <c r="D154" i="42"/>
  <c r="D155" i="42"/>
  <c r="D156" i="42"/>
  <c r="D157" i="42"/>
  <c r="D158" i="42"/>
  <c r="D159" i="42"/>
  <c r="S99" i="42"/>
  <c r="S100" i="42"/>
  <c r="S101" i="42"/>
  <c r="S102" i="42"/>
  <c r="S103" i="42"/>
  <c r="S104" i="42"/>
  <c r="S105" i="42"/>
  <c r="S106" i="42"/>
  <c r="S107" i="42"/>
  <c r="S109" i="42"/>
  <c r="S110" i="42"/>
  <c r="S111" i="42"/>
  <c r="S114" i="42"/>
  <c r="S115" i="42"/>
  <c r="S116" i="42"/>
  <c r="S119" i="42"/>
  <c r="S120" i="42"/>
  <c r="S121" i="42"/>
  <c r="S122" i="42"/>
  <c r="S123" i="42"/>
  <c r="S124" i="42"/>
  <c r="S125" i="42"/>
  <c r="S126" i="42"/>
  <c r="S127" i="42"/>
  <c r="S128" i="42"/>
  <c r="S129" i="42"/>
  <c r="S130" i="42"/>
  <c r="S131" i="42"/>
  <c r="S132" i="42"/>
  <c r="S133" i="42"/>
  <c r="S134" i="42"/>
  <c r="S135" i="42"/>
  <c r="S136" i="42"/>
  <c r="S137" i="42"/>
  <c r="S138" i="42"/>
  <c r="S139" i="42"/>
  <c r="S140" i="42"/>
  <c r="S141" i="42"/>
  <c r="S142" i="42"/>
  <c r="S143" i="42"/>
  <c r="S144" i="42"/>
  <c r="S145" i="42"/>
  <c r="S146" i="42"/>
  <c r="S147" i="42"/>
  <c r="S148" i="42"/>
  <c r="S149" i="42"/>
  <c r="S150" i="42"/>
  <c r="S151" i="42"/>
  <c r="S152" i="42"/>
  <c r="S153" i="42"/>
  <c r="S154" i="42"/>
  <c r="S155" i="42"/>
  <c r="S156" i="42"/>
  <c r="S157" i="42"/>
  <c r="S158" i="42"/>
  <c r="S159" i="42"/>
  <c r="T100" i="42"/>
  <c r="T104" i="42"/>
  <c r="T105" i="42"/>
  <c r="T106" i="42"/>
  <c r="T107" i="42"/>
  <c r="T109" i="42"/>
  <c r="T110" i="42"/>
  <c r="T111" i="42"/>
  <c r="T112" i="42"/>
  <c r="T114" i="42"/>
  <c r="T115" i="42"/>
  <c r="T116" i="42"/>
  <c r="T118" i="42"/>
  <c r="T119" i="42"/>
  <c r="T120" i="42"/>
  <c r="T121" i="42"/>
  <c r="T122" i="42"/>
  <c r="T123" i="42"/>
  <c r="T124" i="42"/>
  <c r="T125" i="42"/>
  <c r="T126" i="42"/>
  <c r="T127" i="42"/>
  <c r="T128" i="42"/>
  <c r="T129" i="42"/>
  <c r="T130" i="42"/>
  <c r="T131" i="42"/>
  <c r="T132" i="42"/>
  <c r="T133" i="42"/>
  <c r="T134" i="42"/>
  <c r="T135" i="42"/>
  <c r="T136" i="42"/>
  <c r="T137" i="42"/>
  <c r="T138" i="42"/>
  <c r="T139" i="42"/>
  <c r="T140" i="42"/>
  <c r="T141" i="42"/>
  <c r="T142" i="42"/>
  <c r="T143" i="42"/>
  <c r="T144" i="42"/>
  <c r="T145" i="42"/>
  <c r="T146" i="42"/>
  <c r="T147" i="42"/>
  <c r="T148" i="42"/>
  <c r="T149" i="42"/>
  <c r="T150" i="42"/>
  <c r="T151" i="42"/>
  <c r="T152" i="42"/>
  <c r="T153" i="42"/>
  <c r="T154" i="42"/>
  <c r="T155" i="42"/>
  <c r="T156" i="42"/>
  <c r="T157" i="42"/>
  <c r="T158" i="42"/>
  <c r="T159" i="42"/>
  <c r="U99" i="42"/>
  <c r="U100" i="42"/>
  <c r="U106" i="42"/>
  <c r="U107" i="42"/>
  <c r="U108" i="42"/>
  <c r="U109" i="42"/>
  <c r="U110" i="42"/>
  <c r="U111" i="42"/>
  <c r="U112" i="42"/>
  <c r="U114" i="42"/>
  <c r="U115" i="42"/>
  <c r="U116" i="42"/>
  <c r="U118" i="42"/>
  <c r="U119" i="42"/>
  <c r="U121" i="42"/>
  <c r="U122" i="42"/>
  <c r="U123" i="42"/>
  <c r="U124" i="42"/>
  <c r="U125" i="42"/>
  <c r="U126" i="42"/>
  <c r="U127" i="42"/>
  <c r="U128" i="42"/>
  <c r="U129" i="42"/>
  <c r="U130" i="42"/>
  <c r="U131" i="42"/>
  <c r="U132" i="42"/>
  <c r="U133" i="42"/>
  <c r="U134" i="42"/>
  <c r="U135" i="42"/>
  <c r="U136" i="42"/>
  <c r="U137" i="42"/>
  <c r="U138" i="42"/>
  <c r="U139" i="42"/>
  <c r="U140" i="42"/>
  <c r="U141" i="42"/>
  <c r="U142" i="42"/>
  <c r="U143" i="42"/>
  <c r="U144" i="42"/>
  <c r="U145" i="42"/>
  <c r="U146" i="42"/>
  <c r="U147" i="42"/>
  <c r="U148" i="42"/>
  <c r="U149" i="42"/>
  <c r="U150" i="42"/>
  <c r="U151" i="42"/>
  <c r="U152" i="42"/>
  <c r="U153" i="42"/>
  <c r="U154" i="42"/>
  <c r="U155" i="42"/>
  <c r="U156" i="42"/>
  <c r="U157" i="42"/>
  <c r="U158" i="42"/>
  <c r="U159" i="42"/>
  <c r="AB99" i="42"/>
  <c r="AB100" i="42"/>
  <c r="AB101" i="42"/>
  <c r="AB102" i="42"/>
  <c r="AB103" i="42"/>
  <c r="AB104" i="42"/>
  <c r="AB105" i="42"/>
  <c r="AB106" i="42"/>
  <c r="AB107" i="42"/>
  <c r="AB108" i="42"/>
  <c r="AB109" i="42"/>
  <c r="AB110" i="42"/>
  <c r="AB111" i="42"/>
  <c r="AB112" i="42"/>
  <c r="AB113" i="42"/>
  <c r="AB114" i="42"/>
  <c r="AB115" i="42"/>
  <c r="AB116" i="42"/>
  <c r="AB117" i="42"/>
  <c r="AB118" i="42"/>
  <c r="AB119" i="42"/>
  <c r="AB120" i="42"/>
  <c r="AB121" i="42"/>
  <c r="AB122" i="42"/>
  <c r="AB123" i="42"/>
  <c r="AB124" i="42"/>
  <c r="AB125" i="42"/>
  <c r="AB126" i="42"/>
  <c r="AB127" i="42"/>
  <c r="AB128" i="42"/>
  <c r="AB129" i="42"/>
  <c r="AB130" i="42"/>
  <c r="AB131" i="42"/>
  <c r="AB132" i="42"/>
  <c r="AB133" i="42"/>
  <c r="AB134" i="42"/>
  <c r="AB135" i="42"/>
  <c r="AB136" i="42"/>
  <c r="AB137" i="42"/>
  <c r="AB138" i="42"/>
  <c r="AB139" i="42"/>
  <c r="AB140" i="42"/>
  <c r="AB141" i="42"/>
  <c r="AB142" i="42"/>
  <c r="AB143" i="42"/>
  <c r="AB144" i="42"/>
  <c r="AB145" i="42"/>
  <c r="AB146" i="42"/>
  <c r="AB147" i="42"/>
  <c r="AB148" i="42"/>
  <c r="AB149" i="42"/>
  <c r="AB150" i="42"/>
  <c r="AB151" i="42"/>
  <c r="AB152" i="42"/>
  <c r="AB153" i="42"/>
  <c r="AB154" i="42"/>
  <c r="AB155" i="42"/>
  <c r="AB156" i="42"/>
  <c r="AB157" i="42"/>
  <c r="AB158" i="42"/>
  <c r="AB159" i="42"/>
  <c r="AC99" i="42"/>
  <c r="AC100" i="42"/>
  <c r="AC101" i="42"/>
  <c r="AC102" i="42"/>
  <c r="AC103" i="42"/>
  <c r="AC104" i="42"/>
  <c r="AC105" i="42"/>
  <c r="AC106" i="42"/>
  <c r="AC107" i="42"/>
  <c r="AC108" i="42"/>
  <c r="AC109" i="42"/>
  <c r="AC110" i="42"/>
  <c r="AC111" i="42"/>
  <c r="AC112" i="42"/>
  <c r="AC113" i="42"/>
  <c r="AC114" i="42"/>
  <c r="AC115" i="42"/>
  <c r="AC116" i="42"/>
  <c r="AC117" i="42"/>
  <c r="AC118" i="42"/>
  <c r="AC119" i="42"/>
  <c r="AC120" i="42"/>
  <c r="AC121" i="42"/>
  <c r="AC122" i="42"/>
  <c r="AC123" i="42"/>
  <c r="AC124" i="42"/>
  <c r="AC125" i="42"/>
  <c r="AC126" i="42"/>
  <c r="AC127" i="42"/>
  <c r="AC128" i="42"/>
  <c r="AC129" i="42"/>
  <c r="AC130" i="42"/>
  <c r="AC131" i="42"/>
  <c r="AC132" i="42"/>
  <c r="AC133" i="42"/>
  <c r="AC134" i="42"/>
  <c r="AC135" i="42"/>
  <c r="AC136" i="42"/>
  <c r="AC137" i="42"/>
  <c r="AC138" i="42"/>
  <c r="AC139" i="42"/>
  <c r="AC140" i="42"/>
  <c r="AC141" i="42"/>
  <c r="AC142" i="42"/>
  <c r="AC143" i="42"/>
  <c r="AC144" i="42"/>
  <c r="AC145" i="42"/>
  <c r="AC146" i="42"/>
  <c r="AC147" i="42"/>
  <c r="AC148" i="42"/>
  <c r="AC149" i="42"/>
  <c r="AC150" i="42"/>
  <c r="AC151" i="42"/>
  <c r="AC152" i="42"/>
  <c r="AC153" i="42"/>
  <c r="AC154" i="42"/>
  <c r="AC155" i="42"/>
  <c r="AC156" i="42"/>
  <c r="AC157" i="42"/>
  <c r="AC158" i="42"/>
  <c r="AC159" i="42"/>
  <c r="AE99" i="42"/>
  <c r="AE100" i="42"/>
  <c r="AE101" i="42"/>
  <c r="AE102" i="42"/>
  <c r="AE103" i="42"/>
  <c r="AE104" i="42"/>
  <c r="AE105" i="42"/>
  <c r="AE106" i="42"/>
  <c r="AE107" i="42"/>
  <c r="AE108" i="42"/>
  <c r="AE109" i="42"/>
  <c r="AE110" i="42"/>
  <c r="AE111" i="42"/>
  <c r="AE112" i="42"/>
  <c r="AE113" i="42"/>
  <c r="AE114" i="42"/>
  <c r="AE115" i="42"/>
  <c r="AE116" i="42"/>
  <c r="AE117" i="42"/>
  <c r="AE118" i="42"/>
  <c r="AE119" i="42"/>
  <c r="AE120" i="42"/>
  <c r="AE121" i="42"/>
  <c r="AE122" i="42"/>
  <c r="AE123" i="42"/>
  <c r="AE124" i="42"/>
  <c r="AE125" i="42"/>
  <c r="AE126" i="42"/>
  <c r="AE127" i="42"/>
  <c r="AE128" i="42"/>
  <c r="AE129" i="42"/>
  <c r="AE130" i="42"/>
  <c r="AE131" i="42"/>
  <c r="AE132" i="42"/>
  <c r="AE133" i="42"/>
  <c r="AE134" i="42"/>
  <c r="AE135" i="42"/>
  <c r="AE136" i="42"/>
  <c r="AE137" i="42"/>
  <c r="AE138" i="42"/>
  <c r="AE139" i="42"/>
  <c r="AE140" i="42"/>
  <c r="AE141" i="42"/>
  <c r="AE142" i="42"/>
  <c r="AE143" i="42"/>
  <c r="AE144" i="42"/>
  <c r="AE145" i="42"/>
  <c r="AE146" i="42"/>
  <c r="AE147" i="42"/>
  <c r="AE148" i="42"/>
  <c r="AE149" i="42"/>
  <c r="AE150" i="42"/>
  <c r="AE151" i="42"/>
  <c r="AE152" i="42"/>
  <c r="AE153" i="42"/>
  <c r="AE154" i="42"/>
  <c r="AE155" i="42"/>
  <c r="AE156" i="42"/>
  <c r="AE157" i="42"/>
  <c r="AE158" i="42"/>
  <c r="AE159" i="42"/>
  <c r="AE98" i="42"/>
  <c r="AC98" i="42"/>
  <c r="AB98" i="42"/>
  <c r="U98" i="42"/>
  <c r="T98" i="42"/>
  <c r="S98" i="42"/>
  <c r="D98" i="42"/>
  <c r="AE97" i="42"/>
  <c r="AC97" i="42"/>
  <c r="AB97" i="42"/>
  <c r="D97" i="42"/>
  <c r="AE96" i="42"/>
  <c r="AC96" i="42"/>
  <c r="AB96" i="42"/>
  <c r="U96" i="42"/>
  <c r="T96" i="42"/>
  <c r="S96" i="42"/>
  <c r="D96" i="42"/>
  <c r="AE95" i="42"/>
  <c r="AC95" i="42"/>
  <c r="AB95" i="42"/>
  <c r="U95" i="42"/>
  <c r="S95" i="42"/>
  <c r="D95" i="42"/>
  <c r="AE94" i="42"/>
  <c r="AC94" i="42"/>
  <c r="AB94" i="42"/>
  <c r="T94" i="42"/>
  <c r="S94" i="42"/>
  <c r="D94" i="42"/>
  <c r="AE93" i="42"/>
  <c r="AC93" i="42"/>
  <c r="AB93" i="42"/>
  <c r="U93" i="42"/>
  <c r="T93" i="42"/>
  <c r="S93" i="42"/>
  <c r="D93" i="42"/>
  <c r="AE92" i="42"/>
  <c r="AC92" i="42"/>
  <c r="AB92" i="42"/>
  <c r="U92" i="42"/>
  <c r="T92" i="42"/>
  <c r="D92" i="42"/>
  <c r="AE91" i="42"/>
  <c r="AC91" i="42"/>
  <c r="AB91" i="42"/>
  <c r="U91" i="42"/>
  <c r="D91" i="42"/>
  <c r="AE90" i="42"/>
  <c r="AC90" i="42"/>
  <c r="AB90" i="42"/>
  <c r="D90" i="42"/>
  <c r="AE89" i="42"/>
  <c r="AC89" i="42"/>
  <c r="AB89" i="42"/>
  <c r="U89" i="42"/>
  <c r="T89" i="42"/>
  <c r="S89" i="42"/>
  <c r="D89" i="42"/>
  <c r="AE88" i="42"/>
  <c r="AC88" i="42"/>
  <c r="AB88" i="42"/>
  <c r="U88" i="42"/>
  <c r="T88" i="42"/>
  <c r="D88" i="42"/>
  <c r="AE87" i="42"/>
  <c r="AC87" i="42"/>
  <c r="AB87" i="42"/>
  <c r="D87" i="42"/>
  <c r="AE86" i="42"/>
  <c r="AC86" i="42"/>
  <c r="AB86" i="42"/>
  <c r="U86" i="42"/>
  <c r="T86" i="42"/>
  <c r="D86" i="42"/>
  <c r="AE85" i="42"/>
  <c r="AC85" i="42"/>
  <c r="AB85" i="42"/>
  <c r="S85" i="42"/>
  <c r="D85" i="42"/>
  <c r="AE84" i="42"/>
  <c r="AC84" i="42"/>
  <c r="AB84" i="42"/>
  <c r="U84" i="42"/>
  <c r="T84" i="42"/>
  <c r="S84" i="42"/>
  <c r="D84" i="42"/>
  <c r="AE83" i="42"/>
  <c r="AC83" i="42"/>
  <c r="AB83" i="42"/>
  <c r="U83" i="42"/>
  <c r="S83" i="42"/>
  <c r="D83" i="42"/>
  <c r="AE82" i="42"/>
  <c r="AC82" i="42"/>
  <c r="AB82" i="42"/>
  <c r="U82" i="42"/>
  <c r="T82" i="42"/>
  <c r="S82" i="42"/>
  <c r="D82" i="42"/>
  <c r="AE81" i="42"/>
  <c r="AC81" i="42"/>
  <c r="AB81" i="42"/>
  <c r="U81" i="42"/>
  <c r="T81" i="42"/>
  <c r="S81" i="42"/>
  <c r="D81" i="42"/>
  <c r="AE80" i="42"/>
  <c r="AC80" i="42"/>
  <c r="AB80" i="42"/>
  <c r="U80" i="42"/>
  <c r="T80" i="42"/>
  <c r="S80" i="42"/>
  <c r="D80" i="42"/>
  <c r="AE79" i="42"/>
  <c r="AC79" i="42"/>
  <c r="AB79" i="42"/>
  <c r="U79" i="42"/>
  <c r="T79" i="42"/>
  <c r="S79" i="42"/>
  <c r="D79" i="42"/>
  <c r="AE78" i="42"/>
  <c r="AC78" i="42"/>
  <c r="AB78" i="42"/>
  <c r="U78" i="42"/>
  <c r="T78" i="42"/>
  <c r="S78" i="42"/>
  <c r="D78" i="42"/>
  <c r="AE77" i="42"/>
  <c r="AC77" i="42"/>
  <c r="AB77" i="42"/>
  <c r="U77" i="42"/>
  <c r="D77" i="42"/>
  <c r="AE76" i="42"/>
  <c r="AC76" i="42"/>
  <c r="AB76" i="42"/>
  <c r="D76" i="42"/>
  <c r="AE75" i="42"/>
  <c r="AC75" i="42"/>
  <c r="AB75" i="42"/>
  <c r="T75" i="42"/>
  <c r="S75" i="42"/>
  <c r="D75" i="42"/>
  <c r="AE74" i="42"/>
  <c r="AC74" i="42"/>
  <c r="AB74" i="42"/>
  <c r="U74" i="42"/>
  <c r="T74" i="42"/>
  <c r="S74" i="42"/>
  <c r="D74" i="42"/>
  <c r="AE73" i="42"/>
  <c r="AC73" i="42"/>
  <c r="AB73" i="42"/>
  <c r="U73" i="42"/>
  <c r="T73" i="42"/>
  <c r="S73" i="42"/>
  <c r="D73" i="42"/>
  <c r="AE72" i="42"/>
  <c r="AC72" i="42"/>
  <c r="AB72" i="42"/>
  <c r="U72" i="42"/>
  <c r="T72" i="42"/>
  <c r="S72" i="42"/>
  <c r="D72" i="42"/>
  <c r="AE71" i="42"/>
  <c r="AC71" i="42"/>
  <c r="AB71" i="42"/>
  <c r="U71" i="42"/>
  <c r="T71" i="42"/>
  <c r="S71" i="42"/>
  <c r="D71" i="42"/>
  <c r="AE70" i="42"/>
  <c r="AC70" i="42"/>
  <c r="AB70" i="42"/>
  <c r="U70" i="42"/>
  <c r="T70" i="42"/>
  <c r="S70" i="42"/>
  <c r="D70" i="42"/>
  <c r="AE69" i="42"/>
  <c r="AC69" i="42"/>
  <c r="AB69" i="42"/>
  <c r="U69" i="42"/>
  <c r="T69" i="42"/>
  <c r="S69" i="42"/>
  <c r="D69" i="42"/>
  <c r="AE68" i="42"/>
  <c r="AC68" i="42"/>
  <c r="AB68" i="42"/>
  <c r="U68" i="42"/>
  <c r="T68" i="42"/>
  <c r="S68" i="42"/>
  <c r="D68" i="42"/>
  <c r="AE67" i="42"/>
  <c r="AC67" i="42"/>
  <c r="AB67" i="42"/>
  <c r="D67" i="42"/>
  <c r="AE66" i="42"/>
  <c r="AC66" i="42"/>
  <c r="AB66" i="42"/>
  <c r="S66" i="42"/>
  <c r="D66" i="42"/>
  <c r="AE65" i="42"/>
  <c r="AC65" i="42"/>
  <c r="AB65" i="42"/>
  <c r="U65" i="42"/>
  <c r="S65" i="42"/>
  <c r="D65" i="42"/>
  <c r="AE64" i="42"/>
  <c r="AC64" i="42"/>
  <c r="AB64" i="42"/>
  <c r="U64" i="42"/>
  <c r="T64" i="42"/>
  <c r="S64" i="42"/>
  <c r="D64" i="42"/>
  <c r="AE63" i="42"/>
  <c r="AC63" i="42"/>
  <c r="AB63" i="42"/>
  <c r="U63" i="42"/>
  <c r="T63" i="42"/>
  <c r="S63" i="42"/>
  <c r="D63" i="42"/>
  <c r="AE62" i="42"/>
  <c r="AC62" i="42"/>
  <c r="AB62" i="42"/>
  <c r="D62" i="42"/>
  <c r="AE61" i="42"/>
  <c r="AC61" i="42"/>
  <c r="AB61" i="42"/>
  <c r="U61" i="42"/>
  <c r="T61" i="42"/>
  <c r="S61" i="42"/>
  <c r="D61" i="42"/>
  <c r="AE60" i="42"/>
  <c r="AC60" i="42"/>
  <c r="AB60" i="42"/>
  <c r="D60" i="42"/>
  <c r="AE59" i="42"/>
  <c r="AC59" i="42"/>
  <c r="AB59" i="42"/>
  <c r="U59" i="42"/>
  <c r="T59" i="42"/>
  <c r="S59" i="42"/>
  <c r="D59" i="42"/>
  <c r="AE58" i="42"/>
  <c r="AC58" i="42"/>
  <c r="AB58" i="42"/>
  <c r="T58" i="42"/>
  <c r="S58" i="42"/>
  <c r="D58" i="42"/>
  <c r="AE57" i="42"/>
  <c r="AC57" i="42"/>
  <c r="AB57" i="42"/>
  <c r="U57" i="42"/>
  <c r="T57" i="42"/>
  <c r="S57" i="42"/>
  <c r="D57" i="42"/>
  <c r="AE56" i="42"/>
  <c r="AC56" i="42"/>
  <c r="AB56" i="42"/>
  <c r="U56" i="42"/>
  <c r="T56" i="42"/>
  <c r="S56" i="42"/>
  <c r="D56" i="42"/>
  <c r="AE55" i="42"/>
  <c r="AC55" i="42"/>
  <c r="AB55" i="42"/>
  <c r="U55" i="42"/>
  <c r="T55" i="42"/>
  <c r="S55" i="42"/>
  <c r="D55" i="42"/>
  <c r="AE54" i="42"/>
  <c r="AC54" i="42"/>
  <c r="AB54" i="42"/>
  <c r="U54" i="42"/>
  <c r="T54" i="42"/>
  <c r="S54" i="42"/>
  <c r="D54" i="42"/>
  <c r="AE53" i="42"/>
  <c r="AC53" i="42"/>
  <c r="AB53" i="42"/>
  <c r="U53" i="42"/>
  <c r="T53" i="42"/>
  <c r="S53" i="42"/>
  <c r="D53" i="42"/>
  <c r="AE52" i="42"/>
  <c r="AC52" i="42"/>
  <c r="AB52" i="42"/>
  <c r="U52" i="42"/>
  <c r="T52" i="42"/>
  <c r="S52" i="42"/>
  <c r="D52" i="42"/>
  <c r="AE51" i="42"/>
  <c r="AC51" i="42"/>
  <c r="AB51" i="42"/>
  <c r="U51" i="42"/>
  <c r="T51" i="42"/>
  <c r="S51" i="42"/>
  <c r="D51" i="42"/>
  <c r="AE50" i="42"/>
  <c r="AC50" i="42"/>
  <c r="AB50" i="42"/>
  <c r="U50" i="42"/>
  <c r="T50" i="42"/>
  <c r="S50" i="42"/>
  <c r="D50" i="42"/>
  <c r="AE49" i="42"/>
  <c r="AC49" i="42"/>
  <c r="AB49" i="42"/>
  <c r="U49" i="42"/>
  <c r="T49" i="42"/>
  <c r="S49" i="42"/>
  <c r="D49" i="42"/>
  <c r="AE48" i="42"/>
  <c r="AC48" i="42"/>
  <c r="AB48" i="42"/>
  <c r="U48" i="42"/>
  <c r="T48" i="42"/>
  <c r="S48" i="42"/>
  <c r="D48" i="42"/>
  <c r="AE47" i="42"/>
  <c r="AC47" i="42"/>
  <c r="AB47" i="42"/>
  <c r="U47" i="42"/>
  <c r="T47" i="42"/>
  <c r="S47" i="42"/>
  <c r="D47" i="42"/>
  <c r="AE46" i="42"/>
  <c r="AC46" i="42"/>
  <c r="AB46" i="42"/>
  <c r="U46" i="42"/>
  <c r="T46" i="42"/>
  <c r="S46" i="42"/>
  <c r="D46" i="42"/>
  <c r="AE45" i="42"/>
  <c r="AC45" i="42"/>
  <c r="AB45" i="42"/>
  <c r="U45" i="42"/>
  <c r="T45" i="42"/>
  <c r="S45" i="42"/>
  <c r="D45" i="42"/>
  <c r="AE44" i="42"/>
  <c r="AC44" i="42"/>
  <c r="AB44" i="42"/>
  <c r="U44" i="42"/>
  <c r="T44" i="42"/>
  <c r="S44" i="42"/>
  <c r="D44" i="42"/>
  <c r="AE43" i="42"/>
  <c r="AC43" i="42"/>
  <c r="AB43" i="42"/>
  <c r="U43" i="42"/>
  <c r="T43" i="42"/>
  <c r="S43" i="42"/>
  <c r="D43" i="42"/>
  <c r="AE42" i="42"/>
  <c r="AC42" i="42"/>
  <c r="AB42" i="42"/>
  <c r="U42" i="42"/>
  <c r="T42" i="42"/>
  <c r="S42" i="42"/>
  <c r="D42" i="42"/>
  <c r="AE41" i="42"/>
  <c r="AC41" i="42"/>
  <c r="AB41" i="42"/>
  <c r="U41" i="42"/>
  <c r="T41" i="42"/>
  <c r="D41" i="42"/>
  <c r="AE40" i="42"/>
  <c r="AC40" i="42"/>
  <c r="AB40" i="42"/>
  <c r="U40" i="42"/>
  <c r="T40" i="42"/>
  <c r="S40" i="42"/>
  <c r="D40" i="42"/>
  <c r="AE39" i="42"/>
  <c r="AC39" i="42"/>
  <c r="AB39" i="42"/>
  <c r="U39" i="42"/>
  <c r="T39" i="42"/>
  <c r="D39" i="42"/>
  <c r="AE38" i="42"/>
  <c r="AC38" i="42"/>
  <c r="AB38" i="42"/>
  <c r="U38" i="42"/>
  <c r="T38" i="42"/>
  <c r="S38" i="42"/>
  <c r="D38" i="42"/>
  <c r="AE37" i="42"/>
  <c r="AC37" i="42"/>
  <c r="AB37" i="42"/>
  <c r="U37" i="42"/>
  <c r="T37" i="42"/>
  <c r="S37" i="42"/>
  <c r="D37" i="42"/>
  <c r="AE36" i="42"/>
  <c r="AC36" i="42"/>
  <c r="AB36" i="42"/>
  <c r="U36" i="42"/>
  <c r="T36" i="42"/>
  <c r="S36" i="42"/>
  <c r="D36" i="42"/>
  <c r="AE35" i="42"/>
  <c r="AC35" i="42"/>
  <c r="AB35" i="42"/>
  <c r="U35" i="42"/>
  <c r="T35" i="42"/>
  <c r="D35" i="42"/>
  <c r="AE34" i="42"/>
  <c r="AC34" i="42"/>
  <c r="AB34" i="42"/>
  <c r="U34" i="42"/>
  <c r="T34" i="42"/>
  <c r="S34" i="42"/>
  <c r="D34" i="42"/>
  <c r="AE33" i="42"/>
  <c r="AC33" i="42"/>
  <c r="AB33" i="42"/>
  <c r="U33" i="42"/>
  <c r="T33" i="42"/>
  <c r="S33" i="42"/>
  <c r="D33" i="42"/>
  <c r="AE32" i="42"/>
  <c r="AC32" i="42"/>
  <c r="AB32" i="42"/>
  <c r="U32" i="42"/>
  <c r="T32" i="42"/>
  <c r="S32" i="42"/>
  <c r="D32" i="42"/>
  <c r="AE31" i="42"/>
  <c r="AC31" i="42"/>
  <c r="AB31" i="42"/>
  <c r="U31" i="42"/>
  <c r="T31" i="42"/>
  <c r="D31" i="42"/>
  <c r="AE30" i="42"/>
  <c r="AC30" i="42"/>
  <c r="AB30" i="42"/>
  <c r="U30" i="42"/>
  <c r="T30" i="42"/>
  <c r="S30" i="42"/>
  <c r="D30" i="42"/>
  <c r="AE29" i="42"/>
  <c r="AC29" i="42"/>
  <c r="AB29" i="42"/>
  <c r="U29" i="42"/>
  <c r="T29" i="42"/>
  <c r="S29" i="42"/>
  <c r="D29" i="42"/>
  <c r="AE28" i="42"/>
  <c r="AC28" i="42"/>
  <c r="AB28" i="42"/>
  <c r="U28" i="42"/>
  <c r="T28" i="42"/>
  <c r="S28" i="42"/>
  <c r="D28" i="42"/>
  <c r="AE27" i="42"/>
  <c r="AC27" i="42"/>
  <c r="AB27" i="42"/>
  <c r="U27" i="42"/>
  <c r="T27" i="42"/>
  <c r="S27" i="42"/>
  <c r="D27" i="42"/>
  <c r="AE26" i="42"/>
  <c r="AC26" i="42"/>
  <c r="AB26" i="42"/>
  <c r="U26" i="42"/>
  <c r="T26" i="42"/>
  <c r="S26" i="42"/>
  <c r="D26" i="42"/>
  <c r="AE25" i="42"/>
  <c r="AC25" i="42"/>
  <c r="AB25" i="42"/>
  <c r="U25" i="42"/>
  <c r="T25" i="42"/>
  <c r="S25" i="42"/>
  <c r="D25" i="42"/>
  <c r="AE24" i="42"/>
  <c r="AC24" i="42"/>
  <c r="AB24" i="42"/>
  <c r="U24" i="42"/>
  <c r="T24" i="42"/>
  <c r="S24" i="42"/>
  <c r="D24" i="42"/>
  <c r="AE23" i="42"/>
  <c r="AC23" i="42"/>
  <c r="AB23" i="42"/>
  <c r="U23" i="42"/>
  <c r="T23" i="42"/>
  <c r="S23" i="42"/>
  <c r="D23" i="42"/>
  <c r="AE22" i="42"/>
  <c r="AC22" i="42"/>
  <c r="AB22" i="42"/>
  <c r="U22" i="42"/>
  <c r="T22" i="42"/>
  <c r="D22" i="42"/>
  <c r="AE21" i="42"/>
  <c r="AC21" i="42"/>
  <c r="AB21" i="42"/>
  <c r="U21" i="42"/>
  <c r="T21" i="42"/>
  <c r="S21" i="42"/>
  <c r="D21" i="42"/>
  <c r="AE20" i="42"/>
  <c r="AC20" i="42"/>
  <c r="AB20" i="42"/>
  <c r="U20" i="42"/>
  <c r="T20" i="42"/>
  <c r="S20" i="42"/>
  <c r="D20" i="42"/>
  <c r="AE19" i="42"/>
  <c r="AC19" i="42"/>
  <c r="AB19" i="42"/>
  <c r="U19" i="42"/>
  <c r="T19" i="42"/>
  <c r="S19" i="42"/>
  <c r="D19" i="42"/>
  <c r="AE18" i="42"/>
  <c r="AC18" i="42"/>
  <c r="AB18" i="42"/>
  <c r="U18" i="42"/>
  <c r="T18" i="42"/>
  <c r="S18" i="42"/>
  <c r="D18" i="42"/>
  <c r="AE17" i="42"/>
  <c r="AC17" i="42"/>
  <c r="AB17" i="42"/>
  <c r="U17" i="42"/>
  <c r="T17" i="42"/>
  <c r="S17" i="42"/>
  <c r="D17" i="42"/>
  <c r="AE16" i="42"/>
  <c r="AC16" i="42"/>
  <c r="AB16" i="42"/>
  <c r="U16" i="42"/>
  <c r="T16" i="42"/>
  <c r="D16" i="42"/>
  <c r="AE15" i="42"/>
  <c r="AC15" i="42"/>
  <c r="AB15" i="42"/>
  <c r="U15" i="42"/>
  <c r="T15" i="42"/>
  <c r="S15" i="42"/>
  <c r="D15" i="42"/>
  <c r="AE14" i="42"/>
  <c r="AC14" i="42"/>
  <c r="AB14" i="42"/>
  <c r="U14" i="42"/>
  <c r="T14" i="42"/>
  <c r="S14" i="42"/>
  <c r="D14" i="42"/>
  <c r="AE13" i="42"/>
  <c r="AC13" i="42"/>
  <c r="AB13" i="42"/>
  <c r="U13" i="42"/>
  <c r="T13" i="42"/>
  <c r="S13" i="42"/>
  <c r="D13" i="42"/>
  <c r="AE12" i="42"/>
  <c r="AC12" i="42"/>
  <c r="AB12" i="42"/>
  <c r="U12" i="42"/>
  <c r="T12" i="42"/>
  <c r="D12" i="42"/>
  <c r="AE11" i="42"/>
  <c r="AC11" i="42"/>
  <c r="AB11" i="42"/>
  <c r="U11" i="42"/>
  <c r="T11" i="42"/>
  <c r="S11" i="42"/>
  <c r="D11" i="42"/>
  <c r="AE10" i="42"/>
  <c r="AC10" i="42"/>
  <c r="AB10" i="42"/>
  <c r="U10" i="42"/>
  <c r="T10" i="42"/>
  <c r="S10" i="42"/>
  <c r="D10" i="42"/>
  <c r="AE9" i="42"/>
  <c r="AC9" i="42"/>
  <c r="AB9" i="42"/>
  <c r="U9" i="42"/>
  <c r="T9" i="42"/>
  <c r="S9" i="42"/>
  <c r="D9" i="42"/>
  <c r="AE8" i="42"/>
  <c r="AC8" i="42"/>
  <c r="AB8" i="42"/>
  <c r="U8" i="42"/>
  <c r="T8" i="42"/>
  <c r="S8" i="42"/>
  <c r="D8" i="42"/>
  <c r="AE7" i="42"/>
  <c r="AC7" i="42"/>
  <c r="AB7" i="42"/>
  <c r="U7" i="42"/>
  <c r="T7" i="42"/>
  <c r="S7" i="42"/>
  <c r="D7" i="42"/>
  <c r="AH6" i="42" a="1"/>
  <c r="AE6" i="42"/>
  <c r="AC6" i="42"/>
  <c r="AB6" i="42"/>
  <c r="U6" i="42"/>
  <c r="T6" i="42"/>
  <c r="D6" i="42"/>
  <c r="R81" i="39"/>
  <c r="Q81" i="39"/>
  <c r="P81" i="39"/>
  <c r="O81" i="39"/>
  <c r="N81" i="39"/>
  <c r="M81" i="39"/>
  <c r="J81" i="39"/>
  <c r="AE80" i="39"/>
  <c r="AC80" i="39"/>
  <c r="AB80" i="39"/>
  <c r="U80" i="39"/>
  <c r="T80" i="39"/>
  <c r="S80" i="39"/>
  <c r="D80" i="39"/>
  <c r="AE79" i="39"/>
  <c r="AC79" i="39"/>
  <c r="AB79" i="39"/>
  <c r="U79" i="39"/>
  <c r="T79" i="39"/>
  <c r="S79" i="39"/>
  <c r="D79" i="39"/>
  <c r="AE78" i="39"/>
  <c r="AC78" i="39"/>
  <c r="AB78" i="39"/>
  <c r="U78" i="39"/>
  <c r="T78" i="39"/>
  <c r="S78" i="39"/>
  <c r="D78" i="39"/>
  <c r="AE77" i="39"/>
  <c r="AC77" i="39"/>
  <c r="AB77" i="39"/>
  <c r="U77" i="39"/>
  <c r="T77" i="39"/>
  <c r="S77" i="39"/>
  <c r="D77" i="39"/>
  <c r="AE76" i="39"/>
  <c r="AC76" i="39"/>
  <c r="AB76" i="39"/>
  <c r="U76" i="39"/>
  <c r="T76" i="39"/>
  <c r="S76" i="39"/>
  <c r="D76" i="39"/>
  <c r="AE75" i="39"/>
  <c r="AC75" i="39"/>
  <c r="AB75" i="39"/>
  <c r="U75" i="39"/>
  <c r="T75" i="39"/>
  <c r="S75" i="39"/>
  <c r="D75" i="39"/>
  <c r="AE74" i="39"/>
  <c r="AC74" i="39"/>
  <c r="AB74" i="39"/>
  <c r="U74" i="39"/>
  <c r="T74" i="39"/>
  <c r="S74" i="39"/>
  <c r="D74" i="39"/>
  <c r="AE73" i="39"/>
  <c r="AC73" i="39"/>
  <c r="AB73" i="39"/>
  <c r="U73" i="39"/>
  <c r="T73" i="39"/>
  <c r="S73" i="39"/>
  <c r="D73" i="39"/>
  <c r="AE72" i="39"/>
  <c r="AC72" i="39"/>
  <c r="AB72" i="39"/>
  <c r="U72" i="39"/>
  <c r="T72" i="39"/>
  <c r="S72" i="39"/>
  <c r="D72" i="39"/>
  <c r="AE71" i="39"/>
  <c r="AC71" i="39"/>
  <c r="AB71" i="39"/>
  <c r="U71" i="39"/>
  <c r="T71" i="39"/>
  <c r="S71" i="39"/>
  <c r="D71" i="39"/>
  <c r="AE70" i="39"/>
  <c r="AC70" i="39"/>
  <c r="AB70" i="39"/>
  <c r="U70" i="39"/>
  <c r="T70" i="39"/>
  <c r="S70" i="39"/>
  <c r="D70" i="39"/>
  <c r="AE69" i="39"/>
  <c r="AC69" i="39"/>
  <c r="AB69" i="39"/>
  <c r="U69" i="39"/>
  <c r="T69" i="39"/>
  <c r="S69" i="39"/>
  <c r="D69" i="39"/>
  <c r="AE68" i="39"/>
  <c r="AC68" i="39"/>
  <c r="AB68" i="39"/>
  <c r="U68" i="39"/>
  <c r="T68" i="39"/>
  <c r="S68" i="39"/>
  <c r="D68" i="39"/>
  <c r="AE67" i="39"/>
  <c r="AC67" i="39"/>
  <c r="AB67" i="39"/>
  <c r="U67" i="39"/>
  <c r="T67" i="39"/>
  <c r="S67" i="39"/>
  <c r="D67" i="39"/>
  <c r="AE66" i="39"/>
  <c r="AC66" i="39"/>
  <c r="AB66" i="39"/>
  <c r="U66" i="39"/>
  <c r="T66" i="39"/>
  <c r="S66" i="39"/>
  <c r="D66" i="39"/>
  <c r="AE65" i="39"/>
  <c r="AC65" i="39"/>
  <c r="AB65" i="39"/>
  <c r="U65" i="39"/>
  <c r="T65" i="39"/>
  <c r="S65" i="39"/>
  <c r="D65" i="39"/>
  <c r="AE64" i="39"/>
  <c r="AC64" i="39"/>
  <c r="AB64" i="39"/>
  <c r="U64" i="39"/>
  <c r="T64" i="39"/>
  <c r="S64" i="39"/>
  <c r="D64" i="39"/>
  <c r="AE63" i="39"/>
  <c r="AC63" i="39"/>
  <c r="AB63" i="39"/>
  <c r="U63" i="39"/>
  <c r="T63" i="39"/>
  <c r="S63" i="39"/>
  <c r="D63" i="39"/>
  <c r="AE62" i="39"/>
  <c r="AC62" i="39"/>
  <c r="AB62" i="39"/>
  <c r="U62" i="39"/>
  <c r="T62" i="39"/>
  <c r="S62" i="39"/>
  <c r="D62" i="39"/>
  <c r="AE61" i="39"/>
  <c r="AC61" i="39"/>
  <c r="AB61" i="39"/>
  <c r="U61" i="39"/>
  <c r="T61" i="39"/>
  <c r="S61" i="39"/>
  <c r="D61" i="39"/>
  <c r="AE60" i="39"/>
  <c r="AC60" i="39"/>
  <c r="AB60" i="39"/>
  <c r="U60" i="39"/>
  <c r="T60" i="39"/>
  <c r="S60" i="39"/>
  <c r="D60" i="39"/>
  <c r="AE59" i="39"/>
  <c r="AC59" i="39"/>
  <c r="AB59" i="39"/>
  <c r="U59" i="39"/>
  <c r="T59" i="39"/>
  <c r="S59" i="39"/>
  <c r="D59" i="39"/>
  <c r="AE58" i="39"/>
  <c r="AC58" i="39"/>
  <c r="AB58" i="39"/>
  <c r="U58" i="39"/>
  <c r="T58" i="39"/>
  <c r="S58" i="39"/>
  <c r="D58" i="39"/>
  <c r="AE57" i="39"/>
  <c r="AC57" i="39"/>
  <c r="AB57" i="39"/>
  <c r="U57" i="39"/>
  <c r="T57" i="39"/>
  <c r="S57" i="39"/>
  <c r="D57" i="39"/>
  <c r="AE56" i="39"/>
  <c r="AC56" i="39"/>
  <c r="AB56" i="39"/>
  <c r="U56" i="39"/>
  <c r="T56" i="39"/>
  <c r="S56" i="39"/>
  <c r="D56" i="39"/>
  <c r="AE55" i="39"/>
  <c r="AC55" i="39"/>
  <c r="AB55" i="39"/>
  <c r="U55" i="39"/>
  <c r="T55" i="39"/>
  <c r="S55" i="39"/>
  <c r="D55" i="39"/>
  <c r="AE54" i="39"/>
  <c r="AC54" i="39"/>
  <c r="AB54" i="39"/>
  <c r="U54" i="39"/>
  <c r="T54" i="39"/>
  <c r="S54" i="39"/>
  <c r="D54" i="39"/>
  <c r="AE53" i="39"/>
  <c r="AC53" i="39"/>
  <c r="AB53" i="39"/>
  <c r="U53" i="39"/>
  <c r="T53" i="39"/>
  <c r="S53" i="39"/>
  <c r="AD53" i="39" s="1"/>
  <c r="D53" i="39"/>
  <c r="AE52" i="39"/>
  <c r="AC52" i="39"/>
  <c r="AB52" i="39"/>
  <c r="U52" i="39"/>
  <c r="T52" i="39"/>
  <c r="S52" i="39"/>
  <c r="D52" i="39"/>
  <c r="AE51" i="39"/>
  <c r="AC51" i="39"/>
  <c r="AB51" i="39"/>
  <c r="U51" i="39"/>
  <c r="T51" i="39"/>
  <c r="S51" i="39"/>
  <c r="D51" i="39"/>
  <c r="AE50" i="39"/>
  <c r="AC50" i="39"/>
  <c r="AB50" i="39"/>
  <c r="U50" i="39"/>
  <c r="T50" i="39"/>
  <c r="S50" i="39"/>
  <c r="D50" i="39"/>
  <c r="AE49" i="39"/>
  <c r="AC49" i="39"/>
  <c r="AB49" i="39"/>
  <c r="U49" i="39"/>
  <c r="T49" i="39"/>
  <c r="S49" i="39"/>
  <c r="D49" i="39"/>
  <c r="AE48" i="39"/>
  <c r="AC48" i="39"/>
  <c r="AB48" i="39"/>
  <c r="U48" i="39"/>
  <c r="T48" i="39"/>
  <c r="S48" i="39"/>
  <c r="D48" i="39"/>
  <c r="AE47" i="39"/>
  <c r="AC47" i="39"/>
  <c r="AB47" i="39"/>
  <c r="U47" i="39"/>
  <c r="T47" i="39"/>
  <c r="S47" i="39"/>
  <c r="D47" i="39"/>
  <c r="AE46" i="39"/>
  <c r="AC46" i="39"/>
  <c r="AB46" i="39"/>
  <c r="U46" i="39"/>
  <c r="T46" i="39"/>
  <c r="S46" i="39"/>
  <c r="D46" i="39"/>
  <c r="AE45" i="39"/>
  <c r="AC45" i="39"/>
  <c r="AB45" i="39"/>
  <c r="U45" i="39"/>
  <c r="T45" i="39"/>
  <c r="S45" i="39"/>
  <c r="D45" i="39"/>
  <c r="AE44" i="39"/>
  <c r="AC44" i="39"/>
  <c r="AB44" i="39"/>
  <c r="U44" i="39"/>
  <c r="T44" i="39"/>
  <c r="S44" i="39"/>
  <c r="D44" i="39"/>
  <c r="AE43" i="39"/>
  <c r="AC43" i="39"/>
  <c r="AB43" i="39"/>
  <c r="U43" i="39"/>
  <c r="T43" i="39"/>
  <c r="S43" i="39"/>
  <c r="D43" i="39"/>
  <c r="AE42" i="39"/>
  <c r="AC42" i="39"/>
  <c r="AB42" i="39"/>
  <c r="U42" i="39"/>
  <c r="T42" i="39"/>
  <c r="S42" i="39"/>
  <c r="D42" i="39"/>
  <c r="AE41" i="39"/>
  <c r="AC41" i="39"/>
  <c r="AB41" i="39"/>
  <c r="U41" i="39"/>
  <c r="T41" i="39"/>
  <c r="D41" i="39"/>
  <c r="AE40" i="39"/>
  <c r="AC40" i="39"/>
  <c r="AB40" i="39"/>
  <c r="U40" i="39"/>
  <c r="T40" i="39"/>
  <c r="S40" i="39"/>
  <c r="D40" i="39"/>
  <c r="AE39" i="39"/>
  <c r="AC39" i="39"/>
  <c r="AB39" i="39"/>
  <c r="U39" i="39"/>
  <c r="T39" i="39"/>
  <c r="AD39" i="39" s="1"/>
  <c r="D39" i="39"/>
  <c r="AE38" i="39"/>
  <c r="AC38" i="39"/>
  <c r="AB38" i="39"/>
  <c r="U38" i="39"/>
  <c r="T38" i="39"/>
  <c r="S38" i="39"/>
  <c r="D38" i="39"/>
  <c r="AE37" i="39"/>
  <c r="AC37" i="39"/>
  <c r="AB37" i="39"/>
  <c r="U37" i="39"/>
  <c r="T37" i="39"/>
  <c r="S37" i="39"/>
  <c r="D37" i="39"/>
  <c r="AE36" i="39"/>
  <c r="AC36" i="39"/>
  <c r="AB36" i="39"/>
  <c r="U36" i="39"/>
  <c r="T36" i="39"/>
  <c r="S36" i="39"/>
  <c r="D36" i="39"/>
  <c r="AE35" i="39"/>
  <c r="AC35" i="39"/>
  <c r="AB35" i="39"/>
  <c r="U35" i="39"/>
  <c r="T35" i="39"/>
  <c r="D35" i="39"/>
  <c r="AE34" i="39"/>
  <c r="AC34" i="39"/>
  <c r="AB34" i="39"/>
  <c r="U34" i="39"/>
  <c r="T34" i="39"/>
  <c r="S34" i="39"/>
  <c r="D34" i="39"/>
  <c r="AE33" i="39"/>
  <c r="AC33" i="39"/>
  <c r="AB33" i="39"/>
  <c r="U33" i="39"/>
  <c r="T33" i="39"/>
  <c r="S33" i="39"/>
  <c r="D33" i="39"/>
  <c r="AE32" i="39"/>
  <c r="AC32" i="39"/>
  <c r="AB32" i="39"/>
  <c r="U32" i="39"/>
  <c r="T32" i="39"/>
  <c r="S32" i="39"/>
  <c r="AD32" i="39" s="1"/>
  <c r="D32" i="39"/>
  <c r="AE31" i="39"/>
  <c r="AC31" i="39"/>
  <c r="AB31" i="39"/>
  <c r="U31" i="39"/>
  <c r="T31" i="39"/>
  <c r="D31" i="39"/>
  <c r="AE30" i="39"/>
  <c r="AC30" i="39"/>
  <c r="AB30" i="39"/>
  <c r="U30" i="39"/>
  <c r="T30" i="39"/>
  <c r="S30" i="39"/>
  <c r="D30" i="39"/>
  <c r="AE29" i="39"/>
  <c r="AC29" i="39"/>
  <c r="AB29" i="39"/>
  <c r="U29" i="39"/>
  <c r="T29" i="39"/>
  <c r="S29" i="39"/>
  <c r="D29" i="39"/>
  <c r="AE28" i="39"/>
  <c r="AC28" i="39"/>
  <c r="AB28" i="39"/>
  <c r="U28" i="39"/>
  <c r="T28" i="39"/>
  <c r="S28" i="39"/>
  <c r="D28" i="39"/>
  <c r="AE27" i="39"/>
  <c r="AC27" i="39"/>
  <c r="AB27" i="39"/>
  <c r="U27" i="39"/>
  <c r="T27" i="39"/>
  <c r="S27" i="39"/>
  <c r="D27" i="39"/>
  <c r="AE26" i="39"/>
  <c r="AC26" i="39"/>
  <c r="AB26" i="39"/>
  <c r="U26" i="39"/>
  <c r="T26" i="39"/>
  <c r="S26" i="39"/>
  <c r="D26" i="39"/>
  <c r="AE25" i="39"/>
  <c r="AC25" i="39"/>
  <c r="AB25" i="39"/>
  <c r="U25" i="39"/>
  <c r="T25" i="39"/>
  <c r="S25" i="39"/>
  <c r="D25" i="39"/>
  <c r="AE24" i="39"/>
  <c r="AC24" i="39"/>
  <c r="AB24" i="39"/>
  <c r="U24" i="39"/>
  <c r="T24" i="39"/>
  <c r="S24" i="39"/>
  <c r="D24" i="39"/>
  <c r="AE23" i="39"/>
  <c r="AC23" i="39"/>
  <c r="AB23" i="39"/>
  <c r="U23" i="39"/>
  <c r="T23" i="39"/>
  <c r="S23" i="39"/>
  <c r="D23" i="39"/>
  <c r="AE22" i="39"/>
  <c r="AC22" i="39"/>
  <c r="AB22" i="39"/>
  <c r="U22" i="39"/>
  <c r="T22" i="39"/>
  <c r="K81" i="39"/>
  <c r="D22" i="39"/>
  <c r="AE21" i="39"/>
  <c r="AC21" i="39"/>
  <c r="AB21" i="39"/>
  <c r="U21" i="39"/>
  <c r="T21" i="39"/>
  <c r="S21" i="39"/>
  <c r="D21" i="39"/>
  <c r="AE20" i="39"/>
  <c r="AC20" i="39"/>
  <c r="AB20" i="39"/>
  <c r="U20" i="39"/>
  <c r="T20" i="39"/>
  <c r="S20" i="39"/>
  <c r="D20" i="39"/>
  <c r="AE19" i="39"/>
  <c r="AC19" i="39"/>
  <c r="AB19" i="39"/>
  <c r="U19" i="39"/>
  <c r="T19" i="39"/>
  <c r="S19" i="39"/>
  <c r="D19" i="39"/>
  <c r="AE18" i="39"/>
  <c r="AC18" i="39"/>
  <c r="AB18" i="39"/>
  <c r="U18" i="39"/>
  <c r="T18" i="39"/>
  <c r="S18" i="39"/>
  <c r="D18" i="39"/>
  <c r="AE17" i="39"/>
  <c r="AC17" i="39"/>
  <c r="AB17" i="39"/>
  <c r="U17" i="39"/>
  <c r="T17" i="39"/>
  <c r="S17" i="39"/>
  <c r="D17" i="39"/>
  <c r="AE16" i="39"/>
  <c r="AC16" i="39"/>
  <c r="AB16" i="39"/>
  <c r="U16" i="39"/>
  <c r="T16" i="39"/>
  <c r="D16" i="39"/>
  <c r="AE15" i="39"/>
  <c r="AC15" i="39"/>
  <c r="AB15" i="39"/>
  <c r="U15" i="39"/>
  <c r="T15" i="39"/>
  <c r="S15" i="39"/>
  <c r="D15" i="39"/>
  <c r="AE14" i="39"/>
  <c r="AC14" i="39"/>
  <c r="AB14" i="39"/>
  <c r="U14" i="39"/>
  <c r="T14" i="39"/>
  <c r="S14" i="39"/>
  <c r="D14" i="39"/>
  <c r="AE13" i="39"/>
  <c r="AC13" i="39"/>
  <c r="AB13" i="39"/>
  <c r="U13" i="39"/>
  <c r="T13" i="39"/>
  <c r="S13" i="39"/>
  <c r="D13" i="39"/>
  <c r="AE12" i="39"/>
  <c r="AC12" i="39"/>
  <c r="AB12" i="39"/>
  <c r="U12" i="39"/>
  <c r="T12" i="39"/>
  <c r="D12" i="39"/>
  <c r="AE11" i="39"/>
  <c r="AC11" i="39"/>
  <c r="AB11" i="39"/>
  <c r="U11" i="39"/>
  <c r="T11" i="39"/>
  <c r="S11" i="39"/>
  <c r="D11" i="39"/>
  <c r="AE10" i="39"/>
  <c r="AC10" i="39"/>
  <c r="AB10" i="39"/>
  <c r="U10" i="39"/>
  <c r="T10" i="39"/>
  <c r="S10" i="39"/>
  <c r="D10" i="39"/>
  <c r="AE9" i="39"/>
  <c r="AC9" i="39"/>
  <c r="AB9" i="39"/>
  <c r="U9" i="39"/>
  <c r="T9" i="39"/>
  <c r="S9" i="39"/>
  <c r="D9" i="39"/>
  <c r="AE8" i="39"/>
  <c r="AC8" i="39"/>
  <c r="AB8" i="39"/>
  <c r="U8" i="39"/>
  <c r="T8" i="39"/>
  <c r="S8" i="39"/>
  <c r="D8" i="39"/>
  <c r="AE7" i="39"/>
  <c r="AC7" i="39"/>
  <c r="AB7" i="39"/>
  <c r="U7" i="39"/>
  <c r="T7" i="39"/>
  <c r="S7" i="39"/>
  <c r="D7" i="39"/>
  <c r="AH6" i="39" a="1"/>
  <c r="AE6" i="39"/>
  <c r="AC6" i="39"/>
  <c r="AB6" i="39"/>
  <c r="U6" i="39"/>
  <c r="T6" i="39"/>
  <c r="D6" i="39"/>
  <c r="AE82" i="40"/>
  <c r="U82" i="40"/>
  <c r="T82" i="40"/>
  <c r="S82" i="40"/>
  <c r="AD82" i="40" s="1"/>
  <c r="D82" i="40"/>
  <c r="R6" i="95"/>
  <c r="R4" i="95" s="1"/>
  <c r="S6" i="95"/>
  <c r="T6" i="95"/>
  <c r="U6" i="95"/>
  <c r="L3" i="95" s="1"/>
  <c r="R7" i="95"/>
  <c r="S7" i="95"/>
  <c r="T7" i="95"/>
  <c r="U7" i="95"/>
  <c r="R8" i="95"/>
  <c r="S8" i="95"/>
  <c r="T8" i="95"/>
  <c r="U8" i="95"/>
  <c r="R9" i="95"/>
  <c r="S9" i="95"/>
  <c r="T9" i="95"/>
  <c r="U9" i="95"/>
  <c r="K4" i="95" s="1"/>
  <c r="R10" i="95"/>
  <c r="S10" i="95"/>
  <c r="T10" i="95"/>
  <c r="U10" i="95"/>
  <c r="R11" i="95"/>
  <c r="S11" i="95"/>
  <c r="T11" i="95"/>
  <c r="U11" i="95"/>
  <c r="R12" i="95"/>
  <c r="S12" i="95"/>
  <c r="T12" i="95"/>
  <c r="U12" i="95"/>
  <c r="R13" i="95"/>
  <c r="S13" i="95"/>
  <c r="T13" i="95"/>
  <c r="U13" i="95"/>
  <c r="R14" i="95"/>
  <c r="S14" i="95"/>
  <c r="T14" i="95"/>
  <c r="U14" i="95"/>
  <c r="R15" i="95"/>
  <c r="S15" i="95"/>
  <c r="T15" i="95"/>
  <c r="U15" i="95"/>
  <c r="R16" i="95"/>
  <c r="S16" i="95"/>
  <c r="T16" i="95"/>
  <c r="U16" i="95"/>
  <c r="R17" i="95"/>
  <c r="S17" i="95"/>
  <c r="T17" i="95"/>
  <c r="U17" i="95"/>
  <c r="R18" i="95"/>
  <c r="S18" i="95"/>
  <c r="T18" i="95"/>
  <c r="U18" i="95"/>
  <c r="R19" i="95"/>
  <c r="S19" i="95"/>
  <c r="T19" i="95"/>
  <c r="U19" i="95"/>
  <c r="R20" i="95"/>
  <c r="S20" i="95"/>
  <c r="T20" i="95"/>
  <c r="U20" i="95"/>
  <c r="R21" i="95"/>
  <c r="S21" i="95"/>
  <c r="T21" i="95"/>
  <c r="U21" i="95"/>
  <c r="R22" i="95"/>
  <c r="S22" i="95"/>
  <c r="T22" i="95"/>
  <c r="U22" i="95"/>
  <c r="R23" i="95"/>
  <c r="S23" i="95"/>
  <c r="T23" i="95"/>
  <c r="U23" i="95"/>
  <c r="R24" i="95"/>
  <c r="S24" i="95"/>
  <c r="T24" i="95"/>
  <c r="U24" i="95"/>
  <c r="R25" i="95"/>
  <c r="S25" i="95"/>
  <c r="T25" i="95"/>
  <c r="U25" i="95"/>
  <c r="R26" i="95"/>
  <c r="S26" i="95"/>
  <c r="T26" i="95"/>
  <c r="U26" i="95"/>
  <c r="R27" i="95"/>
  <c r="S27" i="95"/>
  <c r="T27" i="95"/>
  <c r="U27" i="95"/>
  <c r="R28" i="95"/>
  <c r="S28" i="95"/>
  <c r="T28" i="95"/>
  <c r="U28" i="95"/>
  <c r="R29" i="95"/>
  <c r="S29" i="95"/>
  <c r="T29" i="95"/>
  <c r="U29" i="95"/>
  <c r="R30" i="95"/>
  <c r="S30" i="95"/>
  <c r="T30" i="95"/>
  <c r="U30" i="95"/>
  <c r="R31" i="95"/>
  <c r="S31" i="95"/>
  <c r="T31" i="95"/>
  <c r="U31" i="95"/>
  <c r="R32" i="95"/>
  <c r="S32" i="95"/>
  <c r="T32" i="95"/>
  <c r="U32" i="95"/>
  <c r="R33" i="95"/>
  <c r="S33" i="95"/>
  <c r="T33" i="95"/>
  <c r="U33" i="95"/>
  <c r="R34" i="95"/>
  <c r="S34" i="95"/>
  <c r="T34" i="95"/>
  <c r="U34" i="95"/>
  <c r="R35" i="95"/>
  <c r="S35" i="95"/>
  <c r="T35" i="95"/>
  <c r="U35" i="95"/>
  <c r="R36" i="95"/>
  <c r="S36" i="95"/>
  <c r="T36" i="95"/>
  <c r="U36" i="95"/>
  <c r="R37" i="95"/>
  <c r="S37" i="95"/>
  <c r="T37" i="95"/>
  <c r="U37" i="95"/>
  <c r="R38" i="95"/>
  <c r="S38" i="95"/>
  <c r="T38" i="95"/>
  <c r="U38" i="95"/>
  <c r="R39" i="95"/>
  <c r="S39" i="95"/>
  <c r="T39" i="95"/>
  <c r="U39" i="95"/>
  <c r="R40" i="95"/>
  <c r="S40" i="95"/>
  <c r="T40" i="95"/>
  <c r="U40" i="95"/>
  <c r="R41" i="95"/>
  <c r="S41" i="95"/>
  <c r="T41" i="95"/>
  <c r="U41" i="95"/>
  <c r="R42" i="95"/>
  <c r="S42" i="95"/>
  <c r="T42" i="95"/>
  <c r="U42" i="95"/>
  <c r="R43" i="95"/>
  <c r="S43" i="95"/>
  <c r="T43" i="95"/>
  <c r="U43" i="95"/>
  <c r="R44" i="95"/>
  <c r="S44" i="95"/>
  <c r="T44" i="95"/>
  <c r="U44" i="95"/>
  <c r="R45" i="95"/>
  <c r="S45" i="95"/>
  <c r="T45" i="95"/>
  <c r="U45" i="95"/>
  <c r="R46" i="95"/>
  <c r="S46" i="95"/>
  <c r="T46" i="95"/>
  <c r="U46" i="95"/>
  <c r="R47" i="95"/>
  <c r="S47" i="95"/>
  <c r="T47" i="95"/>
  <c r="U47" i="95"/>
  <c r="R48" i="95"/>
  <c r="S48" i="95"/>
  <c r="T48" i="95"/>
  <c r="U48" i="95"/>
  <c r="R49" i="95"/>
  <c r="S49" i="95"/>
  <c r="T49" i="95"/>
  <c r="U49" i="95"/>
  <c r="R50" i="95"/>
  <c r="S50" i="95"/>
  <c r="T50" i="95"/>
  <c r="U50" i="95"/>
  <c r="R51" i="95"/>
  <c r="S51" i="95"/>
  <c r="T51" i="95"/>
  <c r="U51" i="95"/>
  <c r="R52" i="95"/>
  <c r="S52" i="95"/>
  <c r="T52" i="95"/>
  <c r="U52" i="95"/>
  <c r="R53" i="95"/>
  <c r="S53" i="95"/>
  <c r="T53" i="95"/>
  <c r="U53" i="95"/>
  <c r="R54" i="95"/>
  <c r="S54" i="95"/>
  <c r="T54" i="95"/>
  <c r="U54" i="95"/>
  <c r="R55" i="95"/>
  <c r="S55" i="95"/>
  <c r="T55" i="95"/>
  <c r="U55" i="95"/>
  <c r="R56" i="95"/>
  <c r="S56" i="95"/>
  <c r="T56" i="95"/>
  <c r="U56" i="95"/>
  <c r="R57" i="95"/>
  <c r="S57" i="95"/>
  <c r="T57" i="95"/>
  <c r="U57" i="95"/>
  <c r="S3" i="95" s="1"/>
  <c r="R58" i="95"/>
  <c r="S58" i="95"/>
  <c r="T58" i="95"/>
  <c r="U58" i="95"/>
  <c r="R59" i="95"/>
  <c r="S59" i="95"/>
  <c r="T59" i="95"/>
  <c r="U59" i="95"/>
  <c r="R60" i="95"/>
  <c r="S60" i="95"/>
  <c r="T60" i="95"/>
  <c r="U60" i="95"/>
  <c r="R61" i="95"/>
  <c r="S61" i="95"/>
  <c r="T61" i="95"/>
  <c r="U61" i="95"/>
  <c r="R62" i="95"/>
  <c r="S62" i="95"/>
  <c r="T62" i="95"/>
  <c r="U62" i="95"/>
  <c r="R63" i="95"/>
  <c r="S63" i="95"/>
  <c r="T63" i="95"/>
  <c r="U63" i="95"/>
  <c r="R64" i="95"/>
  <c r="S64" i="95"/>
  <c r="T64" i="95"/>
  <c r="U64" i="95"/>
  <c r="R65" i="95"/>
  <c r="S65" i="95"/>
  <c r="T65" i="95"/>
  <c r="U65" i="95"/>
  <c r="R66" i="95"/>
  <c r="S66" i="95"/>
  <c r="T66" i="95"/>
  <c r="U66" i="95"/>
  <c r="R67" i="95"/>
  <c r="S67" i="95"/>
  <c r="T67" i="95"/>
  <c r="U67" i="95"/>
  <c r="R68" i="95"/>
  <c r="S68" i="95"/>
  <c r="T68" i="95"/>
  <c r="U68" i="95"/>
  <c r="R69" i="95"/>
  <c r="S69" i="95"/>
  <c r="T69" i="95"/>
  <c r="U69" i="95"/>
  <c r="L2" i="95" s="1"/>
  <c r="R70" i="95"/>
  <c r="S70" i="95"/>
  <c r="T70" i="95"/>
  <c r="U70" i="95"/>
  <c r="R71" i="95"/>
  <c r="S71" i="95"/>
  <c r="T71" i="95"/>
  <c r="U71" i="95"/>
  <c r="R72" i="95"/>
  <c r="S72" i="95"/>
  <c r="T72" i="95"/>
  <c r="U72" i="95"/>
  <c r="R73" i="95"/>
  <c r="S73" i="95"/>
  <c r="T73" i="95"/>
  <c r="U73" i="95"/>
  <c r="R74" i="95"/>
  <c r="S74" i="95"/>
  <c r="T74" i="95"/>
  <c r="U74" i="95"/>
  <c r="R75" i="95"/>
  <c r="S75" i="95"/>
  <c r="T75" i="95"/>
  <c r="U75" i="95"/>
  <c r="R76" i="95"/>
  <c r="S76" i="95"/>
  <c r="T76" i="95"/>
  <c r="U76" i="95"/>
  <c r="R77" i="95"/>
  <c r="S77" i="95"/>
  <c r="T77" i="95"/>
  <c r="U77" i="95"/>
  <c r="R78" i="95"/>
  <c r="S78" i="95"/>
  <c r="T78" i="95"/>
  <c r="U78" i="95"/>
  <c r="R79" i="95"/>
  <c r="S79" i="95"/>
  <c r="T79" i="95"/>
  <c r="U79" i="95"/>
  <c r="R80" i="95"/>
  <c r="S80" i="95"/>
  <c r="T80" i="95"/>
  <c r="U80" i="95"/>
  <c r="M2" i="95"/>
  <c r="N2" i="95"/>
  <c r="P2" i="95"/>
  <c r="Q2" i="95"/>
  <c r="P3" i="95"/>
  <c r="Q3" i="95"/>
  <c r="I4" i="95"/>
  <c r="J4" i="95"/>
  <c r="P4" i="95"/>
  <c r="Q4" i="95"/>
  <c r="I34" i="94"/>
  <c r="J34" i="94"/>
  <c r="K34" i="94"/>
  <c r="L34" i="94"/>
  <c r="M34" i="94"/>
  <c r="N34" i="94"/>
  <c r="O34" i="94"/>
  <c r="P34" i="94"/>
  <c r="Q34" i="94"/>
  <c r="O35" i="94"/>
  <c r="P35" i="94"/>
  <c r="Q35" i="94"/>
  <c r="R6" i="94"/>
  <c r="S6" i="94"/>
  <c r="T6" i="94"/>
  <c r="U6" i="94"/>
  <c r="R7" i="94"/>
  <c r="S7" i="94"/>
  <c r="T7" i="94"/>
  <c r="U7" i="94"/>
  <c r="R8" i="94"/>
  <c r="S8" i="94"/>
  <c r="T8" i="94"/>
  <c r="U8" i="94"/>
  <c r="R9" i="94"/>
  <c r="S9" i="94"/>
  <c r="T9" i="94"/>
  <c r="U9" i="94"/>
  <c r="R10" i="94"/>
  <c r="S10" i="94"/>
  <c r="T10" i="94"/>
  <c r="U10" i="94"/>
  <c r="R11" i="94"/>
  <c r="S11" i="94"/>
  <c r="T11" i="94"/>
  <c r="U11" i="94"/>
  <c r="R12" i="94"/>
  <c r="S12" i="94"/>
  <c r="T12" i="94"/>
  <c r="U12" i="94"/>
  <c r="R13" i="94"/>
  <c r="S13" i="94"/>
  <c r="T13" i="94"/>
  <c r="U13" i="94"/>
  <c r="R14" i="94"/>
  <c r="S14" i="94"/>
  <c r="T14" i="94"/>
  <c r="U14" i="94"/>
  <c r="R15" i="94"/>
  <c r="S15" i="94"/>
  <c r="T15" i="94"/>
  <c r="U15" i="94"/>
  <c r="R16" i="94"/>
  <c r="S16" i="94"/>
  <c r="T16" i="94"/>
  <c r="U16" i="94"/>
  <c r="R17" i="94"/>
  <c r="S17" i="94"/>
  <c r="T17" i="94"/>
  <c r="U17" i="94"/>
  <c r="R18" i="94"/>
  <c r="S18" i="94"/>
  <c r="T18" i="94"/>
  <c r="U18" i="94"/>
  <c r="R19" i="94"/>
  <c r="S19" i="94"/>
  <c r="T19" i="94"/>
  <c r="U19" i="94"/>
  <c r="R20" i="94"/>
  <c r="S20" i="94"/>
  <c r="T20" i="94"/>
  <c r="U20" i="94"/>
  <c r="R21" i="94"/>
  <c r="S21" i="94"/>
  <c r="T21" i="94"/>
  <c r="U21" i="94"/>
  <c r="R22" i="94"/>
  <c r="S22" i="94"/>
  <c r="T22" i="94"/>
  <c r="U22" i="94"/>
  <c r="R23" i="94"/>
  <c r="S23" i="94"/>
  <c r="T23" i="94"/>
  <c r="U23" i="94"/>
  <c r="R24" i="94"/>
  <c r="S24" i="94"/>
  <c r="T24" i="94"/>
  <c r="U24" i="94"/>
  <c r="R25" i="94"/>
  <c r="S25" i="94"/>
  <c r="T25" i="94"/>
  <c r="U25" i="94"/>
  <c r="R26" i="94"/>
  <c r="S26" i="94"/>
  <c r="T26" i="94"/>
  <c r="U26" i="94"/>
  <c r="R27" i="94"/>
  <c r="S27" i="94"/>
  <c r="T27" i="94"/>
  <c r="U27" i="94"/>
  <c r="R28" i="94"/>
  <c r="S28" i="94"/>
  <c r="T28" i="94"/>
  <c r="U28" i="94"/>
  <c r="R29" i="94"/>
  <c r="S29" i="94"/>
  <c r="T29" i="94"/>
  <c r="U29" i="94"/>
  <c r="R30" i="94"/>
  <c r="S30" i="94"/>
  <c r="T30" i="94"/>
  <c r="U30" i="94"/>
  <c r="R31" i="94"/>
  <c r="S31" i="94"/>
  <c r="T31" i="94"/>
  <c r="U31" i="94"/>
  <c r="R32" i="94"/>
  <c r="S32" i="94"/>
  <c r="T32" i="94"/>
  <c r="U32" i="94"/>
  <c r="I2" i="94"/>
  <c r="J2" i="94"/>
  <c r="K2" i="94"/>
  <c r="L2" i="94"/>
  <c r="M2" i="94"/>
  <c r="N2" i="94"/>
  <c r="O2" i="94"/>
  <c r="P2" i="94"/>
  <c r="Q2" i="94"/>
  <c r="R2" i="94"/>
  <c r="S2" i="94"/>
  <c r="T2" i="94"/>
  <c r="I3" i="94"/>
  <c r="J3" i="94"/>
  <c r="K3" i="94"/>
  <c r="L3" i="94"/>
  <c r="M3" i="94"/>
  <c r="N3" i="94"/>
  <c r="O3" i="94"/>
  <c r="P3" i="94"/>
  <c r="Q3" i="94"/>
  <c r="R3" i="94"/>
  <c r="S3" i="94"/>
  <c r="T3" i="94"/>
  <c r="I4" i="94"/>
  <c r="J4" i="94"/>
  <c r="K4" i="94"/>
  <c r="L4" i="94"/>
  <c r="M4" i="94"/>
  <c r="N4" i="94"/>
  <c r="O4" i="94"/>
  <c r="P4" i="94"/>
  <c r="Q4" i="94"/>
  <c r="R4" i="94"/>
  <c r="S4" i="94"/>
  <c r="T4" i="94"/>
  <c r="R6" i="93"/>
  <c r="S6" i="93"/>
  <c r="T6" i="93"/>
  <c r="U6" i="93"/>
  <c r="R7" i="93"/>
  <c r="S7" i="93"/>
  <c r="T7" i="93"/>
  <c r="U7" i="93"/>
  <c r="R8" i="93"/>
  <c r="S8" i="93"/>
  <c r="T8" i="93"/>
  <c r="U8" i="93"/>
  <c r="R9" i="93"/>
  <c r="S9" i="93"/>
  <c r="T9" i="93"/>
  <c r="U9" i="93"/>
  <c r="R10" i="93"/>
  <c r="S10" i="93"/>
  <c r="T10" i="93"/>
  <c r="U10" i="93"/>
  <c r="R11" i="93"/>
  <c r="S11" i="93"/>
  <c r="T11" i="93"/>
  <c r="U11" i="93"/>
  <c r="R12" i="93"/>
  <c r="S12" i="93"/>
  <c r="T12" i="93"/>
  <c r="U12" i="93"/>
  <c r="R13" i="93"/>
  <c r="S13" i="93"/>
  <c r="T13" i="93"/>
  <c r="U13" i="93"/>
  <c r="R14" i="93"/>
  <c r="S14" i="93"/>
  <c r="T14" i="93"/>
  <c r="U14" i="93"/>
  <c r="R15" i="93"/>
  <c r="S15" i="93"/>
  <c r="T15" i="93"/>
  <c r="U15" i="93"/>
  <c r="R16" i="93"/>
  <c r="S16" i="93"/>
  <c r="T16" i="93"/>
  <c r="U16" i="93"/>
  <c r="R17" i="93"/>
  <c r="S17" i="93"/>
  <c r="T17" i="93"/>
  <c r="U17" i="93"/>
  <c r="R18" i="93"/>
  <c r="S18" i="93"/>
  <c r="T18" i="93"/>
  <c r="U18" i="93"/>
  <c r="R19" i="93"/>
  <c r="S19" i="93"/>
  <c r="T19" i="93"/>
  <c r="U19" i="93"/>
  <c r="R20" i="93"/>
  <c r="S20" i="93"/>
  <c r="T20" i="93"/>
  <c r="U20" i="93"/>
  <c r="R21" i="93"/>
  <c r="S21" i="93"/>
  <c r="T21" i="93"/>
  <c r="U21" i="93"/>
  <c r="R22" i="93"/>
  <c r="S22" i="93"/>
  <c r="T22" i="93"/>
  <c r="U22" i="93"/>
  <c r="R23" i="93"/>
  <c r="S23" i="93"/>
  <c r="T23" i="93"/>
  <c r="U23" i="93"/>
  <c r="R24" i="93"/>
  <c r="S24" i="93"/>
  <c r="T24" i="93"/>
  <c r="U24" i="93"/>
  <c r="R25" i="93"/>
  <c r="S25" i="93"/>
  <c r="T25" i="93"/>
  <c r="U25" i="93"/>
  <c r="R26" i="93"/>
  <c r="S26" i="93"/>
  <c r="T26" i="93"/>
  <c r="U26" i="93"/>
  <c r="R27" i="93"/>
  <c r="S27" i="93"/>
  <c r="T27" i="93"/>
  <c r="U27" i="93"/>
  <c r="R28" i="93"/>
  <c r="S28" i="93"/>
  <c r="T28" i="93"/>
  <c r="U28" i="93"/>
  <c r="R29" i="93"/>
  <c r="S29" i="93"/>
  <c r="T29" i="93"/>
  <c r="U29" i="93"/>
  <c r="R30" i="93"/>
  <c r="S30" i="93"/>
  <c r="T30" i="93"/>
  <c r="U30" i="93"/>
  <c r="R31" i="93"/>
  <c r="S31" i="93"/>
  <c r="T31" i="93"/>
  <c r="U31" i="93"/>
  <c r="R32" i="93"/>
  <c r="S32" i="93"/>
  <c r="T32" i="93"/>
  <c r="U32" i="93"/>
  <c r="R33" i="93"/>
  <c r="S33" i="93"/>
  <c r="T33" i="93"/>
  <c r="U33" i="93"/>
  <c r="R34" i="93"/>
  <c r="S34" i="93"/>
  <c r="T34" i="93"/>
  <c r="U34" i="93"/>
  <c r="R35" i="93"/>
  <c r="S35" i="93"/>
  <c r="T35" i="93"/>
  <c r="U35" i="93"/>
  <c r="R36" i="93"/>
  <c r="S36" i="93"/>
  <c r="T36" i="93"/>
  <c r="U36" i="93"/>
  <c r="R37" i="93"/>
  <c r="S37" i="93"/>
  <c r="T37" i="93"/>
  <c r="U37" i="93"/>
  <c r="R38" i="93"/>
  <c r="S38" i="93"/>
  <c r="T38" i="93"/>
  <c r="U38" i="93"/>
  <c r="R39" i="93"/>
  <c r="S39" i="93"/>
  <c r="T39" i="93"/>
  <c r="U39" i="93"/>
  <c r="R40" i="93"/>
  <c r="S40" i="93"/>
  <c r="T40" i="93"/>
  <c r="U40" i="93"/>
  <c r="R41" i="93"/>
  <c r="S41" i="93"/>
  <c r="T41" i="93"/>
  <c r="U41" i="93"/>
  <c r="R42" i="93"/>
  <c r="S42" i="93"/>
  <c r="T42" i="93"/>
  <c r="U42" i="93"/>
  <c r="R43" i="93"/>
  <c r="S43" i="93"/>
  <c r="T43" i="93"/>
  <c r="U43" i="93"/>
  <c r="R44" i="93"/>
  <c r="S44" i="93"/>
  <c r="T44" i="93"/>
  <c r="U44" i="93"/>
  <c r="R45" i="93"/>
  <c r="S45" i="93"/>
  <c r="T45" i="93"/>
  <c r="U45" i="93"/>
  <c r="R46" i="93"/>
  <c r="S46" i="93"/>
  <c r="T46" i="93"/>
  <c r="U46" i="93"/>
  <c r="R47" i="93"/>
  <c r="S47" i="93"/>
  <c r="T47" i="93"/>
  <c r="U47" i="93"/>
  <c r="R48" i="93"/>
  <c r="S48" i="93"/>
  <c r="T48" i="93"/>
  <c r="U48" i="93"/>
  <c r="R49" i="93"/>
  <c r="S49" i="93"/>
  <c r="T49" i="93"/>
  <c r="U49" i="93"/>
  <c r="R50" i="93"/>
  <c r="S50" i="93"/>
  <c r="T50" i="93"/>
  <c r="U50" i="93"/>
  <c r="R51" i="93"/>
  <c r="S51" i="93"/>
  <c r="T51" i="93"/>
  <c r="U51" i="93"/>
  <c r="R52" i="93"/>
  <c r="S52" i="93"/>
  <c r="T52" i="93"/>
  <c r="U52" i="93"/>
  <c r="R53" i="93"/>
  <c r="S53" i="93"/>
  <c r="T53" i="93"/>
  <c r="U53" i="93"/>
  <c r="R54" i="93"/>
  <c r="S54" i="93"/>
  <c r="T54" i="93"/>
  <c r="U54" i="93"/>
  <c r="R55" i="93"/>
  <c r="S55" i="93"/>
  <c r="T55" i="93"/>
  <c r="U55" i="93"/>
  <c r="R56" i="93"/>
  <c r="S56" i="93"/>
  <c r="T56" i="93"/>
  <c r="U56" i="93"/>
  <c r="I57" i="93"/>
  <c r="L57" i="93"/>
  <c r="N57" i="93"/>
  <c r="P57" i="93"/>
  <c r="R57" i="93"/>
  <c r="S57" i="93"/>
  <c r="T57" i="93"/>
  <c r="U57" i="93"/>
  <c r="I58" i="93"/>
  <c r="K58" i="93"/>
  <c r="L58" i="93"/>
  <c r="N58" i="93"/>
  <c r="P58" i="93"/>
  <c r="R58" i="93"/>
  <c r="S58" i="93"/>
  <c r="T58" i="93"/>
  <c r="U58" i="93"/>
  <c r="M59" i="93"/>
  <c r="O59" i="93"/>
  <c r="Q59" i="93"/>
  <c r="R59" i="93"/>
  <c r="S59" i="93"/>
  <c r="T59" i="93"/>
  <c r="U59" i="93"/>
  <c r="L60" i="93"/>
  <c r="N60" i="93"/>
  <c r="P60" i="93"/>
  <c r="R60" i="93"/>
  <c r="S60" i="93"/>
  <c r="T60" i="93"/>
  <c r="U60" i="93"/>
  <c r="R61" i="93"/>
  <c r="S61" i="93"/>
  <c r="T61" i="93"/>
  <c r="U61" i="93"/>
  <c r="J62" i="93"/>
  <c r="M62" i="93"/>
  <c r="P62" i="93"/>
  <c r="R62" i="93"/>
  <c r="S62" i="93"/>
  <c r="T62" i="93"/>
  <c r="U62" i="93"/>
  <c r="J63" i="93"/>
  <c r="M63" i="93"/>
  <c r="P63" i="93"/>
  <c r="R63" i="93"/>
  <c r="S63" i="93"/>
  <c r="T63" i="93"/>
  <c r="U63" i="93"/>
  <c r="M64" i="93"/>
  <c r="P64" i="93"/>
  <c r="R64" i="93"/>
  <c r="S64" i="93"/>
  <c r="T64" i="93"/>
  <c r="U64" i="93"/>
  <c r="K65" i="93"/>
  <c r="M65" i="93"/>
  <c r="P65" i="93"/>
  <c r="R65" i="93"/>
  <c r="S65" i="93"/>
  <c r="T65" i="93"/>
  <c r="U65" i="93"/>
  <c r="I66" i="93"/>
  <c r="K66" i="93"/>
  <c r="M66" i="93"/>
  <c r="P66" i="93"/>
  <c r="R66" i="93"/>
  <c r="S66" i="93"/>
  <c r="T66" i="93"/>
  <c r="U66" i="93"/>
  <c r="L67" i="93"/>
  <c r="O67" i="93"/>
  <c r="R67" i="93"/>
  <c r="S67" i="93"/>
  <c r="T67" i="93"/>
  <c r="U67" i="93"/>
  <c r="M68" i="93"/>
  <c r="P68" i="93"/>
  <c r="R68" i="93"/>
  <c r="S68" i="93"/>
  <c r="T68" i="93"/>
  <c r="U68" i="93"/>
  <c r="R69" i="93"/>
  <c r="S69" i="93"/>
  <c r="T69" i="93"/>
  <c r="U69" i="93"/>
  <c r="I70" i="93"/>
  <c r="R70" i="93"/>
  <c r="S70" i="93"/>
  <c r="T70" i="93"/>
  <c r="U70" i="93"/>
  <c r="J71" i="93"/>
  <c r="L71" i="93"/>
  <c r="O71" i="93"/>
  <c r="R71" i="93"/>
  <c r="S71" i="93"/>
  <c r="T71" i="93"/>
  <c r="U71" i="93"/>
  <c r="L72" i="93"/>
  <c r="O72" i="93"/>
  <c r="R72" i="93"/>
  <c r="S72" i="93"/>
  <c r="T72" i="93"/>
  <c r="U72" i="93"/>
  <c r="K73" i="93"/>
  <c r="N73" i="93"/>
  <c r="R73" i="93"/>
  <c r="S73" i="93"/>
  <c r="T73" i="93"/>
  <c r="U73" i="93"/>
  <c r="R74" i="93"/>
  <c r="S74" i="93"/>
  <c r="T74" i="93"/>
  <c r="U74" i="93"/>
  <c r="K75" i="93"/>
  <c r="M75" i="93"/>
  <c r="P75" i="93"/>
  <c r="R75" i="93"/>
  <c r="S75" i="93"/>
  <c r="T75" i="93"/>
  <c r="U75" i="93"/>
  <c r="K76" i="93"/>
  <c r="M76" i="93"/>
  <c r="P76" i="93"/>
  <c r="R76" i="93"/>
  <c r="S76" i="93"/>
  <c r="T76" i="93"/>
  <c r="U76" i="93"/>
  <c r="K77" i="93"/>
  <c r="M77" i="93"/>
  <c r="P77" i="93"/>
  <c r="R77" i="93"/>
  <c r="S77" i="93"/>
  <c r="T77" i="93"/>
  <c r="U77" i="93"/>
  <c r="M78" i="93"/>
  <c r="P78" i="93"/>
  <c r="R78" i="93"/>
  <c r="S78" i="93"/>
  <c r="T78" i="93"/>
  <c r="U78" i="93"/>
  <c r="M79" i="93"/>
  <c r="R79" i="93"/>
  <c r="S79" i="93"/>
  <c r="T79" i="93"/>
  <c r="U79" i="93"/>
  <c r="N80" i="93"/>
  <c r="R80" i="93"/>
  <c r="S80" i="93"/>
  <c r="T80" i="93"/>
  <c r="U80" i="93"/>
  <c r="O81" i="93"/>
  <c r="R81" i="93"/>
  <c r="S81" i="93"/>
  <c r="T81" i="93"/>
  <c r="U81" i="93"/>
  <c r="O82" i="93"/>
  <c r="R82" i="93"/>
  <c r="S82" i="93"/>
  <c r="T82" i="93"/>
  <c r="U82" i="93"/>
  <c r="O83" i="93"/>
  <c r="R83" i="93"/>
  <c r="S83" i="93"/>
  <c r="T83" i="93"/>
  <c r="U83" i="93"/>
  <c r="M84" i="93"/>
  <c r="P84" i="93"/>
  <c r="R84" i="93"/>
  <c r="S84" i="93"/>
  <c r="T84" i="93"/>
  <c r="U84" i="93"/>
  <c r="M85" i="93"/>
  <c r="P85" i="93"/>
  <c r="R85" i="93"/>
  <c r="S85" i="93"/>
  <c r="T85" i="93"/>
  <c r="U85" i="93"/>
  <c r="R86" i="93"/>
  <c r="S86" i="93"/>
  <c r="T86" i="93"/>
  <c r="U86" i="93"/>
  <c r="I87" i="93"/>
  <c r="M87" i="93"/>
  <c r="P87" i="93"/>
  <c r="R87" i="93"/>
  <c r="S87" i="93"/>
  <c r="T87" i="93"/>
  <c r="U87" i="93"/>
  <c r="J88" i="93"/>
  <c r="L88" i="93"/>
  <c r="N88" i="93"/>
  <c r="P88" i="93"/>
  <c r="U88" i="93"/>
  <c r="I89" i="93"/>
  <c r="J89" i="93"/>
  <c r="R89" i="93"/>
  <c r="S89" i="93"/>
  <c r="T89" i="93"/>
  <c r="U89" i="93"/>
  <c r="I90" i="93"/>
  <c r="J90" i="93"/>
  <c r="K90" i="93"/>
  <c r="L90" i="93"/>
  <c r="M90" i="93"/>
  <c r="N90" i="93"/>
  <c r="O90" i="93"/>
  <c r="P90" i="93"/>
  <c r="Q90" i="93"/>
  <c r="R90" i="93"/>
  <c r="S90" i="93"/>
  <c r="T90" i="93"/>
  <c r="U90" i="93"/>
  <c r="M91" i="93"/>
  <c r="R91" i="93"/>
  <c r="S91" i="93"/>
  <c r="T91" i="93"/>
  <c r="U91" i="93"/>
  <c r="I92" i="93"/>
  <c r="J92" i="93"/>
  <c r="K92" i="93"/>
  <c r="L92" i="93"/>
  <c r="M92" i="93"/>
  <c r="R92" i="93"/>
  <c r="S92" i="93"/>
  <c r="T92" i="93"/>
  <c r="U92" i="93"/>
  <c r="N93" i="93"/>
  <c r="O93" i="93"/>
  <c r="P93" i="93"/>
  <c r="Q93" i="93"/>
  <c r="R93" i="93"/>
  <c r="S93" i="93"/>
  <c r="T93" i="93"/>
  <c r="U93" i="93"/>
  <c r="N94" i="93"/>
  <c r="O94" i="93"/>
  <c r="P94" i="93"/>
  <c r="Q94" i="93"/>
  <c r="R94" i="93"/>
  <c r="S94" i="93"/>
  <c r="T94" i="93"/>
  <c r="U94" i="93"/>
  <c r="M95" i="93"/>
  <c r="R95" i="93"/>
  <c r="S95" i="93"/>
  <c r="T95" i="93"/>
  <c r="U95" i="93"/>
  <c r="R96" i="93"/>
  <c r="S96" i="93"/>
  <c r="T96" i="93"/>
  <c r="U96" i="93"/>
  <c r="L97" i="93"/>
  <c r="O97" i="93"/>
  <c r="R97" i="93"/>
  <c r="S97" i="93"/>
  <c r="T97" i="93"/>
  <c r="U97" i="93"/>
  <c r="I98" i="93"/>
  <c r="R98" i="93"/>
  <c r="S98" i="93"/>
  <c r="T98" i="93"/>
  <c r="U98" i="93"/>
  <c r="L99" i="93"/>
  <c r="O99" i="93"/>
  <c r="R99" i="93"/>
  <c r="S99" i="93"/>
  <c r="T99" i="93"/>
  <c r="U99" i="93"/>
  <c r="K100" i="93"/>
  <c r="M100" i="93"/>
  <c r="P100" i="93"/>
  <c r="R100" i="93"/>
  <c r="S100" i="93"/>
  <c r="T100" i="93"/>
  <c r="U100" i="93"/>
  <c r="K101" i="93"/>
  <c r="M101" i="93"/>
  <c r="P101" i="93"/>
  <c r="R101" i="93"/>
  <c r="S101" i="93"/>
  <c r="T101" i="93"/>
  <c r="U101" i="93"/>
  <c r="K102" i="93"/>
  <c r="M102" i="93"/>
  <c r="P102" i="93"/>
  <c r="R102" i="93"/>
  <c r="S102" i="93"/>
  <c r="T102" i="93"/>
  <c r="U102" i="93"/>
  <c r="O103" i="93"/>
  <c r="P103" i="93"/>
  <c r="R103" i="93"/>
  <c r="S103" i="93"/>
  <c r="T103" i="93"/>
  <c r="U103" i="93"/>
  <c r="Q104" i="93"/>
  <c r="R104" i="93"/>
  <c r="S104" i="93"/>
  <c r="T104" i="93"/>
  <c r="U104" i="93"/>
  <c r="I105" i="93"/>
  <c r="J105" i="93"/>
  <c r="K105" i="93"/>
  <c r="L105" i="93"/>
  <c r="M105" i="93"/>
  <c r="N105" i="93"/>
  <c r="O105" i="93"/>
  <c r="P105" i="93"/>
  <c r="Q105" i="93"/>
  <c r="R105" i="93"/>
  <c r="S105" i="93"/>
  <c r="T105" i="93"/>
  <c r="U105" i="93"/>
  <c r="K106" i="93"/>
  <c r="O106" i="93"/>
  <c r="R106" i="93"/>
  <c r="S106" i="93"/>
  <c r="T106" i="93"/>
  <c r="U106" i="93"/>
  <c r="M107" i="93"/>
  <c r="R107" i="93"/>
  <c r="S107" i="93"/>
  <c r="T107" i="93"/>
  <c r="U107" i="93"/>
  <c r="L108" i="93"/>
  <c r="M108" i="93"/>
  <c r="N108" i="93"/>
  <c r="O108" i="93"/>
  <c r="P108" i="93"/>
  <c r="Q108" i="93"/>
  <c r="R108" i="93"/>
  <c r="S108" i="93"/>
  <c r="T108" i="93"/>
  <c r="U108" i="93"/>
  <c r="M109" i="93"/>
  <c r="R109" i="93"/>
  <c r="S109" i="93"/>
  <c r="T109" i="93"/>
  <c r="U109" i="93"/>
  <c r="I110" i="93"/>
  <c r="L110" i="93"/>
  <c r="O110" i="93"/>
  <c r="R110" i="93"/>
  <c r="S110" i="93"/>
  <c r="T110" i="93"/>
  <c r="U110" i="93"/>
  <c r="I111" i="93"/>
  <c r="L111" i="93"/>
  <c r="O111" i="93"/>
  <c r="R111" i="93"/>
  <c r="S111" i="93"/>
  <c r="T111" i="93"/>
  <c r="U111" i="93"/>
  <c r="L112" i="93"/>
  <c r="O112" i="93"/>
  <c r="R112" i="93"/>
  <c r="S112" i="93"/>
  <c r="T112" i="93"/>
  <c r="U112" i="93"/>
  <c r="L113" i="93"/>
  <c r="O113" i="93"/>
  <c r="R113" i="93"/>
  <c r="S113" i="93"/>
  <c r="T113" i="93"/>
  <c r="U113" i="93"/>
  <c r="R114" i="93"/>
  <c r="S114" i="93"/>
  <c r="T114" i="93"/>
  <c r="U114" i="93"/>
  <c r="R115" i="93"/>
  <c r="S115" i="93"/>
  <c r="T115" i="93"/>
  <c r="U115" i="93"/>
  <c r="R116" i="93"/>
  <c r="S116" i="93"/>
  <c r="T116" i="93"/>
  <c r="U116" i="93"/>
  <c r="J117" i="93"/>
  <c r="L117" i="93"/>
  <c r="N117" i="93"/>
  <c r="P117" i="93"/>
  <c r="R117" i="93"/>
  <c r="S117" i="93"/>
  <c r="T117" i="93"/>
  <c r="U117" i="93"/>
  <c r="I118" i="93"/>
  <c r="R118" i="93"/>
  <c r="S118" i="93"/>
  <c r="T118" i="93"/>
  <c r="U118" i="93"/>
  <c r="L119" i="93"/>
  <c r="N119" i="93"/>
  <c r="P119" i="93"/>
  <c r="R119" i="93"/>
  <c r="S119" i="93"/>
  <c r="T119" i="93"/>
  <c r="U119" i="93"/>
  <c r="O120" i="93"/>
  <c r="R120" i="93"/>
  <c r="S120" i="93"/>
  <c r="T120" i="93"/>
  <c r="U120" i="93"/>
  <c r="O121" i="93"/>
  <c r="R121" i="93"/>
  <c r="S121" i="93"/>
  <c r="T121" i="93"/>
  <c r="U121" i="93"/>
  <c r="R122" i="93"/>
  <c r="S122" i="93"/>
  <c r="T122" i="93"/>
  <c r="U122" i="93"/>
  <c r="K123" i="93"/>
  <c r="R123" i="93"/>
  <c r="S123" i="93"/>
  <c r="T123" i="93"/>
  <c r="U123" i="93"/>
  <c r="M124" i="93"/>
  <c r="O124" i="93"/>
  <c r="R124" i="93"/>
  <c r="S124" i="93"/>
  <c r="T124" i="93"/>
  <c r="U124" i="93"/>
  <c r="J125" i="93"/>
  <c r="R125" i="93"/>
  <c r="S125" i="93"/>
  <c r="T125" i="93"/>
  <c r="U125" i="93"/>
  <c r="R126" i="93"/>
  <c r="S126" i="93"/>
  <c r="T126" i="93"/>
  <c r="U126" i="93"/>
  <c r="R127" i="93"/>
  <c r="S127" i="93"/>
  <c r="T127" i="93"/>
  <c r="U127" i="93"/>
  <c r="R128" i="93"/>
  <c r="S128" i="93"/>
  <c r="T128" i="93"/>
  <c r="U128" i="93"/>
  <c r="R129" i="93"/>
  <c r="S129" i="93"/>
  <c r="T129" i="93"/>
  <c r="U129" i="93"/>
  <c r="P130" i="93"/>
  <c r="R130" i="93"/>
  <c r="S130" i="93"/>
  <c r="T130" i="93"/>
  <c r="U130" i="93"/>
  <c r="R131" i="93"/>
  <c r="S131" i="93"/>
  <c r="T131" i="93"/>
  <c r="U131" i="93"/>
  <c r="R132" i="93"/>
  <c r="S132" i="93"/>
  <c r="T132" i="93"/>
  <c r="U132" i="93"/>
  <c r="R133" i="93"/>
  <c r="S133" i="93"/>
  <c r="T133" i="93"/>
  <c r="U133" i="93"/>
  <c r="R134" i="93"/>
  <c r="S134" i="93"/>
  <c r="T134" i="93"/>
  <c r="U134" i="93"/>
  <c r="R135" i="93"/>
  <c r="S135" i="93"/>
  <c r="T135" i="93"/>
  <c r="U135" i="93"/>
  <c r="R136" i="93"/>
  <c r="S136" i="93"/>
  <c r="T136" i="93"/>
  <c r="U136" i="93"/>
  <c r="R137" i="93"/>
  <c r="S137" i="93"/>
  <c r="T137" i="93"/>
  <c r="U137" i="93"/>
  <c r="R138" i="93"/>
  <c r="S138" i="93"/>
  <c r="T138" i="93"/>
  <c r="U138" i="93"/>
  <c r="R139" i="93"/>
  <c r="S139" i="93"/>
  <c r="T139" i="93"/>
  <c r="U139" i="93"/>
  <c r="R140" i="93"/>
  <c r="S140" i="93"/>
  <c r="T140" i="93"/>
  <c r="U140" i="93"/>
  <c r="R141" i="93"/>
  <c r="S141" i="93"/>
  <c r="T141" i="93"/>
  <c r="U141" i="93"/>
  <c r="R142" i="93"/>
  <c r="S142" i="93"/>
  <c r="T142" i="93"/>
  <c r="U142" i="93"/>
  <c r="R143" i="93"/>
  <c r="S143" i="93"/>
  <c r="T143" i="93"/>
  <c r="U143" i="93"/>
  <c r="R144" i="93"/>
  <c r="S144" i="93"/>
  <c r="T144" i="93"/>
  <c r="U144" i="93"/>
  <c r="R145" i="93"/>
  <c r="S145" i="93"/>
  <c r="T145" i="93"/>
  <c r="U145" i="93"/>
  <c r="R146" i="93"/>
  <c r="S146" i="93"/>
  <c r="T146" i="93"/>
  <c r="U146" i="93"/>
  <c r="R147" i="93"/>
  <c r="S147" i="93"/>
  <c r="T147" i="93"/>
  <c r="U147" i="93"/>
  <c r="R148" i="93"/>
  <c r="S148" i="93"/>
  <c r="T148" i="93"/>
  <c r="U148" i="93"/>
  <c r="R149" i="93"/>
  <c r="S149" i="93"/>
  <c r="T149" i="93"/>
  <c r="U149" i="93"/>
  <c r="R150" i="93"/>
  <c r="S150" i="93"/>
  <c r="T150" i="93"/>
  <c r="U150" i="93"/>
  <c r="R151" i="93"/>
  <c r="S151" i="93"/>
  <c r="T151" i="93"/>
  <c r="U151" i="93"/>
  <c r="R152" i="93"/>
  <c r="S152" i="93"/>
  <c r="T152" i="93"/>
  <c r="U152" i="93"/>
  <c r="R153" i="93"/>
  <c r="S153" i="93"/>
  <c r="T153" i="93"/>
  <c r="U153" i="93"/>
  <c r="R154" i="93"/>
  <c r="S154" i="93"/>
  <c r="T154" i="93"/>
  <c r="U154" i="93"/>
  <c r="R155" i="93"/>
  <c r="S155" i="93"/>
  <c r="T155" i="93"/>
  <c r="U155" i="93"/>
  <c r="R156" i="93"/>
  <c r="S156" i="93"/>
  <c r="T156" i="93"/>
  <c r="U156" i="93"/>
  <c r="R157" i="93"/>
  <c r="S157" i="93"/>
  <c r="T157" i="93"/>
  <c r="U157" i="93"/>
  <c r="R158" i="93"/>
  <c r="S158" i="93"/>
  <c r="T158" i="93"/>
  <c r="U158" i="93"/>
  <c r="R159" i="93"/>
  <c r="S159" i="93"/>
  <c r="T159" i="93"/>
  <c r="U159" i="93"/>
  <c r="E1" i="93"/>
  <c r="E2" i="93"/>
  <c r="I2" i="93"/>
  <c r="J2" i="93"/>
  <c r="K2" i="93"/>
  <c r="L2" i="93"/>
  <c r="M2" i="93"/>
  <c r="N2" i="93"/>
  <c r="O2" i="93"/>
  <c r="P2" i="93"/>
  <c r="Q2" i="93"/>
  <c r="R2" i="93"/>
  <c r="S2" i="93"/>
  <c r="T2" i="93"/>
  <c r="E3" i="93"/>
  <c r="I3" i="93"/>
  <c r="J3" i="93"/>
  <c r="K3" i="93"/>
  <c r="L3" i="93"/>
  <c r="M3" i="93"/>
  <c r="N3" i="93"/>
  <c r="O3" i="93"/>
  <c r="P3" i="93"/>
  <c r="Q3" i="93"/>
  <c r="R3" i="93"/>
  <c r="S3" i="93"/>
  <c r="T3" i="93"/>
  <c r="I4" i="93"/>
  <c r="J4" i="93"/>
  <c r="K4" i="93"/>
  <c r="L4" i="93"/>
  <c r="M4" i="93"/>
  <c r="N4" i="93"/>
  <c r="O4" i="93"/>
  <c r="P4" i="93"/>
  <c r="Q4" i="93"/>
  <c r="R4" i="93"/>
  <c r="S4" i="93"/>
  <c r="T4" i="93"/>
  <c r="D6" i="50"/>
  <c r="D7" i="50"/>
  <c r="D8" i="50"/>
  <c r="D9" i="50"/>
  <c r="D10" i="50"/>
  <c r="D11" i="50"/>
  <c r="D12" i="50"/>
  <c r="D13" i="50"/>
  <c r="D14" i="50"/>
  <c r="D15" i="50"/>
  <c r="D16" i="50"/>
  <c r="D17" i="50"/>
  <c r="D18" i="50"/>
  <c r="D19" i="50"/>
  <c r="D20" i="50"/>
  <c r="D21" i="50"/>
  <c r="D22" i="50"/>
  <c r="D23" i="50"/>
  <c r="D24" i="50"/>
  <c r="D25" i="50"/>
  <c r="D26" i="50"/>
  <c r="D27" i="50"/>
  <c r="D28" i="50"/>
  <c r="D29" i="50"/>
  <c r="D30" i="50"/>
  <c r="D31" i="50"/>
  <c r="D32" i="50"/>
  <c r="D33" i="50"/>
  <c r="D34" i="50"/>
  <c r="D35" i="50"/>
  <c r="D36" i="50"/>
  <c r="D37" i="50"/>
  <c r="D38" i="50"/>
  <c r="D39" i="50"/>
  <c r="D40" i="50"/>
  <c r="D41" i="50"/>
  <c r="D42" i="50"/>
  <c r="D43" i="50"/>
  <c r="D44" i="50"/>
  <c r="D45" i="50"/>
  <c r="AE92" i="40"/>
  <c r="U92" i="40"/>
  <c r="T92" i="40"/>
  <c r="S92" i="40"/>
  <c r="D92" i="40"/>
  <c r="AE83" i="40"/>
  <c r="U83" i="40"/>
  <c r="T83" i="40"/>
  <c r="S83" i="40"/>
  <c r="D83" i="40"/>
  <c r="D21" i="28"/>
  <c r="S21" i="28"/>
  <c r="T21" i="28"/>
  <c r="U21" i="28"/>
  <c r="AB21" i="28"/>
  <c r="AC21" i="28"/>
  <c r="AD21" i="28"/>
  <c r="AE21" i="28"/>
  <c r="U6" i="41"/>
  <c r="U7" i="41"/>
  <c r="U8" i="41"/>
  <c r="U9" i="41"/>
  <c r="U10" i="41"/>
  <c r="U11" i="41"/>
  <c r="U12" i="41"/>
  <c r="U13" i="41"/>
  <c r="U14" i="41"/>
  <c r="U15" i="41"/>
  <c r="U16" i="41"/>
  <c r="U17" i="41"/>
  <c r="U18" i="41"/>
  <c r="U19" i="41"/>
  <c r="U20" i="41"/>
  <c r="U21" i="41"/>
  <c r="U22" i="41"/>
  <c r="U23" i="41"/>
  <c r="U24" i="41"/>
  <c r="U25" i="41"/>
  <c r="U26" i="41"/>
  <c r="U27" i="41"/>
  <c r="U28" i="41"/>
  <c r="U29" i="41"/>
  <c r="U30" i="41"/>
  <c r="U31" i="41"/>
  <c r="U32" i="41"/>
  <c r="U33" i="41"/>
  <c r="U34" i="41"/>
  <c r="U35" i="41"/>
  <c r="U36" i="41"/>
  <c r="U37" i="41"/>
  <c r="U38" i="41"/>
  <c r="U39" i="41"/>
  <c r="U40" i="41"/>
  <c r="U41" i="41"/>
  <c r="U42" i="41"/>
  <c r="U43" i="41"/>
  <c r="U44" i="41"/>
  <c r="U45" i="41"/>
  <c r="U46" i="41"/>
  <c r="U47" i="41"/>
  <c r="U48" i="41"/>
  <c r="U49" i="41"/>
  <c r="U50" i="41"/>
  <c r="U51" i="41"/>
  <c r="U52" i="41"/>
  <c r="U53" i="41"/>
  <c r="U54" i="41"/>
  <c r="U55" i="41"/>
  <c r="U56" i="41"/>
  <c r="U57" i="41"/>
  <c r="U58" i="41"/>
  <c r="U59" i="41"/>
  <c r="U60" i="41"/>
  <c r="T6" i="41"/>
  <c r="T7" i="41"/>
  <c r="T8" i="41"/>
  <c r="T9" i="41"/>
  <c r="T10" i="41"/>
  <c r="T11" i="41"/>
  <c r="T12" i="41"/>
  <c r="T13" i="41"/>
  <c r="T14" i="41"/>
  <c r="T15" i="41"/>
  <c r="T16" i="41"/>
  <c r="T17" i="41"/>
  <c r="T18" i="41"/>
  <c r="T19" i="41"/>
  <c r="T20" i="41"/>
  <c r="T21" i="41"/>
  <c r="T22" i="41"/>
  <c r="T23" i="41"/>
  <c r="T24" i="41"/>
  <c r="T25" i="41"/>
  <c r="T26" i="41"/>
  <c r="T27" i="41"/>
  <c r="T28" i="41"/>
  <c r="T29" i="41"/>
  <c r="T30" i="41"/>
  <c r="T31" i="41"/>
  <c r="T32" i="41"/>
  <c r="T33" i="41"/>
  <c r="T34" i="41"/>
  <c r="T35" i="41"/>
  <c r="T36" i="41"/>
  <c r="T37" i="41"/>
  <c r="T38" i="41"/>
  <c r="T39" i="41"/>
  <c r="T40" i="41"/>
  <c r="T41" i="41"/>
  <c r="T42" i="41"/>
  <c r="T43" i="41"/>
  <c r="T44" i="41"/>
  <c r="T45" i="41"/>
  <c r="T46" i="41"/>
  <c r="T47" i="41"/>
  <c r="T48" i="41"/>
  <c r="T49" i="41"/>
  <c r="T50" i="41"/>
  <c r="T51" i="41"/>
  <c r="T52" i="41"/>
  <c r="T53" i="41"/>
  <c r="T54" i="41"/>
  <c r="T55" i="41"/>
  <c r="T56" i="41"/>
  <c r="T57" i="41"/>
  <c r="T58" i="41"/>
  <c r="T59" i="41"/>
  <c r="T60" i="41"/>
  <c r="S7" i="41"/>
  <c r="S8" i="41"/>
  <c r="S9" i="41"/>
  <c r="S10" i="41"/>
  <c r="S11" i="41"/>
  <c r="S13" i="41"/>
  <c r="S14" i="41"/>
  <c r="S15" i="41"/>
  <c r="S17" i="41"/>
  <c r="S18" i="41"/>
  <c r="S19" i="41"/>
  <c r="S20" i="41"/>
  <c r="S21" i="41"/>
  <c r="S22" i="41"/>
  <c r="S23" i="41"/>
  <c r="S24" i="41"/>
  <c r="S25" i="41"/>
  <c r="S26" i="41"/>
  <c r="S27" i="41"/>
  <c r="S28" i="41"/>
  <c r="S29" i="41"/>
  <c r="S30" i="41"/>
  <c r="S32" i="41"/>
  <c r="S33" i="41"/>
  <c r="S34" i="41"/>
  <c r="S36" i="41"/>
  <c r="S37" i="41"/>
  <c r="S38" i="41"/>
  <c r="S40" i="41"/>
  <c r="S42" i="41"/>
  <c r="S43" i="41"/>
  <c r="S44" i="41"/>
  <c r="S45" i="41"/>
  <c r="S46" i="41"/>
  <c r="S47" i="41"/>
  <c r="S48" i="41"/>
  <c r="S49" i="41"/>
  <c r="S50" i="41"/>
  <c r="S51" i="41"/>
  <c r="S52" i="41"/>
  <c r="S53" i="41"/>
  <c r="S54" i="41"/>
  <c r="S55" i="41"/>
  <c r="S56" i="41"/>
  <c r="S57" i="41"/>
  <c r="S58" i="41"/>
  <c r="S59" i="41"/>
  <c r="S60" i="41"/>
  <c r="R60" i="41"/>
  <c r="Q60" i="41"/>
  <c r="P60" i="41"/>
  <c r="O60" i="41"/>
  <c r="N60" i="41"/>
  <c r="M60" i="41"/>
  <c r="L60" i="41"/>
  <c r="K60" i="41"/>
  <c r="J60" i="41"/>
  <c r="AE59" i="41"/>
  <c r="AB59" i="41"/>
  <c r="AC59" i="41"/>
  <c r="AD59" i="41"/>
  <c r="D59" i="41"/>
  <c r="AE58" i="41"/>
  <c r="AB58" i="41"/>
  <c r="AC58" i="41"/>
  <c r="AD58" i="41"/>
  <c r="D58" i="41"/>
  <c r="AE57" i="41"/>
  <c r="AB57" i="41"/>
  <c r="AC57" i="41"/>
  <c r="AD57" i="41"/>
  <c r="D57" i="41"/>
  <c r="AE56" i="41"/>
  <c r="AB56" i="41"/>
  <c r="AC56" i="41"/>
  <c r="AD56" i="41"/>
  <c r="D56" i="41"/>
  <c r="AE55" i="41"/>
  <c r="AB55" i="41"/>
  <c r="AC55" i="41"/>
  <c r="AD55" i="41"/>
  <c r="D55" i="41"/>
  <c r="AE54" i="41"/>
  <c r="AB54" i="41"/>
  <c r="AC54" i="41"/>
  <c r="AD54" i="41"/>
  <c r="D54" i="41"/>
  <c r="AE53" i="41"/>
  <c r="AB53" i="41"/>
  <c r="AC53" i="41"/>
  <c r="AD53" i="41"/>
  <c r="D53" i="41"/>
  <c r="AE52" i="41"/>
  <c r="AB52" i="41"/>
  <c r="AC52" i="41"/>
  <c r="AD52" i="41"/>
  <c r="D52" i="41"/>
  <c r="AE51" i="41"/>
  <c r="AB51" i="41"/>
  <c r="AC51" i="41"/>
  <c r="AD51" i="41"/>
  <c r="D51" i="41"/>
  <c r="AE50" i="41"/>
  <c r="AB50" i="41"/>
  <c r="AC50" i="41"/>
  <c r="AD50" i="41"/>
  <c r="D50" i="41"/>
  <c r="AE49" i="41"/>
  <c r="AB49" i="41"/>
  <c r="AC49" i="41"/>
  <c r="AD49" i="41"/>
  <c r="D49" i="41"/>
  <c r="AE48" i="41"/>
  <c r="AB48" i="41"/>
  <c r="AC48" i="41"/>
  <c r="AD48" i="41"/>
  <c r="D48" i="41"/>
  <c r="AE47" i="41"/>
  <c r="AB47" i="41"/>
  <c r="AC47" i="41"/>
  <c r="AD47" i="41"/>
  <c r="D47" i="41"/>
  <c r="AE46" i="41"/>
  <c r="AB46" i="41"/>
  <c r="AC46" i="41"/>
  <c r="AD46" i="41"/>
  <c r="D46" i="41"/>
  <c r="AE45" i="41"/>
  <c r="AB45" i="41"/>
  <c r="AC45" i="41"/>
  <c r="AD45" i="41"/>
  <c r="D45" i="41"/>
  <c r="AE44" i="41"/>
  <c r="AB44" i="41"/>
  <c r="AC44" i="41"/>
  <c r="AD44" i="41"/>
  <c r="D44" i="41"/>
  <c r="AE43" i="41"/>
  <c r="AB43" i="41"/>
  <c r="AC43" i="41"/>
  <c r="AD43" i="41"/>
  <c r="D43" i="41"/>
  <c r="AE42" i="41"/>
  <c r="AB42" i="41"/>
  <c r="AC42" i="41"/>
  <c r="AD42" i="41"/>
  <c r="D42" i="41"/>
  <c r="AE41" i="41"/>
  <c r="AB41" i="41"/>
  <c r="AC41" i="41"/>
  <c r="AD41" i="41"/>
  <c r="D41" i="41"/>
  <c r="AE40" i="41"/>
  <c r="AB40" i="41"/>
  <c r="AC40" i="41"/>
  <c r="AD40" i="41"/>
  <c r="D40" i="41"/>
  <c r="AE39" i="41"/>
  <c r="AB39" i="41"/>
  <c r="AC39" i="41"/>
  <c r="AD39" i="41"/>
  <c r="D39" i="41"/>
  <c r="AE38" i="41"/>
  <c r="AB38" i="41"/>
  <c r="AC38" i="41"/>
  <c r="AD38" i="41"/>
  <c r="D38" i="41"/>
  <c r="AE37" i="41"/>
  <c r="AB37" i="41"/>
  <c r="AC37" i="41"/>
  <c r="AD37" i="41"/>
  <c r="D37" i="41"/>
  <c r="AE36" i="41"/>
  <c r="AB36" i="41"/>
  <c r="AC36" i="41"/>
  <c r="AD36" i="41"/>
  <c r="D36" i="41"/>
  <c r="AE35" i="41"/>
  <c r="AB35" i="41"/>
  <c r="AC35" i="41"/>
  <c r="AD35" i="41"/>
  <c r="D35" i="41"/>
  <c r="AE34" i="41"/>
  <c r="AB34" i="41"/>
  <c r="AC34" i="41"/>
  <c r="AD34" i="41"/>
  <c r="D34" i="41"/>
  <c r="AE33" i="41"/>
  <c r="AB33" i="41"/>
  <c r="AC33" i="41"/>
  <c r="AD33" i="41"/>
  <c r="D33" i="41"/>
  <c r="AE32" i="41"/>
  <c r="AB32" i="41"/>
  <c r="AC32" i="41"/>
  <c r="AD32" i="41"/>
  <c r="D32" i="41"/>
  <c r="AE31" i="41"/>
  <c r="AB31" i="41"/>
  <c r="AC31" i="41"/>
  <c r="AD31" i="41"/>
  <c r="D31" i="41"/>
  <c r="AE30" i="41"/>
  <c r="AB30" i="41"/>
  <c r="AC30" i="41"/>
  <c r="AD30" i="41"/>
  <c r="D30" i="41"/>
  <c r="AE29" i="41"/>
  <c r="AB29" i="41"/>
  <c r="AC29" i="41"/>
  <c r="AD29" i="41"/>
  <c r="D29" i="41"/>
  <c r="AE28" i="41"/>
  <c r="AB28" i="41"/>
  <c r="AC28" i="41"/>
  <c r="AD28" i="41"/>
  <c r="D28" i="41"/>
  <c r="AE27" i="41"/>
  <c r="AB27" i="41"/>
  <c r="AC27" i="41"/>
  <c r="AD27" i="41"/>
  <c r="D27" i="41"/>
  <c r="AE26" i="41"/>
  <c r="AB26" i="41"/>
  <c r="AC26" i="41"/>
  <c r="AD26" i="41"/>
  <c r="D26" i="41"/>
  <c r="AE25" i="41"/>
  <c r="AB25" i="41"/>
  <c r="AC25" i="41"/>
  <c r="AD25" i="41"/>
  <c r="D25" i="41"/>
  <c r="AE24" i="41"/>
  <c r="AB24" i="41"/>
  <c r="AC24" i="41"/>
  <c r="AD24" i="41"/>
  <c r="D24" i="41"/>
  <c r="AE23" i="41"/>
  <c r="AB23" i="41"/>
  <c r="AC23" i="41"/>
  <c r="AD23" i="41"/>
  <c r="D23" i="41"/>
  <c r="AE22" i="41"/>
  <c r="AB22" i="41"/>
  <c r="AC22" i="41"/>
  <c r="AD22" i="41"/>
  <c r="D22" i="41"/>
  <c r="AE21" i="41"/>
  <c r="AB21" i="41"/>
  <c r="AC21" i="41"/>
  <c r="AD21" i="41"/>
  <c r="D21" i="41"/>
  <c r="AE20" i="41"/>
  <c r="AB20" i="41"/>
  <c r="AC20" i="41"/>
  <c r="AD20" i="41"/>
  <c r="D20" i="41"/>
  <c r="AE19" i="41"/>
  <c r="AB19" i="41"/>
  <c r="AC19" i="41"/>
  <c r="AD19" i="41"/>
  <c r="D19" i="41"/>
  <c r="AE18" i="41"/>
  <c r="AB18" i="41"/>
  <c r="AC18" i="41"/>
  <c r="AD18" i="41"/>
  <c r="D18" i="41"/>
  <c r="AE17" i="41"/>
  <c r="AB17" i="41"/>
  <c r="AC17" i="41"/>
  <c r="AD17" i="41"/>
  <c r="D17" i="41"/>
  <c r="AE16" i="41"/>
  <c r="AB16" i="41"/>
  <c r="AC16" i="41"/>
  <c r="AD16" i="41"/>
  <c r="D16" i="41"/>
  <c r="AE15" i="41"/>
  <c r="AB15" i="41"/>
  <c r="AC15" i="41"/>
  <c r="AD15" i="41"/>
  <c r="D15" i="41"/>
  <c r="AE14" i="41"/>
  <c r="AB14" i="41"/>
  <c r="AC14" i="41"/>
  <c r="AD14" i="41"/>
  <c r="D14" i="41"/>
  <c r="AE13" i="41"/>
  <c r="AB13" i="41"/>
  <c r="AC13" i="41"/>
  <c r="AD13" i="41"/>
  <c r="D13" i="41"/>
  <c r="AE12" i="41"/>
  <c r="AB12" i="41"/>
  <c r="AC12" i="41"/>
  <c r="AD12" i="41"/>
  <c r="D12" i="41"/>
  <c r="AE11" i="41"/>
  <c r="AB11" i="41"/>
  <c r="AC11" i="41"/>
  <c r="AD11" i="41"/>
  <c r="D11" i="41"/>
  <c r="AE10" i="41"/>
  <c r="AB10" i="41"/>
  <c r="AC10" i="41"/>
  <c r="AD10" i="41"/>
  <c r="D10" i="41"/>
  <c r="AE9" i="41"/>
  <c r="AB9" i="41"/>
  <c r="AC9" i="41"/>
  <c r="AD9" i="41"/>
  <c r="D9" i="41"/>
  <c r="AE8" i="41"/>
  <c r="AB8" i="41"/>
  <c r="AC8" i="41"/>
  <c r="AD8" i="41"/>
  <c r="D8" i="41"/>
  <c r="AE7" i="41"/>
  <c r="AB7" i="41"/>
  <c r="AC7" i="41"/>
  <c r="AD7" i="41"/>
  <c r="D7" i="41"/>
  <c r="AH6" i="41" a="1"/>
  <c r="AE6" i="41"/>
  <c r="AB6" i="41"/>
  <c r="AC6" i="41"/>
  <c r="AD6" i="41"/>
  <c r="D6" i="41"/>
  <c r="AC4" i="41" a="1"/>
  <c r="AB4" i="41" a="1"/>
  <c r="AA4" i="41" a="1"/>
  <c r="Z4" i="41" a="1"/>
  <c r="Y4" i="41" a="1"/>
  <c r="X4" i="41" a="1"/>
  <c r="W4" i="41" a="1"/>
  <c r="V4" i="41" a="1"/>
  <c r="U4" i="41" a="1"/>
  <c r="T4" i="41" a="1"/>
  <c r="S4" i="41" a="1"/>
  <c r="R4" i="41" a="1"/>
  <c r="Q4" i="41" a="1"/>
  <c r="P4" i="41" a="1"/>
  <c r="O4" i="41" a="1"/>
  <c r="N4" i="41" a="1"/>
  <c r="M4" i="41" a="1"/>
  <c r="L4" i="41" a="1"/>
  <c r="K4" i="41" a="1"/>
  <c r="J4" i="41" a="1"/>
  <c r="AC3" i="41" a="1"/>
  <c r="AB3" i="41" a="1"/>
  <c r="AA3" i="41" a="1"/>
  <c r="Z3" i="41" a="1"/>
  <c r="Y3" i="41" a="1"/>
  <c r="X3" i="41" a="1"/>
  <c r="W3" i="41" a="1"/>
  <c r="V3" i="41" a="1"/>
  <c r="U3" i="41" a="1"/>
  <c r="T3" i="41" a="1"/>
  <c r="S3" i="41" a="1"/>
  <c r="R3" i="41" a="1"/>
  <c r="Q3" i="41" a="1"/>
  <c r="P3" i="41" a="1"/>
  <c r="O3" i="41" a="1"/>
  <c r="N3" i="41" a="1"/>
  <c r="M3" i="41" a="1"/>
  <c r="L3" i="41" a="1"/>
  <c r="K3" i="41" a="1"/>
  <c r="J3" i="41" a="1"/>
  <c r="AC2" i="41" a="1"/>
  <c r="AB2" i="41" a="1"/>
  <c r="AA2" i="41" a="1"/>
  <c r="Z2" i="41" a="1"/>
  <c r="Y2" i="41" a="1"/>
  <c r="X2" i="41" a="1"/>
  <c r="W2" i="41" a="1"/>
  <c r="V2" i="41" a="1"/>
  <c r="U2" i="41" a="1"/>
  <c r="T2" i="41" a="1"/>
  <c r="S2" i="41" a="1"/>
  <c r="R2" i="41" a="1"/>
  <c r="Q2" i="41" a="1"/>
  <c r="P2" i="41" a="1"/>
  <c r="O2" i="41" a="1"/>
  <c r="N2" i="41" a="1"/>
  <c r="M2" i="41" a="1"/>
  <c r="L2" i="41" a="1"/>
  <c r="K2" i="41" a="1"/>
  <c r="J2" i="41" a="1"/>
  <c r="U6" i="50"/>
  <c r="U7" i="50"/>
  <c r="U8" i="50"/>
  <c r="U9" i="50"/>
  <c r="U10" i="50"/>
  <c r="U11" i="50"/>
  <c r="U12" i="50"/>
  <c r="U13" i="50"/>
  <c r="U14" i="50"/>
  <c r="U15" i="50"/>
  <c r="U16" i="50"/>
  <c r="U17" i="50"/>
  <c r="U18" i="50"/>
  <c r="U19" i="50"/>
  <c r="U20" i="50"/>
  <c r="U21" i="50"/>
  <c r="U22" i="50"/>
  <c r="U23" i="50"/>
  <c r="U24" i="50"/>
  <c r="U25" i="50"/>
  <c r="U26" i="50"/>
  <c r="U27" i="50"/>
  <c r="U28" i="50"/>
  <c r="U29" i="50"/>
  <c r="U30" i="50"/>
  <c r="U31" i="50"/>
  <c r="U32" i="50"/>
  <c r="U33" i="50"/>
  <c r="U34" i="50"/>
  <c r="U35" i="50"/>
  <c r="U36" i="50"/>
  <c r="U37" i="50"/>
  <c r="U38" i="50"/>
  <c r="U39" i="50"/>
  <c r="U40" i="50"/>
  <c r="U41" i="50"/>
  <c r="U42" i="50"/>
  <c r="U43" i="50"/>
  <c r="U44" i="50"/>
  <c r="U45" i="50"/>
  <c r="U46" i="50"/>
  <c r="T6" i="50"/>
  <c r="T7" i="50"/>
  <c r="T8" i="50"/>
  <c r="T9" i="50"/>
  <c r="T10" i="50"/>
  <c r="T11" i="50"/>
  <c r="T12" i="50"/>
  <c r="T13" i="50"/>
  <c r="T14" i="50"/>
  <c r="T15" i="50"/>
  <c r="T16" i="50"/>
  <c r="T17" i="50"/>
  <c r="T18" i="50"/>
  <c r="T19" i="50"/>
  <c r="T20" i="50"/>
  <c r="T21" i="50"/>
  <c r="T22" i="50"/>
  <c r="T23" i="50"/>
  <c r="T24" i="50"/>
  <c r="T25" i="50"/>
  <c r="T26" i="50"/>
  <c r="T27" i="50"/>
  <c r="T28" i="50"/>
  <c r="T29" i="50"/>
  <c r="T30" i="50"/>
  <c r="T31" i="50"/>
  <c r="T32" i="50"/>
  <c r="T33" i="50"/>
  <c r="T34" i="50"/>
  <c r="T35" i="50"/>
  <c r="T36" i="50"/>
  <c r="T37" i="50"/>
  <c r="T38" i="50"/>
  <c r="T39" i="50"/>
  <c r="T40" i="50"/>
  <c r="T41" i="50"/>
  <c r="T42" i="50"/>
  <c r="T43" i="50"/>
  <c r="T44" i="50"/>
  <c r="T45" i="50"/>
  <c r="T46" i="50"/>
  <c r="S7" i="50"/>
  <c r="S8" i="50"/>
  <c r="S9" i="50"/>
  <c r="S10" i="50"/>
  <c r="S11" i="50"/>
  <c r="S13" i="50"/>
  <c r="S14" i="50"/>
  <c r="S15" i="50"/>
  <c r="S17" i="50"/>
  <c r="S18" i="50"/>
  <c r="S19" i="50"/>
  <c r="S20" i="50"/>
  <c r="S21" i="50"/>
  <c r="S22" i="50"/>
  <c r="S23" i="50"/>
  <c r="S24" i="50"/>
  <c r="S25" i="50"/>
  <c r="S26" i="50"/>
  <c r="S27" i="50"/>
  <c r="S28" i="50"/>
  <c r="S29" i="50"/>
  <c r="S30" i="50"/>
  <c r="S32" i="50"/>
  <c r="S33" i="50"/>
  <c r="S34" i="50"/>
  <c r="S36" i="50"/>
  <c r="S37" i="50"/>
  <c r="S38" i="50"/>
  <c r="S40" i="50"/>
  <c r="S42" i="50"/>
  <c r="S43" i="50"/>
  <c r="S44" i="50"/>
  <c r="S45" i="50"/>
  <c r="S46" i="50"/>
  <c r="R46" i="50"/>
  <c r="Q46" i="50"/>
  <c r="P46" i="50"/>
  <c r="O46" i="50"/>
  <c r="N46" i="50"/>
  <c r="M46" i="50"/>
  <c r="L46" i="50"/>
  <c r="K46" i="50"/>
  <c r="J46" i="50"/>
  <c r="AE45" i="50"/>
  <c r="AB45" i="50"/>
  <c r="AC45" i="50"/>
  <c r="AD45" i="50"/>
  <c r="AE44" i="50"/>
  <c r="AB44" i="50"/>
  <c r="AC44" i="50"/>
  <c r="AD44" i="50"/>
  <c r="AE43" i="50"/>
  <c r="AB43" i="50"/>
  <c r="AC43" i="50"/>
  <c r="AD43" i="50"/>
  <c r="AE42" i="50"/>
  <c r="AB42" i="50"/>
  <c r="AC42" i="50"/>
  <c r="AD42" i="50"/>
  <c r="AE41" i="50"/>
  <c r="AB41" i="50"/>
  <c r="AC41" i="50"/>
  <c r="AD41" i="50"/>
  <c r="AE40" i="50"/>
  <c r="AB40" i="50"/>
  <c r="AC40" i="50"/>
  <c r="AD40" i="50"/>
  <c r="AE39" i="50"/>
  <c r="AB39" i="50"/>
  <c r="AC39" i="50"/>
  <c r="AD39" i="50"/>
  <c r="AE38" i="50"/>
  <c r="AB38" i="50"/>
  <c r="AC38" i="50"/>
  <c r="AD38" i="50"/>
  <c r="AE37" i="50"/>
  <c r="AB37" i="50"/>
  <c r="AC37" i="50"/>
  <c r="AD37" i="50"/>
  <c r="AE36" i="50"/>
  <c r="AB36" i="50"/>
  <c r="AC36" i="50"/>
  <c r="AD36" i="50"/>
  <c r="AE35" i="50"/>
  <c r="AB35" i="50"/>
  <c r="AC35" i="50"/>
  <c r="AD35" i="50"/>
  <c r="AE34" i="50"/>
  <c r="AB34" i="50"/>
  <c r="AC34" i="50"/>
  <c r="AD34" i="50"/>
  <c r="AE33" i="50"/>
  <c r="AB33" i="50"/>
  <c r="AC33" i="50"/>
  <c r="AD33" i="50"/>
  <c r="AE32" i="50"/>
  <c r="AB32" i="50"/>
  <c r="AC32" i="50"/>
  <c r="AD32" i="50"/>
  <c r="AE31" i="50"/>
  <c r="AB31" i="50"/>
  <c r="AC31" i="50"/>
  <c r="AD31" i="50"/>
  <c r="AE30" i="50"/>
  <c r="AB30" i="50"/>
  <c r="AC30" i="50"/>
  <c r="AD30" i="50"/>
  <c r="AE29" i="50"/>
  <c r="AB29" i="50"/>
  <c r="AC29" i="50"/>
  <c r="AD29" i="50"/>
  <c r="AE28" i="50"/>
  <c r="AB28" i="50"/>
  <c r="AC28" i="50"/>
  <c r="AD28" i="50"/>
  <c r="AE27" i="50"/>
  <c r="AB27" i="50"/>
  <c r="AC27" i="50"/>
  <c r="AD27" i="50"/>
  <c r="AE26" i="50"/>
  <c r="AB26" i="50"/>
  <c r="AC26" i="50"/>
  <c r="AD26" i="50"/>
  <c r="AE25" i="50"/>
  <c r="AB25" i="50"/>
  <c r="AC25" i="50"/>
  <c r="AD25" i="50"/>
  <c r="AE24" i="50"/>
  <c r="AB24" i="50"/>
  <c r="AC24" i="50"/>
  <c r="AD24" i="50"/>
  <c r="AE23" i="50"/>
  <c r="AB23" i="50"/>
  <c r="AC23" i="50"/>
  <c r="AD23" i="50"/>
  <c r="AE22" i="50"/>
  <c r="AB22" i="50"/>
  <c r="AC22" i="50"/>
  <c r="AD22" i="50"/>
  <c r="AE21" i="50"/>
  <c r="AB21" i="50"/>
  <c r="AC21" i="50"/>
  <c r="AD21" i="50"/>
  <c r="AE20" i="50"/>
  <c r="AB20" i="50"/>
  <c r="AC20" i="50"/>
  <c r="AD20" i="50"/>
  <c r="AE19" i="50"/>
  <c r="AB19" i="50"/>
  <c r="AC19" i="50"/>
  <c r="AD19" i="50"/>
  <c r="AE18" i="50"/>
  <c r="AB18" i="50"/>
  <c r="AC18" i="50"/>
  <c r="AD18" i="50"/>
  <c r="AE17" i="50"/>
  <c r="AB17" i="50"/>
  <c r="AC17" i="50"/>
  <c r="AD17" i="50"/>
  <c r="AE16" i="50"/>
  <c r="AB16" i="50"/>
  <c r="AC16" i="50"/>
  <c r="AD16" i="50"/>
  <c r="AE15" i="50"/>
  <c r="AB15" i="50"/>
  <c r="AC15" i="50"/>
  <c r="AD15" i="50"/>
  <c r="AE14" i="50"/>
  <c r="AB14" i="50"/>
  <c r="AC14" i="50"/>
  <c r="AD14" i="50"/>
  <c r="AE13" i="50"/>
  <c r="AB13" i="50"/>
  <c r="AC13" i="50"/>
  <c r="AD13" i="50"/>
  <c r="AE12" i="50"/>
  <c r="AB12" i="50"/>
  <c r="AC12" i="50"/>
  <c r="AD12" i="50"/>
  <c r="AE11" i="50"/>
  <c r="AB11" i="50"/>
  <c r="AC11" i="50"/>
  <c r="AD11" i="50"/>
  <c r="AE10" i="50"/>
  <c r="AB10" i="50"/>
  <c r="AC10" i="50"/>
  <c r="AD10" i="50"/>
  <c r="AE9" i="50"/>
  <c r="AB9" i="50"/>
  <c r="AC9" i="50"/>
  <c r="AD9" i="50"/>
  <c r="AE8" i="50"/>
  <c r="AB8" i="50"/>
  <c r="AC8" i="50"/>
  <c r="AD8" i="50"/>
  <c r="AE7" i="50"/>
  <c r="AB7" i="50"/>
  <c r="AC7" i="50"/>
  <c r="AD7" i="50"/>
  <c r="AH6" i="50" a="1"/>
  <c r="AE6" i="50"/>
  <c r="K4" i="50" s="1" a="1"/>
  <c r="AB6" i="50"/>
  <c r="AC6" i="50"/>
  <c r="AD6" i="50"/>
  <c r="AC4" i="50" a="1"/>
  <c r="AB4" i="50" a="1"/>
  <c r="AA4" i="50" a="1"/>
  <c r="Z4" i="50" a="1"/>
  <c r="Y4" i="50" a="1"/>
  <c r="X4" i="50" a="1"/>
  <c r="W4" i="50" a="1"/>
  <c r="V4" i="50" a="1"/>
  <c r="U4" i="50" a="1"/>
  <c r="T4" i="50" a="1"/>
  <c r="S4" i="50" a="1"/>
  <c r="R4" i="50" a="1"/>
  <c r="Q4" i="50" a="1"/>
  <c r="P4" i="50" a="1"/>
  <c r="O4" i="50" a="1"/>
  <c r="N4" i="50" a="1"/>
  <c r="M4" i="50" a="1"/>
  <c r="L4" i="50" a="1"/>
  <c r="J4" i="50" a="1"/>
  <c r="AC3" i="50" a="1"/>
  <c r="AB3" i="50" a="1"/>
  <c r="AA3" i="50" a="1"/>
  <c r="Z3" i="50" a="1"/>
  <c r="Y3" i="50" a="1"/>
  <c r="X3" i="50" a="1"/>
  <c r="W3" i="50" a="1"/>
  <c r="V3" i="50" a="1"/>
  <c r="U3" i="50" a="1"/>
  <c r="T3" i="50" a="1"/>
  <c r="S3" i="50" a="1"/>
  <c r="R3" i="50" a="1"/>
  <c r="Q3" i="50" a="1"/>
  <c r="P3" i="50" a="1"/>
  <c r="O3" i="50" a="1"/>
  <c r="N3" i="50" a="1"/>
  <c r="M3" i="50" a="1"/>
  <c r="L3" i="50" a="1"/>
  <c r="K3" i="50" a="1"/>
  <c r="J3" i="50" a="1"/>
  <c r="AC2" i="50" a="1"/>
  <c r="AB2" i="50" a="1"/>
  <c r="AA2" i="50" a="1"/>
  <c r="Z2" i="50" a="1"/>
  <c r="Y2" i="50" a="1"/>
  <c r="X2" i="50" a="1"/>
  <c r="W2" i="50" a="1"/>
  <c r="V2" i="50" a="1"/>
  <c r="U2" i="50" a="1"/>
  <c r="T2" i="50" a="1"/>
  <c r="S2" i="50" a="1"/>
  <c r="R2" i="50" a="1"/>
  <c r="Q2" i="50" a="1"/>
  <c r="P2" i="50" a="1"/>
  <c r="O2" i="50" a="1"/>
  <c r="N2" i="50" a="1"/>
  <c r="M2" i="50" a="1"/>
  <c r="L2" i="50" a="1"/>
  <c r="K2" i="50" a="1"/>
  <c r="J2" i="50" a="1"/>
  <c r="U42" i="92"/>
  <c r="T42" i="92"/>
  <c r="S42" i="92"/>
  <c r="R42" i="92"/>
  <c r="U41" i="92"/>
  <c r="T41" i="92"/>
  <c r="S41" i="92"/>
  <c r="R41" i="92"/>
  <c r="U40" i="92"/>
  <c r="T40" i="92"/>
  <c r="S40" i="92"/>
  <c r="R40" i="92"/>
  <c r="U39" i="92"/>
  <c r="T39" i="92"/>
  <c r="S39" i="92"/>
  <c r="R39" i="92"/>
  <c r="U38" i="92"/>
  <c r="T38" i="92"/>
  <c r="S38" i="92"/>
  <c r="R38" i="92"/>
  <c r="U37" i="92"/>
  <c r="T37" i="92"/>
  <c r="S37" i="92"/>
  <c r="R37" i="92"/>
  <c r="U36" i="92"/>
  <c r="T36" i="92"/>
  <c r="S36" i="92"/>
  <c r="R36" i="92"/>
  <c r="U35" i="92"/>
  <c r="T35" i="92"/>
  <c r="S35" i="92"/>
  <c r="R35" i="92"/>
  <c r="U34" i="92"/>
  <c r="T34" i="92"/>
  <c r="S34" i="92"/>
  <c r="R34" i="92"/>
  <c r="U33" i="92"/>
  <c r="T33" i="92"/>
  <c r="S33" i="92"/>
  <c r="R33" i="92"/>
  <c r="U32" i="92"/>
  <c r="T32" i="92"/>
  <c r="S32" i="92"/>
  <c r="R32" i="92"/>
  <c r="U31" i="92"/>
  <c r="T31" i="92"/>
  <c r="S31" i="92"/>
  <c r="R31" i="92"/>
  <c r="U30" i="92"/>
  <c r="T30" i="92"/>
  <c r="S30" i="92"/>
  <c r="R30" i="92"/>
  <c r="U29" i="92"/>
  <c r="T29" i="92"/>
  <c r="S29" i="92"/>
  <c r="R29" i="92"/>
  <c r="U28" i="92"/>
  <c r="T28" i="92"/>
  <c r="S28" i="92"/>
  <c r="R28" i="92"/>
  <c r="U27" i="92"/>
  <c r="T27" i="92"/>
  <c r="S27" i="92"/>
  <c r="R27" i="92"/>
  <c r="U26" i="92"/>
  <c r="T26" i="92"/>
  <c r="S26" i="92"/>
  <c r="R26" i="92"/>
  <c r="U25" i="92"/>
  <c r="T25" i="92"/>
  <c r="S25" i="92"/>
  <c r="R25" i="92"/>
  <c r="U24" i="92"/>
  <c r="T24" i="92"/>
  <c r="S24" i="92"/>
  <c r="R24" i="92"/>
  <c r="U23" i="92"/>
  <c r="T23" i="92"/>
  <c r="S23" i="92"/>
  <c r="R23" i="92"/>
  <c r="U22" i="92"/>
  <c r="T22" i="92"/>
  <c r="S22" i="92"/>
  <c r="R22" i="92"/>
  <c r="U21" i="92"/>
  <c r="T21" i="92"/>
  <c r="S21" i="92"/>
  <c r="R21" i="92"/>
  <c r="U20" i="92"/>
  <c r="T20" i="92"/>
  <c r="S20" i="92"/>
  <c r="R20" i="92"/>
  <c r="U19" i="92"/>
  <c r="T19" i="92"/>
  <c r="S19" i="92"/>
  <c r="R19" i="92"/>
  <c r="U18" i="92"/>
  <c r="T18" i="92"/>
  <c r="S18" i="92"/>
  <c r="R18" i="92"/>
  <c r="U17" i="92"/>
  <c r="T17" i="92"/>
  <c r="S17" i="92"/>
  <c r="R17" i="92"/>
  <c r="U16" i="92"/>
  <c r="T16" i="92"/>
  <c r="S16" i="92"/>
  <c r="R16" i="92"/>
  <c r="U15" i="92"/>
  <c r="T15" i="92"/>
  <c r="S15" i="92"/>
  <c r="R15" i="92"/>
  <c r="U14" i="92"/>
  <c r="T14" i="92"/>
  <c r="S14" i="92"/>
  <c r="R14" i="92"/>
  <c r="U13" i="92"/>
  <c r="T13" i="92"/>
  <c r="S13" i="92"/>
  <c r="R13" i="92"/>
  <c r="U12" i="92"/>
  <c r="T12" i="92"/>
  <c r="S12" i="92"/>
  <c r="R12" i="92"/>
  <c r="U11" i="92"/>
  <c r="T11" i="92"/>
  <c r="S11" i="92"/>
  <c r="R11" i="92"/>
  <c r="U10" i="92"/>
  <c r="T10" i="92"/>
  <c r="S10" i="92"/>
  <c r="R10" i="92"/>
  <c r="U9" i="92"/>
  <c r="T9" i="92"/>
  <c r="S9" i="92"/>
  <c r="R9" i="92"/>
  <c r="U8" i="92"/>
  <c r="T8" i="92"/>
  <c r="S8" i="92"/>
  <c r="R8" i="92"/>
  <c r="U7" i="92"/>
  <c r="T7" i="92"/>
  <c r="S7" i="92"/>
  <c r="R7" i="92"/>
  <c r="U6" i="92"/>
  <c r="T6" i="92"/>
  <c r="S6" i="92"/>
  <c r="R6" i="92"/>
  <c r="U5" i="92"/>
  <c r="T5" i="92"/>
  <c r="S5" i="92"/>
  <c r="R5" i="92"/>
  <c r="U4" i="92"/>
  <c r="T4" i="92"/>
  <c r="S4" i="92"/>
  <c r="R4" i="92"/>
  <c r="U3" i="92"/>
  <c r="T3" i="92"/>
  <c r="S3" i="92"/>
  <c r="R3" i="92"/>
  <c r="U59" i="91"/>
  <c r="T59" i="91"/>
  <c r="S59" i="91"/>
  <c r="R59" i="91"/>
  <c r="U58" i="91"/>
  <c r="T58" i="91"/>
  <c r="S58" i="91"/>
  <c r="R58" i="91"/>
  <c r="U57" i="91"/>
  <c r="T57" i="91"/>
  <c r="S57" i="91"/>
  <c r="R57" i="91"/>
  <c r="U56" i="91"/>
  <c r="T56" i="91"/>
  <c r="S56" i="91"/>
  <c r="R56" i="91"/>
  <c r="U55" i="91"/>
  <c r="T55" i="91"/>
  <c r="S55" i="91"/>
  <c r="R55" i="91"/>
  <c r="U54" i="91"/>
  <c r="T54" i="91"/>
  <c r="S54" i="91"/>
  <c r="R54" i="91"/>
  <c r="U53" i="91"/>
  <c r="T53" i="91"/>
  <c r="S53" i="91"/>
  <c r="R53" i="91"/>
  <c r="U52" i="91"/>
  <c r="T52" i="91"/>
  <c r="S52" i="91"/>
  <c r="R52" i="91"/>
  <c r="U51" i="91"/>
  <c r="T51" i="91"/>
  <c r="S51" i="91"/>
  <c r="R51" i="91"/>
  <c r="U50" i="91"/>
  <c r="T50" i="91"/>
  <c r="S50" i="91"/>
  <c r="R50" i="91"/>
  <c r="U49" i="91"/>
  <c r="T49" i="91"/>
  <c r="S49" i="91"/>
  <c r="R49" i="91"/>
  <c r="U48" i="91"/>
  <c r="T48" i="91"/>
  <c r="S48" i="91"/>
  <c r="R48" i="91"/>
  <c r="U47" i="91"/>
  <c r="T47" i="91"/>
  <c r="S47" i="91"/>
  <c r="R47" i="91"/>
  <c r="U46" i="91"/>
  <c r="T46" i="91"/>
  <c r="S46" i="91"/>
  <c r="R46" i="91"/>
  <c r="U45" i="91"/>
  <c r="T45" i="91"/>
  <c r="S45" i="91"/>
  <c r="R45" i="91"/>
  <c r="U44" i="91"/>
  <c r="T44" i="91"/>
  <c r="S44" i="91"/>
  <c r="R44" i="91"/>
  <c r="U43" i="91"/>
  <c r="T43" i="91"/>
  <c r="S43" i="91"/>
  <c r="R43" i="91"/>
  <c r="U42" i="91"/>
  <c r="T42" i="91"/>
  <c r="S42" i="91"/>
  <c r="R42" i="91"/>
  <c r="U41" i="91"/>
  <c r="T41" i="91"/>
  <c r="S41" i="91"/>
  <c r="R41" i="91"/>
  <c r="U40" i="91"/>
  <c r="T40" i="91"/>
  <c r="S40" i="91"/>
  <c r="R40" i="91"/>
  <c r="U39" i="91"/>
  <c r="T39" i="91"/>
  <c r="S39" i="91"/>
  <c r="R39" i="91"/>
  <c r="U38" i="91"/>
  <c r="T38" i="91"/>
  <c r="S38" i="91"/>
  <c r="R38" i="91"/>
  <c r="U37" i="91"/>
  <c r="T37" i="91"/>
  <c r="S37" i="91"/>
  <c r="R37" i="91"/>
  <c r="U36" i="91"/>
  <c r="T36" i="91"/>
  <c r="S36" i="91"/>
  <c r="R36" i="91"/>
  <c r="U35" i="91"/>
  <c r="T35" i="91"/>
  <c r="S35" i="91"/>
  <c r="R35" i="91"/>
  <c r="U34" i="91"/>
  <c r="T34" i="91"/>
  <c r="S34" i="91"/>
  <c r="R34" i="91"/>
  <c r="U33" i="91"/>
  <c r="T33" i="91"/>
  <c r="S33" i="91"/>
  <c r="R33" i="91"/>
  <c r="U32" i="91"/>
  <c r="T32" i="91"/>
  <c r="S32" i="91"/>
  <c r="R32" i="91"/>
  <c r="U31" i="91"/>
  <c r="T31" i="91"/>
  <c r="S31" i="91"/>
  <c r="R31" i="91"/>
  <c r="U30" i="91"/>
  <c r="T30" i="91"/>
  <c r="S30" i="91"/>
  <c r="R30" i="91"/>
  <c r="U29" i="91"/>
  <c r="T29" i="91"/>
  <c r="S29" i="91"/>
  <c r="R29" i="91"/>
  <c r="U28" i="91"/>
  <c r="T28" i="91"/>
  <c r="S28" i="91"/>
  <c r="R28" i="91"/>
  <c r="U27" i="91"/>
  <c r="T27" i="91"/>
  <c r="S27" i="91"/>
  <c r="R27" i="91"/>
  <c r="U26" i="91"/>
  <c r="T26" i="91"/>
  <c r="S26" i="91"/>
  <c r="R26" i="91"/>
  <c r="U25" i="91"/>
  <c r="T25" i="91"/>
  <c r="S25" i="91"/>
  <c r="R25" i="91"/>
  <c r="U24" i="91"/>
  <c r="T24" i="91"/>
  <c r="S24" i="91"/>
  <c r="R24" i="91"/>
  <c r="U23" i="91"/>
  <c r="T23" i="91"/>
  <c r="S23" i="91"/>
  <c r="R23" i="91"/>
  <c r="U22" i="91"/>
  <c r="T22" i="91"/>
  <c r="S22" i="91"/>
  <c r="R22" i="91"/>
  <c r="U21" i="91"/>
  <c r="T21" i="91"/>
  <c r="S21" i="91"/>
  <c r="R21" i="91"/>
  <c r="U20" i="91"/>
  <c r="T20" i="91"/>
  <c r="S20" i="91"/>
  <c r="R20" i="91"/>
  <c r="U19" i="91"/>
  <c r="T19" i="91"/>
  <c r="S19" i="91"/>
  <c r="R19" i="91"/>
  <c r="U18" i="91"/>
  <c r="T18" i="91"/>
  <c r="S18" i="91"/>
  <c r="R18" i="91"/>
  <c r="U17" i="91"/>
  <c r="T17" i="91"/>
  <c r="S17" i="91"/>
  <c r="R17" i="91"/>
  <c r="U16" i="91"/>
  <c r="T16" i="91"/>
  <c r="S16" i="91"/>
  <c r="R16" i="91"/>
  <c r="U15" i="91"/>
  <c r="T15" i="91"/>
  <c r="S15" i="91"/>
  <c r="R15" i="91"/>
  <c r="U14" i="91"/>
  <c r="T14" i="91"/>
  <c r="S14" i="91"/>
  <c r="R14" i="91"/>
  <c r="U13" i="91"/>
  <c r="T13" i="91"/>
  <c r="S13" i="91"/>
  <c r="R13" i="91"/>
  <c r="U12" i="91"/>
  <c r="T12" i="91"/>
  <c r="S12" i="91"/>
  <c r="R12" i="91"/>
  <c r="U11" i="91"/>
  <c r="T11" i="91"/>
  <c r="S11" i="91"/>
  <c r="R11" i="91"/>
  <c r="U10" i="91"/>
  <c r="T10" i="91"/>
  <c r="S10" i="91"/>
  <c r="R10" i="91"/>
  <c r="U9" i="91"/>
  <c r="T9" i="91"/>
  <c r="S9" i="91"/>
  <c r="R9" i="91"/>
  <c r="U8" i="91"/>
  <c r="T8" i="91"/>
  <c r="S8" i="91"/>
  <c r="R8" i="91"/>
  <c r="U7" i="91"/>
  <c r="T7" i="91"/>
  <c r="S7" i="91"/>
  <c r="R7" i="91"/>
  <c r="U6" i="91"/>
  <c r="T6" i="91"/>
  <c r="S6" i="91"/>
  <c r="R6" i="91"/>
  <c r="T4" i="91"/>
  <c r="S4" i="91"/>
  <c r="R4" i="91"/>
  <c r="Q4" i="91" a="1"/>
  <c r="P4" i="91" a="1"/>
  <c r="O4" i="91" a="1"/>
  <c r="N4" i="91"/>
  <c r="M4" i="91"/>
  <c r="L4" i="91"/>
  <c r="K4" i="91"/>
  <c r="J4" i="91"/>
  <c r="I4" i="91"/>
  <c r="T3" i="91"/>
  <c r="S3" i="91"/>
  <c r="R3" i="91"/>
  <c r="Q3" i="91"/>
  <c r="P3" i="91"/>
  <c r="O3" i="91"/>
  <c r="N3" i="91"/>
  <c r="M3" i="91"/>
  <c r="L3" i="91"/>
  <c r="K3" i="91"/>
  <c r="J3" i="91"/>
  <c r="I3" i="91"/>
  <c r="T2" i="91"/>
  <c r="S2" i="91"/>
  <c r="R2" i="91"/>
  <c r="Q2" i="91"/>
  <c r="P2" i="91"/>
  <c r="O2" i="91"/>
  <c r="N2" i="91"/>
  <c r="M2" i="91"/>
  <c r="L2" i="91"/>
  <c r="K2" i="91"/>
  <c r="J2" i="91"/>
  <c r="I2" i="91"/>
  <c r="D46" i="28"/>
  <c r="D45" i="28"/>
  <c r="D44" i="28"/>
  <c r="D43" i="28"/>
  <c r="D42" i="28"/>
  <c r="D41" i="28"/>
  <c r="D40" i="28"/>
  <c r="D39" i="28"/>
  <c r="D38" i="28"/>
  <c r="D37" i="28"/>
  <c r="D36" i="28"/>
  <c r="D35" i="28"/>
  <c r="D34" i="28"/>
  <c r="D33" i="28"/>
  <c r="D32" i="28"/>
  <c r="D31" i="28"/>
  <c r="D30" i="28"/>
  <c r="D29" i="28"/>
  <c r="D28" i="28"/>
  <c r="D27" i="28"/>
  <c r="D26" i="28"/>
  <c r="D25" i="28"/>
  <c r="D24" i="28"/>
  <c r="D23" i="28"/>
  <c r="D22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D7" i="28"/>
  <c r="D6" i="28"/>
  <c r="U6" i="28"/>
  <c r="U7" i="28"/>
  <c r="U8" i="28"/>
  <c r="U9" i="28"/>
  <c r="U10" i="28"/>
  <c r="U11" i="28"/>
  <c r="U12" i="28"/>
  <c r="U13" i="28"/>
  <c r="U14" i="28"/>
  <c r="U15" i="28"/>
  <c r="U16" i="28"/>
  <c r="U17" i="28"/>
  <c r="U18" i="28"/>
  <c r="U19" i="28"/>
  <c r="U20" i="28"/>
  <c r="U22" i="28"/>
  <c r="U23" i="28"/>
  <c r="U24" i="28"/>
  <c r="U25" i="28"/>
  <c r="U26" i="28"/>
  <c r="U27" i="28"/>
  <c r="U28" i="28"/>
  <c r="U29" i="28"/>
  <c r="U30" i="28"/>
  <c r="U31" i="28"/>
  <c r="U32" i="28"/>
  <c r="U33" i="28"/>
  <c r="U34" i="28"/>
  <c r="U35" i="28"/>
  <c r="U36" i="28"/>
  <c r="U37" i="28"/>
  <c r="U38" i="28"/>
  <c r="U39" i="28"/>
  <c r="U40" i="28"/>
  <c r="U41" i="28"/>
  <c r="U42" i="28"/>
  <c r="U43" i="28"/>
  <c r="U44" i="28"/>
  <c r="U45" i="28"/>
  <c r="U46" i="28"/>
  <c r="U48" i="28"/>
  <c r="T6" i="28"/>
  <c r="T7" i="28"/>
  <c r="T8" i="28"/>
  <c r="T9" i="28"/>
  <c r="T10" i="28"/>
  <c r="T11" i="28"/>
  <c r="T12" i="28"/>
  <c r="T13" i="28"/>
  <c r="T14" i="28"/>
  <c r="T15" i="28"/>
  <c r="T16" i="28"/>
  <c r="T17" i="28"/>
  <c r="T18" i="28"/>
  <c r="T19" i="28"/>
  <c r="T20" i="28"/>
  <c r="T22" i="28"/>
  <c r="T23" i="28"/>
  <c r="T24" i="28"/>
  <c r="T25" i="28"/>
  <c r="T26" i="28"/>
  <c r="T27" i="28"/>
  <c r="T28" i="28"/>
  <c r="T29" i="28"/>
  <c r="T30" i="28"/>
  <c r="T31" i="28"/>
  <c r="T32" i="28"/>
  <c r="T33" i="28"/>
  <c r="T34" i="28"/>
  <c r="T35" i="28"/>
  <c r="T36" i="28"/>
  <c r="T37" i="28"/>
  <c r="T38" i="28"/>
  <c r="T39" i="28"/>
  <c r="T40" i="28"/>
  <c r="T41" i="28"/>
  <c r="T42" i="28"/>
  <c r="T43" i="28"/>
  <c r="T44" i="28"/>
  <c r="T45" i="28"/>
  <c r="T46" i="28"/>
  <c r="T48" i="28"/>
  <c r="S7" i="28"/>
  <c r="S8" i="28"/>
  <c r="S9" i="28"/>
  <c r="S10" i="28"/>
  <c r="S11" i="28"/>
  <c r="S13" i="28"/>
  <c r="S14" i="28"/>
  <c r="S15" i="28"/>
  <c r="S17" i="28"/>
  <c r="S18" i="28"/>
  <c r="S19" i="28"/>
  <c r="S20" i="28"/>
  <c r="S22" i="28"/>
  <c r="S23" i="28"/>
  <c r="S24" i="28"/>
  <c r="S25" i="28"/>
  <c r="S26" i="28"/>
  <c r="S27" i="28"/>
  <c r="S28" i="28"/>
  <c r="S29" i="28"/>
  <c r="S30" i="28"/>
  <c r="S31" i="28"/>
  <c r="S33" i="28"/>
  <c r="S34" i="28"/>
  <c r="S35" i="28"/>
  <c r="S37" i="28"/>
  <c r="S38" i="28"/>
  <c r="S39" i="28"/>
  <c r="S41" i="28"/>
  <c r="S43" i="28"/>
  <c r="S44" i="28"/>
  <c r="S45" i="28"/>
  <c r="S46" i="28"/>
  <c r="S48" i="28"/>
  <c r="R48" i="28"/>
  <c r="Q48" i="28"/>
  <c r="P48" i="28"/>
  <c r="O48" i="28"/>
  <c r="N48" i="28"/>
  <c r="M48" i="28"/>
  <c r="L48" i="28"/>
  <c r="K48" i="28"/>
  <c r="J48" i="28"/>
  <c r="AE46" i="28"/>
  <c r="AB46" i="28"/>
  <c r="AC46" i="28"/>
  <c r="AD46" i="28"/>
  <c r="AE45" i="28"/>
  <c r="AB45" i="28"/>
  <c r="AC45" i="28"/>
  <c r="AD45" i="28"/>
  <c r="AE44" i="28"/>
  <c r="AB44" i="28"/>
  <c r="AC44" i="28"/>
  <c r="AD44" i="28"/>
  <c r="AE43" i="28"/>
  <c r="AB43" i="28"/>
  <c r="AC43" i="28"/>
  <c r="AD43" i="28"/>
  <c r="AE42" i="28"/>
  <c r="AB42" i="28"/>
  <c r="AC42" i="28"/>
  <c r="AD42" i="28"/>
  <c r="AE41" i="28"/>
  <c r="AB41" i="28"/>
  <c r="AC41" i="28"/>
  <c r="AD41" i="28"/>
  <c r="AE40" i="28"/>
  <c r="AB40" i="28"/>
  <c r="AC40" i="28"/>
  <c r="AD40" i="28"/>
  <c r="AE39" i="28"/>
  <c r="AB39" i="28"/>
  <c r="AC39" i="28"/>
  <c r="AD39" i="28"/>
  <c r="AE38" i="28"/>
  <c r="AB38" i="28"/>
  <c r="AC38" i="28"/>
  <c r="AD38" i="28"/>
  <c r="AE37" i="28"/>
  <c r="AB37" i="28"/>
  <c r="AC37" i="28"/>
  <c r="AD37" i="28"/>
  <c r="AE36" i="28"/>
  <c r="AB36" i="28"/>
  <c r="AC36" i="28"/>
  <c r="AD36" i="28"/>
  <c r="AE35" i="28"/>
  <c r="AB35" i="28"/>
  <c r="AC35" i="28"/>
  <c r="AD35" i="28"/>
  <c r="AE34" i="28"/>
  <c r="AB34" i="28"/>
  <c r="AC34" i="28"/>
  <c r="AD34" i="28"/>
  <c r="AE33" i="28"/>
  <c r="AB33" i="28"/>
  <c r="AC33" i="28"/>
  <c r="AD33" i="28"/>
  <c r="AE32" i="28"/>
  <c r="AB32" i="28"/>
  <c r="AC32" i="28"/>
  <c r="AD32" i="28"/>
  <c r="AE31" i="28"/>
  <c r="AB31" i="28"/>
  <c r="AC31" i="28"/>
  <c r="AD31" i="28"/>
  <c r="AE30" i="28"/>
  <c r="AB30" i="28"/>
  <c r="AC30" i="28"/>
  <c r="AD30" i="28"/>
  <c r="AE29" i="28"/>
  <c r="AB29" i="28"/>
  <c r="AC29" i="28"/>
  <c r="AD29" i="28"/>
  <c r="AE28" i="28"/>
  <c r="AB28" i="28"/>
  <c r="AC28" i="28"/>
  <c r="AD28" i="28"/>
  <c r="AE27" i="28"/>
  <c r="AB27" i="28"/>
  <c r="AC27" i="28"/>
  <c r="AD27" i="28"/>
  <c r="AE26" i="28"/>
  <c r="AB26" i="28"/>
  <c r="AC26" i="28"/>
  <c r="AD26" i="28"/>
  <c r="AE25" i="28"/>
  <c r="AB25" i="28"/>
  <c r="AC25" i="28"/>
  <c r="AD25" i="28"/>
  <c r="AE24" i="28"/>
  <c r="AB24" i="28"/>
  <c r="AC24" i="28"/>
  <c r="AD24" i="28"/>
  <c r="AE23" i="28"/>
  <c r="AB23" i="28"/>
  <c r="AC23" i="28"/>
  <c r="AD23" i="28"/>
  <c r="AE22" i="28"/>
  <c r="AB22" i="28"/>
  <c r="AC22" i="28"/>
  <c r="AD22" i="28"/>
  <c r="AE20" i="28"/>
  <c r="AB20" i="28"/>
  <c r="AC20" i="28"/>
  <c r="AD20" i="28"/>
  <c r="AE19" i="28"/>
  <c r="AB19" i="28"/>
  <c r="AC19" i="28"/>
  <c r="AD19" i="28"/>
  <c r="AE18" i="28"/>
  <c r="AB18" i="28"/>
  <c r="AC18" i="28"/>
  <c r="AD18" i="28"/>
  <c r="AE17" i="28"/>
  <c r="AB17" i="28"/>
  <c r="AC17" i="28"/>
  <c r="AD17" i="28"/>
  <c r="AE16" i="28"/>
  <c r="AB16" i="28"/>
  <c r="AC16" i="28"/>
  <c r="AD16" i="28"/>
  <c r="AE15" i="28"/>
  <c r="AB15" i="28"/>
  <c r="AC15" i="28"/>
  <c r="AD15" i="28"/>
  <c r="AE14" i="28"/>
  <c r="AB14" i="28"/>
  <c r="AC14" i="28"/>
  <c r="AD14" i="28"/>
  <c r="AE13" i="28"/>
  <c r="AB13" i="28"/>
  <c r="AC13" i="28"/>
  <c r="AD13" i="28"/>
  <c r="AE12" i="28"/>
  <c r="AB12" i="28"/>
  <c r="AC12" i="28"/>
  <c r="AD12" i="28"/>
  <c r="AE11" i="28"/>
  <c r="AB11" i="28"/>
  <c r="AC11" i="28"/>
  <c r="AD11" i="28"/>
  <c r="AE10" i="28"/>
  <c r="AB10" i="28"/>
  <c r="AC10" i="28"/>
  <c r="AD10" i="28"/>
  <c r="AE9" i="28"/>
  <c r="AB9" i="28"/>
  <c r="AC9" i="28"/>
  <c r="AD9" i="28"/>
  <c r="AE8" i="28"/>
  <c r="AB8" i="28"/>
  <c r="AC8" i="28"/>
  <c r="AD8" i="28"/>
  <c r="AE7" i="28"/>
  <c r="AB7" i="28"/>
  <c r="AC7" i="28"/>
  <c r="AD7" i="28"/>
  <c r="AH6" i="28" a="1"/>
  <c r="AE6" i="28"/>
  <c r="AB6" i="28"/>
  <c r="AC6" i="28"/>
  <c r="AD6" i="28"/>
  <c r="AC4" i="28" a="1"/>
  <c r="AB4" i="28" a="1"/>
  <c r="AA4" i="28" a="1"/>
  <c r="Z4" i="28" a="1"/>
  <c r="Y4" i="28" a="1"/>
  <c r="X4" i="28" a="1"/>
  <c r="W4" i="28" a="1"/>
  <c r="V4" i="28" a="1"/>
  <c r="U4" i="28" a="1"/>
  <c r="T4" i="28" a="1"/>
  <c r="S4" i="28" a="1"/>
  <c r="R4" i="28" a="1"/>
  <c r="Q4" i="28" a="1"/>
  <c r="P4" i="28" a="1"/>
  <c r="O4" i="28" a="1"/>
  <c r="N4" i="28" a="1"/>
  <c r="M4" i="28" a="1"/>
  <c r="L4" i="28" a="1"/>
  <c r="K4" i="28" a="1"/>
  <c r="J4" i="28" a="1"/>
  <c r="AC3" i="28" a="1"/>
  <c r="AB3" i="28" a="1"/>
  <c r="AA3" i="28" a="1"/>
  <c r="Z3" i="28" a="1"/>
  <c r="Y3" i="28" a="1"/>
  <c r="X3" i="28" a="1"/>
  <c r="W3" i="28" a="1"/>
  <c r="V3" i="28" a="1"/>
  <c r="U3" i="28" a="1"/>
  <c r="T3" i="28" a="1"/>
  <c r="S3" i="28" a="1"/>
  <c r="R3" i="28" a="1"/>
  <c r="Q3" i="28" a="1"/>
  <c r="P3" i="28" a="1"/>
  <c r="O3" i="28" a="1"/>
  <c r="N3" i="28" a="1"/>
  <c r="M3" i="28" a="1"/>
  <c r="L3" i="28" a="1"/>
  <c r="K3" i="28" a="1"/>
  <c r="J3" i="28" a="1"/>
  <c r="AC2" i="28" a="1"/>
  <c r="AB2" i="28" a="1"/>
  <c r="AA2" i="28" a="1"/>
  <c r="Z2" i="28" a="1"/>
  <c r="Y2" i="28" a="1"/>
  <c r="X2" i="28" a="1"/>
  <c r="W2" i="28" a="1"/>
  <c r="V2" i="28" a="1"/>
  <c r="U2" i="28" a="1"/>
  <c r="T2" i="28" a="1"/>
  <c r="S2" i="28" a="1"/>
  <c r="R2" i="28" a="1"/>
  <c r="Q2" i="28" a="1"/>
  <c r="P2" i="28" a="1"/>
  <c r="O2" i="28" a="1"/>
  <c r="N2" i="28" a="1"/>
  <c r="M2" i="28" a="1"/>
  <c r="L2" i="28" a="1"/>
  <c r="K2" i="28" a="1"/>
  <c r="J2" i="28" a="1"/>
  <c r="T6" i="90"/>
  <c r="T7" i="90"/>
  <c r="T8" i="90"/>
  <c r="T9" i="90"/>
  <c r="T10" i="90"/>
  <c r="T11" i="90"/>
  <c r="T12" i="90"/>
  <c r="T13" i="90"/>
  <c r="T14" i="90"/>
  <c r="T15" i="90"/>
  <c r="T16" i="90"/>
  <c r="T17" i="90"/>
  <c r="T18" i="90"/>
  <c r="T19" i="90"/>
  <c r="T20" i="90"/>
  <c r="T21" i="90"/>
  <c r="T22" i="90"/>
  <c r="T23" i="90"/>
  <c r="T24" i="90"/>
  <c r="T25" i="90"/>
  <c r="T26" i="90"/>
  <c r="T27" i="90"/>
  <c r="T28" i="90"/>
  <c r="T29" i="90"/>
  <c r="T30" i="90"/>
  <c r="T31" i="90"/>
  <c r="T32" i="90"/>
  <c r="T33" i="90"/>
  <c r="T34" i="90"/>
  <c r="T35" i="90"/>
  <c r="T36" i="90"/>
  <c r="T37" i="90"/>
  <c r="T38" i="90"/>
  <c r="T39" i="90"/>
  <c r="T40" i="90"/>
  <c r="T41" i="90"/>
  <c r="T42" i="90"/>
  <c r="T43" i="90"/>
  <c r="T44" i="90"/>
  <c r="T45" i="90"/>
  <c r="T47" i="90"/>
  <c r="S6" i="90"/>
  <c r="S7" i="90"/>
  <c r="S8" i="90"/>
  <c r="S9" i="90"/>
  <c r="S10" i="90"/>
  <c r="S11" i="90"/>
  <c r="S12" i="90"/>
  <c r="S13" i="90"/>
  <c r="S14" i="90"/>
  <c r="S15" i="90"/>
  <c r="S16" i="90"/>
  <c r="S17" i="90"/>
  <c r="S18" i="90"/>
  <c r="S19" i="90"/>
  <c r="S20" i="90"/>
  <c r="S21" i="90"/>
  <c r="S22" i="90"/>
  <c r="S23" i="90"/>
  <c r="S24" i="90"/>
  <c r="S25" i="90"/>
  <c r="S26" i="90"/>
  <c r="S27" i="90"/>
  <c r="S28" i="90"/>
  <c r="S29" i="90"/>
  <c r="S30" i="90"/>
  <c r="S31" i="90"/>
  <c r="S32" i="90"/>
  <c r="S33" i="90"/>
  <c r="S34" i="90"/>
  <c r="S35" i="90"/>
  <c r="S36" i="90"/>
  <c r="S37" i="90"/>
  <c r="S38" i="90"/>
  <c r="S39" i="90"/>
  <c r="S40" i="90"/>
  <c r="S41" i="90"/>
  <c r="S42" i="90"/>
  <c r="S43" i="90"/>
  <c r="S44" i="90"/>
  <c r="S45" i="90"/>
  <c r="S47" i="90"/>
  <c r="R6" i="90"/>
  <c r="R7" i="90"/>
  <c r="R8" i="90"/>
  <c r="R9" i="90"/>
  <c r="R10" i="90"/>
  <c r="R11" i="90"/>
  <c r="R12" i="90"/>
  <c r="R13" i="90"/>
  <c r="R14" i="90"/>
  <c r="R15" i="90"/>
  <c r="R16" i="90"/>
  <c r="R17" i="90"/>
  <c r="R18" i="90"/>
  <c r="R19" i="90"/>
  <c r="R20" i="90"/>
  <c r="R21" i="90"/>
  <c r="R22" i="90"/>
  <c r="R23" i="90"/>
  <c r="R24" i="90"/>
  <c r="R25" i="90"/>
  <c r="R26" i="90"/>
  <c r="R27" i="90"/>
  <c r="R28" i="90"/>
  <c r="R29" i="90"/>
  <c r="R30" i="90"/>
  <c r="R31" i="90"/>
  <c r="R32" i="90"/>
  <c r="R33" i="90"/>
  <c r="R34" i="90"/>
  <c r="R35" i="90"/>
  <c r="R36" i="90"/>
  <c r="R37" i="90"/>
  <c r="R38" i="90"/>
  <c r="R39" i="90"/>
  <c r="R40" i="90"/>
  <c r="R41" i="90"/>
  <c r="R42" i="90"/>
  <c r="R43" i="90"/>
  <c r="R44" i="90"/>
  <c r="R45" i="90"/>
  <c r="R47" i="90"/>
  <c r="N47" i="90"/>
  <c r="M47" i="90"/>
  <c r="L47" i="90"/>
  <c r="K47" i="90"/>
  <c r="J47" i="90"/>
  <c r="I47" i="90"/>
  <c r="U45" i="90"/>
  <c r="U44" i="90"/>
  <c r="U43" i="90"/>
  <c r="U42" i="90"/>
  <c r="U41" i="90"/>
  <c r="U40" i="90"/>
  <c r="U39" i="90"/>
  <c r="U38" i="90"/>
  <c r="U37" i="90"/>
  <c r="U36" i="90"/>
  <c r="U35" i="90"/>
  <c r="U34" i="90"/>
  <c r="U33" i="90"/>
  <c r="U32" i="90"/>
  <c r="U31" i="90"/>
  <c r="U30" i="90"/>
  <c r="U29" i="90"/>
  <c r="U28" i="90"/>
  <c r="U27" i="90"/>
  <c r="U26" i="90"/>
  <c r="U25" i="90"/>
  <c r="U24" i="90"/>
  <c r="U23" i="90"/>
  <c r="U22" i="90"/>
  <c r="U21" i="90"/>
  <c r="U20" i="90"/>
  <c r="U19" i="90"/>
  <c r="U18" i="90"/>
  <c r="U17" i="90"/>
  <c r="U16" i="90"/>
  <c r="U15" i="90"/>
  <c r="U14" i="90"/>
  <c r="U13" i="90"/>
  <c r="U12" i="90"/>
  <c r="U11" i="90"/>
  <c r="U10" i="90"/>
  <c r="U9" i="90"/>
  <c r="U8" i="90"/>
  <c r="U7" i="90"/>
  <c r="U6" i="90"/>
  <c r="T4" i="90"/>
  <c r="S4" i="90"/>
  <c r="R4" i="90"/>
  <c r="Q4" i="90" a="1"/>
  <c r="P4" i="90" a="1"/>
  <c r="O4" i="90" a="1"/>
  <c r="N4" i="90"/>
  <c r="M4" i="90"/>
  <c r="L4" i="90"/>
  <c r="K4" i="90"/>
  <c r="J4" i="90"/>
  <c r="I4" i="90"/>
  <c r="T3" i="90"/>
  <c r="S3" i="90"/>
  <c r="R3" i="90"/>
  <c r="Q3" i="90" a="1"/>
  <c r="P3" i="90" a="1"/>
  <c r="O3" i="90" a="1"/>
  <c r="N3" i="90"/>
  <c r="M3" i="90"/>
  <c r="L3" i="90"/>
  <c r="K3" i="90"/>
  <c r="J3" i="90"/>
  <c r="I3" i="90"/>
  <c r="T2" i="90"/>
  <c r="S2" i="90"/>
  <c r="R2" i="90"/>
  <c r="Q2" i="90" a="1"/>
  <c r="P2" i="90" a="1"/>
  <c r="O2" i="90" a="1"/>
  <c r="N2" i="90"/>
  <c r="M2" i="90"/>
  <c r="L2" i="90"/>
  <c r="K2" i="90"/>
  <c r="J2" i="90"/>
  <c r="I2" i="90"/>
  <c r="D6" i="43"/>
  <c r="D7" i="43"/>
  <c r="D8" i="43"/>
  <c r="D9" i="43"/>
  <c r="D10" i="43"/>
  <c r="D11" i="43"/>
  <c r="D12" i="43"/>
  <c r="D13" i="43"/>
  <c r="D14" i="43"/>
  <c r="D15" i="43"/>
  <c r="D16" i="43"/>
  <c r="D17" i="43"/>
  <c r="D18" i="43"/>
  <c r="D19" i="43"/>
  <c r="D20" i="43"/>
  <c r="D21" i="43"/>
  <c r="D22" i="43"/>
  <c r="D23" i="43"/>
  <c r="D24" i="43"/>
  <c r="D25" i="43"/>
  <c r="D26" i="43"/>
  <c r="D27" i="43"/>
  <c r="D28" i="43"/>
  <c r="D29" i="43"/>
  <c r="D30" i="43"/>
  <c r="D31" i="43"/>
  <c r="D32" i="43"/>
  <c r="D33" i="43"/>
  <c r="D34" i="43"/>
  <c r="D35" i="43"/>
  <c r="D36" i="43"/>
  <c r="D37" i="43"/>
  <c r="D38" i="43"/>
  <c r="D39" i="43"/>
  <c r="D40" i="43"/>
  <c r="D41" i="43"/>
  <c r="D42" i="43"/>
  <c r="D43" i="43"/>
  <c r="D44" i="43"/>
  <c r="D45" i="43"/>
  <c r="D46" i="43"/>
  <c r="D47" i="43"/>
  <c r="D48" i="43"/>
  <c r="D49" i="43"/>
  <c r="D50" i="43"/>
  <c r="D51" i="43"/>
  <c r="D52" i="43"/>
  <c r="D53" i="43"/>
  <c r="D54" i="43"/>
  <c r="D55" i="43"/>
  <c r="D56" i="43"/>
  <c r="D57" i="43"/>
  <c r="D58" i="43"/>
  <c r="D59" i="43"/>
  <c r="D60" i="43"/>
  <c r="D61" i="43"/>
  <c r="D62" i="43"/>
  <c r="D63" i="43"/>
  <c r="D64" i="43"/>
  <c r="D65" i="43"/>
  <c r="D66" i="43"/>
  <c r="D67" i="43"/>
  <c r="D68" i="43"/>
  <c r="D69" i="43"/>
  <c r="D70" i="43"/>
  <c r="D71" i="43"/>
  <c r="D72" i="43"/>
  <c r="D73" i="43"/>
  <c r="D74" i="43"/>
  <c r="D75" i="43"/>
  <c r="D76" i="43"/>
  <c r="D77" i="43"/>
  <c r="D78" i="43"/>
  <c r="D79" i="43"/>
  <c r="D80" i="43"/>
  <c r="D81" i="43"/>
  <c r="D82" i="43"/>
  <c r="D83" i="43"/>
  <c r="D84" i="43"/>
  <c r="D85" i="43"/>
  <c r="D86" i="43"/>
  <c r="D87" i="43"/>
  <c r="D88" i="43"/>
  <c r="D89" i="43"/>
  <c r="D90" i="43"/>
  <c r="D91" i="43"/>
  <c r="D92" i="43"/>
  <c r="D93" i="43"/>
  <c r="D94" i="43"/>
  <c r="D95" i="43"/>
  <c r="D96" i="43"/>
  <c r="D97" i="43"/>
  <c r="D98" i="43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41" i="40"/>
  <c r="D42" i="40"/>
  <c r="D43" i="40"/>
  <c r="D44" i="40"/>
  <c r="D45" i="40"/>
  <c r="D46" i="40"/>
  <c r="D47" i="40"/>
  <c r="D48" i="40"/>
  <c r="D49" i="40"/>
  <c r="D50" i="40"/>
  <c r="D51" i="40"/>
  <c r="D52" i="40"/>
  <c r="D53" i="40"/>
  <c r="D54" i="40"/>
  <c r="D55" i="40"/>
  <c r="D56" i="40"/>
  <c r="D57" i="40"/>
  <c r="D58" i="40"/>
  <c r="D59" i="40"/>
  <c r="D60" i="40"/>
  <c r="D61" i="40"/>
  <c r="D62" i="40"/>
  <c r="D63" i="40"/>
  <c r="D64" i="40"/>
  <c r="D65" i="40"/>
  <c r="D66" i="40"/>
  <c r="D67" i="40"/>
  <c r="D68" i="40"/>
  <c r="D69" i="40"/>
  <c r="D70" i="40"/>
  <c r="D71" i="40"/>
  <c r="D72" i="40"/>
  <c r="D73" i="40"/>
  <c r="D74" i="40"/>
  <c r="D75" i="40"/>
  <c r="D76" i="40"/>
  <c r="D77" i="40"/>
  <c r="D78" i="40"/>
  <c r="D79" i="40"/>
  <c r="D80" i="40"/>
  <c r="D81" i="40"/>
  <c r="D84" i="40"/>
  <c r="D85" i="40"/>
  <c r="D86" i="40"/>
  <c r="D87" i="40"/>
  <c r="D88" i="40"/>
  <c r="D89" i="40"/>
  <c r="D90" i="40"/>
  <c r="D91" i="40"/>
  <c r="D93" i="40"/>
  <c r="D94" i="40"/>
  <c r="D95" i="40"/>
  <c r="D96" i="40"/>
  <c r="D97" i="40"/>
  <c r="D98" i="40"/>
  <c r="D99" i="40"/>
  <c r="D100" i="40"/>
  <c r="AE8" i="40"/>
  <c r="U6" i="40"/>
  <c r="U7" i="40"/>
  <c r="U8" i="40"/>
  <c r="U9" i="40"/>
  <c r="U10" i="40"/>
  <c r="U11" i="40"/>
  <c r="U12" i="40"/>
  <c r="U13" i="40"/>
  <c r="U14" i="40"/>
  <c r="U15" i="40"/>
  <c r="U16" i="40"/>
  <c r="U17" i="40"/>
  <c r="U18" i="40"/>
  <c r="U19" i="40"/>
  <c r="U20" i="40"/>
  <c r="U21" i="40"/>
  <c r="U22" i="40"/>
  <c r="U23" i="40"/>
  <c r="U24" i="40"/>
  <c r="U25" i="40"/>
  <c r="U26" i="40"/>
  <c r="U27" i="40"/>
  <c r="U28" i="40"/>
  <c r="U29" i="40"/>
  <c r="U30" i="40"/>
  <c r="U31" i="40"/>
  <c r="U32" i="40"/>
  <c r="U33" i="40"/>
  <c r="U34" i="40"/>
  <c r="U35" i="40"/>
  <c r="U36" i="40"/>
  <c r="U37" i="40"/>
  <c r="U38" i="40"/>
  <c r="U39" i="40"/>
  <c r="U40" i="40"/>
  <c r="U41" i="40"/>
  <c r="U42" i="40"/>
  <c r="U43" i="40"/>
  <c r="U44" i="40"/>
  <c r="U45" i="40"/>
  <c r="U46" i="40"/>
  <c r="U47" i="40"/>
  <c r="U48" i="40"/>
  <c r="U49" i="40"/>
  <c r="U50" i="40"/>
  <c r="U51" i="40"/>
  <c r="U52" i="40"/>
  <c r="U53" i="40"/>
  <c r="U54" i="40"/>
  <c r="U55" i="40"/>
  <c r="U56" i="40"/>
  <c r="U57" i="40"/>
  <c r="U58" i="40"/>
  <c r="U59" i="40"/>
  <c r="U60" i="40"/>
  <c r="U61" i="40"/>
  <c r="U62" i="40"/>
  <c r="U63" i="40"/>
  <c r="U64" i="40"/>
  <c r="U65" i="40"/>
  <c r="U66" i="40"/>
  <c r="U67" i="40"/>
  <c r="U68" i="40"/>
  <c r="U69" i="40"/>
  <c r="U70" i="40"/>
  <c r="U71" i="40"/>
  <c r="U72" i="40"/>
  <c r="U73" i="40"/>
  <c r="U74" i="40"/>
  <c r="U75" i="40"/>
  <c r="U76" i="40"/>
  <c r="U77" i="40"/>
  <c r="U78" i="40"/>
  <c r="U79" i="40"/>
  <c r="U80" i="40"/>
  <c r="U81" i="40"/>
  <c r="U84" i="40"/>
  <c r="U85" i="40"/>
  <c r="U86" i="40"/>
  <c r="U87" i="40"/>
  <c r="U88" i="40"/>
  <c r="U89" i="40"/>
  <c r="U90" i="40"/>
  <c r="U91" i="40"/>
  <c r="U93" i="40"/>
  <c r="U94" i="40"/>
  <c r="U95" i="40"/>
  <c r="U96" i="40"/>
  <c r="U97" i="40"/>
  <c r="U98" i="40"/>
  <c r="U99" i="40"/>
  <c r="U100" i="40"/>
  <c r="T6" i="40"/>
  <c r="T7" i="40"/>
  <c r="T8" i="40"/>
  <c r="T9" i="40"/>
  <c r="T10" i="40"/>
  <c r="T11" i="40"/>
  <c r="T12" i="40"/>
  <c r="T13" i="40"/>
  <c r="T14" i="40"/>
  <c r="T15" i="40"/>
  <c r="T16" i="40"/>
  <c r="T17" i="40"/>
  <c r="T18" i="40"/>
  <c r="T19" i="40"/>
  <c r="T20" i="40"/>
  <c r="T21" i="40"/>
  <c r="T22" i="40"/>
  <c r="T23" i="40"/>
  <c r="T24" i="40"/>
  <c r="T25" i="40"/>
  <c r="T26" i="40"/>
  <c r="T27" i="40"/>
  <c r="T28" i="40"/>
  <c r="T29" i="40"/>
  <c r="T30" i="40"/>
  <c r="T31" i="40"/>
  <c r="T32" i="40"/>
  <c r="T33" i="40"/>
  <c r="T34" i="40"/>
  <c r="T35" i="40"/>
  <c r="T36" i="40"/>
  <c r="T37" i="40"/>
  <c r="T38" i="40"/>
  <c r="T39" i="40"/>
  <c r="T40" i="40"/>
  <c r="T41" i="40"/>
  <c r="T42" i="40"/>
  <c r="T43" i="40"/>
  <c r="T44" i="40"/>
  <c r="T45" i="40"/>
  <c r="T46" i="40"/>
  <c r="T47" i="40"/>
  <c r="T48" i="40"/>
  <c r="T49" i="40"/>
  <c r="T50" i="40"/>
  <c r="T51" i="40"/>
  <c r="T52" i="40"/>
  <c r="T53" i="40"/>
  <c r="T54" i="40"/>
  <c r="T55" i="40"/>
  <c r="T56" i="40"/>
  <c r="T57" i="40"/>
  <c r="T58" i="40"/>
  <c r="T59" i="40"/>
  <c r="T60" i="40"/>
  <c r="T61" i="40"/>
  <c r="T62" i="40"/>
  <c r="T63" i="40"/>
  <c r="T64" i="40"/>
  <c r="T65" i="40"/>
  <c r="T66" i="40"/>
  <c r="T67" i="40"/>
  <c r="T68" i="40"/>
  <c r="T69" i="40"/>
  <c r="T70" i="40"/>
  <c r="T71" i="40"/>
  <c r="T72" i="40"/>
  <c r="T73" i="40"/>
  <c r="T74" i="40"/>
  <c r="T75" i="40"/>
  <c r="T76" i="40"/>
  <c r="T77" i="40"/>
  <c r="T78" i="40"/>
  <c r="T79" i="40"/>
  <c r="T80" i="40"/>
  <c r="T81" i="40"/>
  <c r="T84" i="40"/>
  <c r="T85" i="40"/>
  <c r="T86" i="40"/>
  <c r="T87" i="40"/>
  <c r="T88" i="40"/>
  <c r="T89" i="40"/>
  <c r="T90" i="40"/>
  <c r="T91" i="40"/>
  <c r="T93" i="40"/>
  <c r="T94" i="40"/>
  <c r="T95" i="40"/>
  <c r="T96" i="40"/>
  <c r="T97" i="40"/>
  <c r="T98" i="40"/>
  <c r="T99" i="40"/>
  <c r="T100" i="40"/>
  <c r="S7" i="40"/>
  <c r="S8" i="40"/>
  <c r="S9" i="40"/>
  <c r="S10" i="40"/>
  <c r="S11" i="40"/>
  <c r="S13" i="40"/>
  <c r="S14" i="40"/>
  <c r="S15" i="40"/>
  <c r="S17" i="40"/>
  <c r="S18" i="40"/>
  <c r="S19" i="40"/>
  <c r="S20" i="40"/>
  <c r="S21" i="40"/>
  <c r="S22" i="40"/>
  <c r="S23" i="40"/>
  <c r="S24" i="40"/>
  <c r="S25" i="40"/>
  <c r="S26" i="40"/>
  <c r="S27" i="40"/>
  <c r="S28" i="40"/>
  <c r="S29" i="40"/>
  <c r="S30" i="40"/>
  <c r="S32" i="40"/>
  <c r="S33" i="40"/>
  <c r="S34" i="40"/>
  <c r="S36" i="40"/>
  <c r="S37" i="40"/>
  <c r="S38" i="40"/>
  <c r="S40" i="40"/>
  <c r="S42" i="40"/>
  <c r="S43" i="40"/>
  <c r="S44" i="40"/>
  <c r="S45" i="40"/>
  <c r="S46" i="40"/>
  <c r="S47" i="40"/>
  <c r="S48" i="40"/>
  <c r="S49" i="40"/>
  <c r="S50" i="40"/>
  <c r="S51" i="40"/>
  <c r="S52" i="40"/>
  <c r="S53" i="40"/>
  <c r="S54" i="40"/>
  <c r="S55" i="40"/>
  <c r="S56" i="40"/>
  <c r="S57" i="40"/>
  <c r="S58" i="40"/>
  <c r="S59" i="40"/>
  <c r="S60" i="40"/>
  <c r="S61" i="40"/>
  <c r="S62" i="40"/>
  <c r="S63" i="40"/>
  <c r="S64" i="40"/>
  <c r="S65" i="40"/>
  <c r="S66" i="40"/>
  <c r="S67" i="40"/>
  <c r="S68" i="40"/>
  <c r="S69" i="40"/>
  <c r="S70" i="40"/>
  <c r="S71" i="40"/>
  <c r="S72" i="40"/>
  <c r="S73" i="40"/>
  <c r="S74" i="40"/>
  <c r="S75" i="40"/>
  <c r="S76" i="40"/>
  <c r="S77" i="40"/>
  <c r="S78" i="40"/>
  <c r="S79" i="40"/>
  <c r="S80" i="40"/>
  <c r="S81" i="40"/>
  <c r="S84" i="40"/>
  <c r="S85" i="40"/>
  <c r="S86" i="40"/>
  <c r="S87" i="40"/>
  <c r="S89" i="40"/>
  <c r="S90" i="40"/>
  <c r="S91" i="40"/>
  <c r="S93" i="40"/>
  <c r="S95" i="40"/>
  <c r="S96" i="40"/>
  <c r="S97" i="40"/>
  <c r="S98" i="40"/>
  <c r="S99" i="40"/>
  <c r="S100" i="40"/>
  <c r="AE100" i="40"/>
  <c r="AE99" i="40"/>
  <c r="AE98" i="40"/>
  <c r="AE97" i="40"/>
  <c r="AE96" i="40"/>
  <c r="AE95" i="40"/>
  <c r="AE94" i="40"/>
  <c r="AE93" i="40"/>
  <c r="AE91" i="40"/>
  <c r="AE90" i="40"/>
  <c r="AE89" i="40"/>
  <c r="AE88" i="40"/>
  <c r="AE87" i="40"/>
  <c r="AE86" i="40"/>
  <c r="AE85" i="40"/>
  <c r="AE84" i="40"/>
  <c r="AE81" i="40"/>
  <c r="AD81" i="40"/>
  <c r="AE80" i="40"/>
  <c r="AE79" i="40"/>
  <c r="AE78" i="40"/>
  <c r="AE77" i="40"/>
  <c r="AE76" i="40"/>
  <c r="AE75" i="40"/>
  <c r="AE74" i="40"/>
  <c r="AE73" i="40"/>
  <c r="AE72" i="40"/>
  <c r="AE71" i="40"/>
  <c r="AE70" i="40"/>
  <c r="AE69" i="40"/>
  <c r="AE68" i="40"/>
  <c r="AE67" i="40"/>
  <c r="AE66" i="40"/>
  <c r="AE65" i="40"/>
  <c r="AE64" i="40"/>
  <c r="AE63" i="40"/>
  <c r="AE62" i="40"/>
  <c r="AE61" i="40"/>
  <c r="AE60" i="40"/>
  <c r="AE59" i="40"/>
  <c r="AE58" i="40"/>
  <c r="AE57" i="40"/>
  <c r="AE56" i="40"/>
  <c r="AE55" i="40"/>
  <c r="AE54" i="40"/>
  <c r="AE53" i="40"/>
  <c r="AE52" i="40"/>
  <c r="AE51" i="40"/>
  <c r="AE50" i="40"/>
  <c r="AE49" i="40"/>
  <c r="AE48" i="40"/>
  <c r="AE47" i="40"/>
  <c r="AE46" i="40"/>
  <c r="AE45" i="40"/>
  <c r="AE44" i="40"/>
  <c r="AE43" i="40"/>
  <c r="AE42" i="40"/>
  <c r="AE41" i="40"/>
  <c r="AE40" i="40"/>
  <c r="AE39" i="40"/>
  <c r="AE38" i="40"/>
  <c r="AE37" i="40"/>
  <c r="AE36" i="40"/>
  <c r="AE35" i="40"/>
  <c r="AE34" i="40"/>
  <c r="AE33" i="40"/>
  <c r="AE32" i="40"/>
  <c r="AE31" i="40"/>
  <c r="AE30" i="40"/>
  <c r="AE29" i="40"/>
  <c r="AE28" i="40"/>
  <c r="AE27" i="40"/>
  <c r="AE26" i="40"/>
  <c r="AE25" i="40"/>
  <c r="AE24" i="40"/>
  <c r="AE23" i="40"/>
  <c r="AE22" i="40"/>
  <c r="AE21" i="40"/>
  <c r="AE20" i="40"/>
  <c r="AE19" i="40"/>
  <c r="AE18" i="40"/>
  <c r="AE17" i="40"/>
  <c r="AE16" i="40"/>
  <c r="AE15" i="40"/>
  <c r="AE14" i="40"/>
  <c r="AE13" i="40"/>
  <c r="AE12" i="40"/>
  <c r="AE11" i="40"/>
  <c r="AE10" i="40"/>
  <c r="AE9" i="40"/>
  <c r="AE7" i="40"/>
  <c r="AE6" i="40"/>
  <c r="U95" i="89"/>
  <c r="T95" i="89"/>
  <c r="S95" i="89"/>
  <c r="R95" i="89"/>
  <c r="U94" i="89"/>
  <c r="T94" i="89"/>
  <c r="S94" i="89"/>
  <c r="U93" i="89"/>
  <c r="T93" i="89"/>
  <c r="S93" i="89"/>
  <c r="R93" i="89"/>
  <c r="U92" i="89"/>
  <c r="T92" i="89"/>
  <c r="S92" i="89"/>
  <c r="R92" i="89"/>
  <c r="U91" i="89"/>
  <c r="T91" i="89"/>
  <c r="S91" i="89"/>
  <c r="R91" i="89"/>
  <c r="U90" i="89"/>
  <c r="T90" i="89"/>
  <c r="S90" i="89"/>
  <c r="R90" i="89"/>
  <c r="U89" i="89"/>
  <c r="T89" i="89"/>
  <c r="S89" i="89"/>
  <c r="R89" i="89"/>
  <c r="U88" i="89"/>
  <c r="T88" i="89"/>
  <c r="S88" i="89"/>
  <c r="R88" i="89"/>
  <c r="U87" i="89"/>
  <c r="T87" i="89"/>
  <c r="S87" i="89"/>
  <c r="R87" i="89"/>
  <c r="U86" i="89"/>
  <c r="T86" i="89"/>
  <c r="S86" i="89"/>
  <c r="R86" i="89"/>
  <c r="U85" i="89"/>
  <c r="T85" i="89"/>
  <c r="S85" i="89"/>
  <c r="R85" i="89"/>
  <c r="U84" i="89"/>
  <c r="T84" i="89"/>
  <c r="S84" i="89"/>
  <c r="R84" i="89"/>
  <c r="U83" i="89"/>
  <c r="T83" i="89"/>
  <c r="S83" i="89"/>
  <c r="R83" i="89"/>
  <c r="U82" i="89"/>
  <c r="T82" i="89"/>
  <c r="S82" i="89"/>
  <c r="R82" i="89"/>
  <c r="U81" i="89"/>
  <c r="T81" i="89"/>
  <c r="S81" i="89"/>
  <c r="R81" i="89"/>
  <c r="U80" i="89"/>
  <c r="T80" i="89"/>
  <c r="S80" i="89"/>
  <c r="R80" i="89"/>
  <c r="U79" i="89"/>
  <c r="T79" i="89"/>
  <c r="S79" i="89"/>
  <c r="R79" i="89"/>
  <c r="U78" i="89"/>
  <c r="T78" i="89"/>
  <c r="S78" i="89"/>
  <c r="R78" i="89"/>
  <c r="U77" i="89"/>
  <c r="T77" i="89"/>
  <c r="S77" i="89"/>
  <c r="R77" i="89"/>
  <c r="U76" i="89"/>
  <c r="T76" i="89"/>
  <c r="S76" i="89"/>
  <c r="R76" i="89"/>
  <c r="U75" i="89"/>
  <c r="T75" i="89"/>
  <c r="S75" i="89"/>
  <c r="R75" i="89"/>
  <c r="U74" i="89"/>
  <c r="T74" i="89"/>
  <c r="S74" i="89"/>
  <c r="R74" i="89"/>
  <c r="U73" i="89"/>
  <c r="T73" i="89"/>
  <c r="S73" i="89"/>
  <c r="R73" i="89"/>
  <c r="U72" i="89"/>
  <c r="T72" i="89"/>
  <c r="S72" i="89"/>
  <c r="R72" i="89"/>
  <c r="U71" i="89"/>
  <c r="T71" i="89"/>
  <c r="S71" i="89"/>
  <c r="R71" i="89"/>
  <c r="U70" i="89"/>
  <c r="T70" i="89"/>
  <c r="S70" i="89"/>
  <c r="R70" i="89"/>
  <c r="U69" i="89"/>
  <c r="T69" i="89"/>
  <c r="S69" i="89"/>
  <c r="R69" i="89"/>
  <c r="U68" i="89"/>
  <c r="T68" i="89"/>
  <c r="S68" i="89"/>
  <c r="U67" i="89"/>
  <c r="T67" i="89"/>
  <c r="S67" i="89"/>
  <c r="R67" i="89"/>
  <c r="U66" i="89"/>
  <c r="T66" i="89"/>
  <c r="S66" i="89"/>
  <c r="R66" i="89"/>
  <c r="U65" i="89"/>
  <c r="T65" i="89"/>
  <c r="S65" i="89"/>
  <c r="R65" i="89"/>
  <c r="U64" i="89"/>
  <c r="T64" i="89"/>
  <c r="S64" i="89"/>
  <c r="R64" i="89"/>
  <c r="U63" i="89"/>
  <c r="T63" i="89"/>
  <c r="S63" i="89"/>
  <c r="U62" i="89"/>
  <c r="T62" i="89"/>
  <c r="S62" i="89"/>
  <c r="R62" i="89"/>
  <c r="U61" i="89"/>
  <c r="T61" i="89"/>
  <c r="S61" i="89"/>
  <c r="R61" i="89"/>
  <c r="U60" i="89"/>
  <c r="T60" i="89"/>
  <c r="S60" i="89"/>
  <c r="R60" i="89"/>
  <c r="U59" i="89"/>
  <c r="T59" i="89"/>
  <c r="S59" i="89"/>
  <c r="R59" i="89"/>
  <c r="U58" i="89"/>
  <c r="T58" i="89"/>
  <c r="S58" i="89"/>
  <c r="R58" i="89"/>
  <c r="U57" i="89"/>
  <c r="T57" i="89"/>
  <c r="S57" i="89"/>
  <c r="R57" i="89"/>
  <c r="U56" i="89"/>
  <c r="T56" i="89"/>
  <c r="S56" i="89"/>
  <c r="R56" i="89"/>
  <c r="U55" i="89"/>
  <c r="T55" i="89"/>
  <c r="S55" i="89"/>
  <c r="R55" i="89"/>
  <c r="U54" i="89"/>
  <c r="T54" i="89"/>
  <c r="S54" i="89"/>
  <c r="R54" i="89"/>
  <c r="U53" i="89"/>
  <c r="T53" i="89"/>
  <c r="S53" i="89"/>
  <c r="R53" i="89"/>
  <c r="U52" i="89"/>
  <c r="T52" i="89"/>
  <c r="S52" i="89"/>
  <c r="R52" i="89"/>
  <c r="U51" i="89"/>
  <c r="T51" i="89"/>
  <c r="S51" i="89"/>
  <c r="R51" i="89"/>
  <c r="U50" i="89"/>
  <c r="T50" i="89"/>
  <c r="S50" i="89"/>
  <c r="U49" i="89"/>
  <c r="T49" i="89"/>
  <c r="S49" i="89"/>
  <c r="U48" i="89"/>
  <c r="T48" i="89"/>
  <c r="S48" i="89"/>
  <c r="R48" i="89"/>
  <c r="U47" i="89"/>
  <c r="T47" i="89"/>
  <c r="S47" i="89"/>
  <c r="R47" i="89"/>
  <c r="U46" i="89"/>
  <c r="T46" i="89"/>
  <c r="S46" i="89"/>
  <c r="R46" i="89"/>
  <c r="U45" i="89"/>
  <c r="T45" i="89"/>
  <c r="S45" i="89"/>
  <c r="R45" i="89"/>
  <c r="U44" i="89"/>
  <c r="T44" i="89"/>
  <c r="S44" i="89"/>
  <c r="R44" i="89"/>
  <c r="U43" i="89"/>
  <c r="T43" i="89"/>
  <c r="S43" i="89"/>
  <c r="R43" i="89"/>
  <c r="U42" i="89"/>
  <c r="T42" i="89"/>
  <c r="S42" i="89"/>
  <c r="R42" i="89"/>
  <c r="U41" i="89"/>
  <c r="T41" i="89"/>
  <c r="S41" i="89"/>
  <c r="R41" i="89"/>
  <c r="U40" i="89"/>
  <c r="T40" i="89"/>
  <c r="S40" i="89"/>
  <c r="R40" i="89"/>
  <c r="U39" i="89"/>
  <c r="T39" i="89"/>
  <c r="S39" i="89"/>
  <c r="R39" i="89"/>
  <c r="U38" i="89"/>
  <c r="T38" i="89"/>
  <c r="S38" i="89"/>
  <c r="R38" i="89"/>
  <c r="U37" i="89"/>
  <c r="T37" i="89"/>
  <c r="S37" i="89"/>
  <c r="R37" i="89"/>
  <c r="U36" i="89"/>
  <c r="T36" i="89"/>
  <c r="S36" i="89"/>
  <c r="R36" i="89"/>
  <c r="U35" i="89"/>
  <c r="T35" i="89"/>
  <c r="S35" i="89"/>
  <c r="R35" i="89"/>
  <c r="U34" i="89"/>
  <c r="T34" i="89"/>
  <c r="S34" i="89"/>
  <c r="R34" i="89"/>
  <c r="U33" i="89"/>
  <c r="T33" i="89"/>
  <c r="S33" i="89"/>
  <c r="R33" i="89"/>
  <c r="U32" i="89"/>
  <c r="T32" i="89"/>
  <c r="S32" i="89"/>
  <c r="R32" i="89"/>
  <c r="U31" i="89"/>
  <c r="T31" i="89"/>
  <c r="S31" i="89"/>
  <c r="R31" i="89"/>
  <c r="U30" i="89"/>
  <c r="T30" i="89"/>
  <c r="S30" i="89"/>
  <c r="R30" i="89"/>
  <c r="U29" i="89"/>
  <c r="T29" i="89"/>
  <c r="S29" i="89"/>
  <c r="R29" i="89"/>
  <c r="U28" i="89"/>
  <c r="T28" i="89"/>
  <c r="S28" i="89"/>
  <c r="R28" i="89"/>
  <c r="U27" i="89"/>
  <c r="T27" i="89"/>
  <c r="S27" i="89"/>
  <c r="R27" i="89"/>
  <c r="U26" i="89"/>
  <c r="T26" i="89"/>
  <c r="S26" i="89"/>
  <c r="R26" i="89"/>
  <c r="U25" i="89"/>
  <c r="T25" i="89"/>
  <c r="S25" i="89"/>
  <c r="R25" i="89"/>
  <c r="U24" i="89"/>
  <c r="T24" i="89"/>
  <c r="S24" i="89"/>
  <c r="R24" i="89"/>
  <c r="U23" i="89"/>
  <c r="T23" i="89"/>
  <c r="S23" i="89"/>
  <c r="R23" i="89"/>
  <c r="U22" i="89"/>
  <c r="T22" i="89"/>
  <c r="S22" i="89"/>
  <c r="R22" i="89"/>
  <c r="U21" i="89"/>
  <c r="T21" i="89"/>
  <c r="S21" i="89"/>
  <c r="R21" i="89"/>
  <c r="U20" i="89"/>
  <c r="T20" i="89"/>
  <c r="S20" i="89"/>
  <c r="R20" i="89"/>
  <c r="U19" i="89"/>
  <c r="T19" i="89"/>
  <c r="S19" i="89"/>
  <c r="U18" i="89"/>
  <c r="T18" i="89"/>
  <c r="S18" i="89"/>
  <c r="U17" i="89"/>
  <c r="T17" i="89"/>
  <c r="S17" i="89"/>
  <c r="U16" i="89"/>
  <c r="T16" i="89"/>
  <c r="S16" i="89"/>
  <c r="R16" i="89"/>
  <c r="U15" i="89"/>
  <c r="T15" i="89"/>
  <c r="S15" i="89"/>
  <c r="R15" i="89"/>
  <c r="U14" i="89"/>
  <c r="T14" i="89"/>
  <c r="S14" i="89"/>
  <c r="R14" i="89"/>
  <c r="U13" i="89"/>
  <c r="T13" i="89"/>
  <c r="S13" i="89"/>
  <c r="R13" i="89"/>
  <c r="U12" i="89"/>
  <c r="T12" i="89"/>
  <c r="S12" i="89"/>
  <c r="U11" i="89"/>
  <c r="T11" i="89"/>
  <c r="S11" i="89"/>
  <c r="U10" i="89"/>
  <c r="T10" i="89"/>
  <c r="S10" i="89"/>
  <c r="U9" i="89"/>
  <c r="T9" i="89"/>
  <c r="S9" i="89"/>
  <c r="R9" i="89"/>
  <c r="U8" i="89"/>
  <c r="T8" i="89"/>
  <c r="S8" i="89"/>
  <c r="R8" i="89"/>
  <c r="U7" i="89"/>
  <c r="T7" i="89"/>
  <c r="S7" i="89"/>
  <c r="R7" i="89"/>
  <c r="U6" i="89"/>
  <c r="T6" i="89"/>
  <c r="S6" i="89"/>
  <c r="R6" i="89"/>
  <c r="T4" i="89"/>
  <c r="S4" i="89"/>
  <c r="R4" i="89"/>
  <c r="Q4" i="89"/>
  <c r="P4" i="89"/>
  <c r="O4" i="89"/>
  <c r="N4" i="89"/>
  <c r="M4" i="89"/>
  <c r="L4" i="89"/>
  <c r="K4" i="89"/>
  <c r="J4" i="89"/>
  <c r="I4" i="89"/>
  <c r="T3" i="89"/>
  <c r="S3" i="89"/>
  <c r="R3" i="89"/>
  <c r="Q3" i="89"/>
  <c r="P3" i="89"/>
  <c r="O3" i="89"/>
  <c r="N3" i="89"/>
  <c r="M3" i="89"/>
  <c r="L3" i="89"/>
  <c r="K3" i="89"/>
  <c r="J3" i="89"/>
  <c r="I3" i="89"/>
  <c r="T2" i="89"/>
  <c r="S2" i="89"/>
  <c r="R2" i="89"/>
  <c r="Q2" i="89"/>
  <c r="P2" i="89"/>
  <c r="O2" i="89"/>
  <c r="N2" i="89"/>
  <c r="M2" i="89"/>
  <c r="L2" i="89"/>
  <c r="K2" i="89"/>
  <c r="J2" i="89"/>
  <c r="I2" i="89"/>
  <c r="AB17" i="43"/>
  <c r="AD17" i="43" s="1"/>
  <c r="AC8" i="43"/>
  <c r="AC6" i="43"/>
  <c r="AC4" i="43" s="1" a="1"/>
  <c r="AC28" i="43"/>
  <c r="AC17" i="43"/>
  <c r="AC47" i="43"/>
  <c r="AC9" i="43"/>
  <c r="AC50" i="43"/>
  <c r="AC12" i="43"/>
  <c r="AC18" i="43"/>
  <c r="AC89" i="43"/>
  <c r="AC7" i="43"/>
  <c r="AC13" i="43"/>
  <c r="AC14" i="43"/>
  <c r="AC19" i="43"/>
  <c r="AC15" i="43"/>
  <c r="AC20" i="43"/>
  <c r="AC21" i="43"/>
  <c r="AC22" i="43"/>
  <c r="AC23" i="43"/>
  <c r="AC24" i="43"/>
  <c r="AC16" i="43"/>
  <c r="AC25" i="43"/>
  <c r="AC30" i="43"/>
  <c r="AC33" i="43"/>
  <c r="AC37" i="43"/>
  <c r="AC31" i="43"/>
  <c r="AC34" i="43"/>
  <c r="AC40" i="43"/>
  <c r="AC48" i="43"/>
  <c r="AC51" i="43"/>
  <c r="AC35" i="43"/>
  <c r="AD35" i="43" s="1"/>
  <c r="AC75" i="43"/>
  <c r="AC41" i="43"/>
  <c r="AD41" i="43" s="1"/>
  <c r="AC77" i="43"/>
  <c r="AC43" i="43"/>
  <c r="AC87" i="43"/>
  <c r="AC73" i="43"/>
  <c r="AC85" i="43"/>
  <c r="AC97" i="43"/>
  <c r="AC26" i="43"/>
  <c r="AC32" i="43"/>
  <c r="AC36" i="43"/>
  <c r="AC52" i="43"/>
  <c r="AC53" i="43"/>
  <c r="AC46" i="43"/>
  <c r="AC49" i="43"/>
  <c r="AC54" i="43"/>
  <c r="AC55" i="43"/>
  <c r="AD55" i="43" s="1"/>
  <c r="AC56" i="43"/>
  <c r="AD56" i="43" s="1"/>
  <c r="AC57" i="43"/>
  <c r="AC58" i="43"/>
  <c r="AC76" i="43"/>
  <c r="AC88" i="43"/>
  <c r="AC90" i="43"/>
  <c r="AC38" i="43"/>
  <c r="AC10" i="43"/>
  <c r="AC29" i="43"/>
  <c r="AC44" i="43"/>
  <c r="AC59" i="43"/>
  <c r="AC60" i="43"/>
  <c r="AC61" i="43"/>
  <c r="AC62" i="43"/>
  <c r="AD62" i="43" s="1"/>
  <c r="AC63" i="43"/>
  <c r="AD63" i="43" s="1"/>
  <c r="AC64" i="43"/>
  <c r="AC92" i="43"/>
  <c r="AC93" i="43"/>
  <c r="AC98" i="43"/>
  <c r="AC65" i="43"/>
  <c r="AC80" i="43"/>
  <c r="AC27" i="43"/>
  <c r="AC45" i="43"/>
  <c r="AC66" i="43"/>
  <c r="AC78" i="43"/>
  <c r="AC81" i="43"/>
  <c r="AC67" i="43"/>
  <c r="AC82" i="43"/>
  <c r="AC83" i="43"/>
  <c r="AC84" i="43"/>
  <c r="AC79" i="43"/>
  <c r="AC86" i="43"/>
  <c r="AD86" i="43" s="1"/>
  <c r="AC94" i="43"/>
  <c r="AC68" i="43"/>
  <c r="AC74" i="43"/>
  <c r="AC91" i="43"/>
  <c r="AC69" i="43"/>
  <c r="AC39" i="43"/>
  <c r="AC42" i="43"/>
  <c r="AC95" i="43"/>
  <c r="AC70" i="43"/>
  <c r="AC71" i="43"/>
  <c r="AC11" i="43"/>
  <c r="AC72" i="43"/>
  <c r="AC96" i="43"/>
  <c r="AB8" i="43"/>
  <c r="AB6" i="43"/>
  <c r="AB28" i="43"/>
  <c r="AD28" i="43" s="1"/>
  <c r="AB47" i="43"/>
  <c r="AD47" i="43" s="1"/>
  <c r="AB9" i="43"/>
  <c r="AB50" i="43"/>
  <c r="AB12" i="43"/>
  <c r="AB18" i="43"/>
  <c r="AB89" i="43"/>
  <c r="AB7" i="43"/>
  <c r="AB13" i="43"/>
  <c r="AB14" i="43"/>
  <c r="AB19" i="43"/>
  <c r="AB15" i="43"/>
  <c r="AB20" i="43"/>
  <c r="AB21" i="43"/>
  <c r="AB22" i="43"/>
  <c r="AB23" i="43"/>
  <c r="AB24" i="43"/>
  <c r="AB16" i="43"/>
  <c r="AB25" i="43"/>
  <c r="AB30" i="43"/>
  <c r="AB33" i="43"/>
  <c r="AB37" i="43"/>
  <c r="AB31" i="43"/>
  <c r="AB34" i="43"/>
  <c r="AB40" i="43"/>
  <c r="AB48" i="43"/>
  <c r="AB51" i="43"/>
  <c r="AB35" i="43"/>
  <c r="AB75" i="43"/>
  <c r="AB41" i="43"/>
  <c r="AB77" i="43"/>
  <c r="AB43" i="43"/>
  <c r="AB87" i="43"/>
  <c r="AB73" i="43"/>
  <c r="AB85" i="43"/>
  <c r="AB97" i="43"/>
  <c r="AB26" i="43"/>
  <c r="AB32" i="43"/>
  <c r="AB36" i="43"/>
  <c r="AB52" i="43"/>
  <c r="AB53" i="43"/>
  <c r="AB46" i="43"/>
  <c r="AB49" i="43"/>
  <c r="AB54" i="43"/>
  <c r="AB55" i="43"/>
  <c r="AB56" i="43"/>
  <c r="AB57" i="43"/>
  <c r="AB58" i="43"/>
  <c r="AB76" i="43"/>
  <c r="AB88" i="43"/>
  <c r="AB90" i="43"/>
  <c r="AB38" i="43"/>
  <c r="AB10" i="43"/>
  <c r="AB29" i="43"/>
  <c r="AB44" i="43"/>
  <c r="AB59" i="43"/>
  <c r="AB60" i="43"/>
  <c r="AB61" i="43"/>
  <c r="AB62" i="43"/>
  <c r="AB63" i="43"/>
  <c r="AB64" i="43"/>
  <c r="AB92" i="43"/>
  <c r="AB93" i="43"/>
  <c r="AB98" i="43"/>
  <c r="AB65" i="43"/>
  <c r="AB80" i="43"/>
  <c r="AB27" i="43"/>
  <c r="AB45" i="43"/>
  <c r="AB66" i="43"/>
  <c r="AB78" i="43"/>
  <c r="AB81" i="43"/>
  <c r="AB67" i="43"/>
  <c r="AB82" i="43"/>
  <c r="AB83" i="43"/>
  <c r="AB84" i="43"/>
  <c r="AB79" i="43"/>
  <c r="AB86" i="43"/>
  <c r="AB94" i="43"/>
  <c r="AB68" i="43"/>
  <c r="AB74" i="43"/>
  <c r="AB91" i="43"/>
  <c r="AB69" i="43"/>
  <c r="AB39" i="43"/>
  <c r="AB42" i="43"/>
  <c r="AB95" i="43"/>
  <c r="AB70" i="43"/>
  <c r="AB71" i="43"/>
  <c r="AB11" i="43"/>
  <c r="AB72" i="43"/>
  <c r="AB96" i="43"/>
  <c r="AE39" i="43"/>
  <c r="U39" i="43"/>
  <c r="T39" i="43"/>
  <c r="AE38" i="43"/>
  <c r="U38" i="43"/>
  <c r="T38" i="43"/>
  <c r="S38" i="43"/>
  <c r="AE91" i="43"/>
  <c r="U91" i="43"/>
  <c r="AD91" i="43" s="1"/>
  <c r="T91" i="43"/>
  <c r="AE86" i="43"/>
  <c r="U86" i="43"/>
  <c r="T86" i="43"/>
  <c r="AE41" i="43"/>
  <c r="U41" i="43"/>
  <c r="T41" i="43"/>
  <c r="AE35" i="43"/>
  <c r="U35" i="43"/>
  <c r="T35" i="43"/>
  <c r="AE31" i="43"/>
  <c r="U31" i="43"/>
  <c r="T31" i="43"/>
  <c r="AE12" i="43"/>
  <c r="U12" i="43"/>
  <c r="AD12" i="43" s="1"/>
  <c r="T12" i="43"/>
  <c r="AH6" i="43" a="1"/>
  <c r="AE6" i="43"/>
  <c r="U6" i="43"/>
  <c r="T6" i="43"/>
  <c r="S98" i="43"/>
  <c r="S97" i="43"/>
  <c r="S96" i="43"/>
  <c r="S93" i="43"/>
  <c r="S92" i="43"/>
  <c r="S95" i="43"/>
  <c r="S94" i="43"/>
  <c r="AD94" i="43" s="1"/>
  <c r="S90" i="43"/>
  <c r="S89" i="43"/>
  <c r="S88" i="43"/>
  <c r="S87" i="43"/>
  <c r="S85" i="43"/>
  <c r="S84" i="43"/>
  <c r="S83" i="43"/>
  <c r="S82" i="43"/>
  <c r="S80" i="43"/>
  <c r="S81" i="43"/>
  <c r="AD81" i="43" s="1"/>
  <c r="S78" i="43"/>
  <c r="S79" i="43"/>
  <c r="S77" i="43"/>
  <c r="AD77" i="43" s="1"/>
  <c r="S76" i="43"/>
  <c r="S75" i="43"/>
  <c r="AD75" i="43" s="1"/>
  <c r="S74" i="43"/>
  <c r="S73" i="43"/>
  <c r="AD73" i="43" s="1"/>
  <c r="S71" i="43"/>
  <c r="S72" i="43"/>
  <c r="S63" i="43"/>
  <c r="S64" i="43"/>
  <c r="S62" i="43"/>
  <c r="S61" i="43"/>
  <c r="S67" i="43"/>
  <c r="S60" i="43"/>
  <c r="AD60" i="43" s="1"/>
  <c r="S70" i="43"/>
  <c r="S65" i="43"/>
  <c r="S66" i="43"/>
  <c r="S68" i="43"/>
  <c r="S69" i="43"/>
  <c r="AD69" i="43" s="1"/>
  <c r="S59" i="43"/>
  <c r="AD59" i="43" s="1"/>
  <c r="S58" i="43"/>
  <c r="AD58" i="43" s="1"/>
  <c r="S57" i="43"/>
  <c r="AD57" i="43" s="1"/>
  <c r="S56" i="43"/>
  <c r="S55" i="43"/>
  <c r="S54" i="43"/>
  <c r="AD54" i="43" s="1"/>
  <c r="S51" i="43"/>
  <c r="AD51" i="43" s="1"/>
  <c r="S50" i="43"/>
  <c r="AD50" i="43" s="1"/>
  <c r="S53" i="43"/>
  <c r="AD53" i="43" s="1"/>
  <c r="S52" i="43"/>
  <c r="AD52" i="43" s="1"/>
  <c r="S47" i="43"/>
  <c r="S49" i="43"/>
  <c r="S48" i="43"/>
  <c r="S46" i="43"/>
  <c r="S45" i="43"/>
  <c r="AD45" i="43" s="1"/>
  <c r="S44" i="43"/>
  <c r="AD44" i="43" s="1"/>
  <c r="S43" i="43"/>
  <c r="AD43" i="43" s="1"/>
  <c r="S42" i="43"/>
  <c r="AD42" i="43" s="1"/>
  <c r="S40" i="43"/>
  <c r="AD40" i="43" s="1"/>
  <c r="S37" i="43"/>
  <c r="S36" i="43"/>
  <c r="S33" i="43"/>
  <c r="S32" i="43"/>
  <c r="S34" i="43"/>
  <c r="S30" i="43"/>
  <c r="AD30" i="43" s="1"/>
  <c r="S29" i="43"/>
  <c r="AD29" i="43" s="1"/>
  <c r="S28" i="43"/>
  <c r="S25" i="43"/>
  <c r="S17" i="43"/>
  <c r="S24" i="43"/>
  <c r="S23" i="43"/>
  <c r="AD23" i="43" s="1"/>
  <c r="S21" i="43"/>
  <c r="AD21" i="43" s="1"/>
  <c r="S27" i="43"/>
  <c r="AD27" i="43" s="1"/>
  <c r="S19" i="43"/>
  <c r="AD19" i="43" s="1"/>
  <c r="S26" i="43"/>
  <c r="S18" i="43"/>
  <c r="S15" i="43"/>
  <c r="S14" i="43"/>
  <c r="S13" i="43"/>
  <c r="S9" i="43"/>
  <c r="AD9" i="43" s="1"/>
  <c r="S11" i="43"/>
  <c r="AD11" i="43" s="1"/>
  <c r="S10" i="43"/>
  <c r="S8" i="43"/>
  <c r="U98" i="43"/>
  <c r="U97" i="43"/>
  <c r="U96" i="43"/>
  <c r="U93" i="43"/>
  <c r="U92" i="43"/>
  <c r="U95" i="43"/>
  <c r="U94" i="43"/>
  <c r="U90" i="43"/>
  <c r="U89" i="43"/>
  <c r="U88" i="43"/>
  <c r="U87" i="43"/>
  <c r="U85" i="43"/>
  <c r="U84" i="43"/>
  <c r="U83" i="43"/>
  <c r="U82" i="43"/>
  <c r="U80" i="43"/>
  <c r="U81" i="43"/>
  <c r="U78" i="43"/>
  <c r="U79" i="43"/>
  <c r="U77" i="43"/>
  <c r="U76" i="43"/>
  <c r="U75" i="43"/>
  <c r="U74" i="43"/>
  <c r="U73" i="43"/>
  <c r="U71" i="43"/>
  <c r="U72" i="43"/>
  <c r="U63" i="43"/>
  <c r="U64" i="43"/>
  <c r="U62" i="43"/>
  <c r="U61" i="43"/>
  <c r="U67" i="43"/>
  <c r="U60" i="43"/>
  <c r="U70" i="43"/>
  <c r="U65" i="43"/>
  <c r="U66" i="43"/>
  <c r="U68" i="43"/>
  <c r="U69" i="43"/>
  <c r="U59" i="43"/>
  <c r="U58" i="43"/>
  <c r="U57" i="43"/>
  <c r="U56" i="43"/>
  <c r="U55" i="43"/>
  <c r="U54" i="43"/>
  <c r="U51" i="43"/>
  <c r="U50" i="43"/>
  <c r="U53" i="43"/>
  <c r="U52" i="43"/>
  <c r="U47" i="43"/>
  <c r="U49" i="43"/>
  <c r="U48" i="43"/>
  <c r="U46" i="43"/>
  <c r="U45" i="43"/>
  <c r="U44" i="43"/>
  <c r="U43" i="43"/>
  <c r="U42" i="43"/>
  <c r="U40" i="43"/>
  <c r="U37" i="43"/>
  <c r="U36" i="43"/>
  <c r="U33" i="43"/>
  <c r="U32" i="43"/>
  <c r="U34" i="43"/>
  <c r="U30" i="43"/>
  <c r="U29" i="43"/>
  <c r="U28" i="43"/>
  <c r="U25" i="43"/>
  <c r="U17" i="43"/>
  <c r="U24" i="43"/>
  <c r="U23" i="43"/>
  <c r="U22" i="43"/>
  <c r="U21" i="43"/>
  <c r="U20" i="43"/>
  <c r="AD20" i="43" s="1"/>
  <c r="U27" i="43"/>
  <c r="U19" i="43"/>
  <c r="U26" i="43"/>
  <c r="U18" i="43"/>
  <c r="U16" i="43"/>
  <c r="U15" i="43"/>
  <c r="U14" i="43"/>
  <c r="U13" i="43"/>
  <c r="U9" i="43"/>
  <c r="U11" i="43"/>
  <c r="U10" i="43"/>
  <c r="U8" i="43"/>
  <c r="T98" i="43"/>
  <c r="AD98" i="43" s="1"/>
  <c r="T97" i="43"/>
  <c r="T96" i="43"/>
  <c r="AD96" i="43" s="1"/>
  <c r="T93" i="43"/>
  <c r="T92" i="43"/>
  <c r="AD92" i="43" s="1"/>
  <c r="T95" i="43"/>
  <c r="T94" i="43"/>
  <c r="T90" i="43"/>
  <c r="T89" i="43"/>
  <c r="T88" i="43"/>
  <c r="T87" i="43"/>
  <c r="T85" i="43"/>
  <c r="T84" i="43"/>
  <c r="T83" i="43"/>
  <c r="T82" i="43"/>
  <c r="T80" i="43"/>
  <c r="T81" i="43"/>
  <c r="T78" i="43"/>
  <c r="T79" i="43"/>
  <c r="AD79" i="43" s="1"/>
  <c r="T77" i="43"/>
  <c r="T76" i="43"/>
  <c r="AD76" i="43" s="1"/>
  <c r="T75" i="43"/>
  <c r="T74" i="43"/>
  <c r="T73" i="43"/>
  <c r="T71" i="43"/>
  <c r="T72" i="43"/>
  <c r="T63" i="43"/>
  <c r="T64" i="43"/>
  <c r="T62" i="43"/>
  <c r="T61" i="43"/>
  <c r="T67" i="43"/>
  <c r="T60" i="43"/>
  <c r="T70" i="43"/>
  <c r="AD70" i="43" s="1"/>
  <c r="T65" i="43"/>
  <c r="T66" i="43"/>
  <c r="AD66" i="43" s="1"/>
  <c r="T68" i="43"/>
  <c r="T69" i="43"/>
  <c r="T59" i="43"/>
  <c r="T58" i="43"/>
  <c r="T57" i="43"/>
  <c r="T56" i="43"/>
  <c r="T55" i="43"/>
  <c r="T54" i="43"/>
  <c r="T51" i="43"/>
  <c r="T50" i="43"/>
  <c r="T53" i="43"/>
  <c r="T52" i="43"/>
  <c r="T47" i="43"/>
  <c r="T49" i="43"/>
  <c r="AD49" i="43" s="1"/>
  <c r="T48" i="43"/>
  <c r="AD48" i="43" s="1"/>
  <c r="T46" i="43"/>
  <c r="T45" i="43"/>
  <c r="T44" i="43"/>
  <c r="T43" i="43"/>
  <c r="T42" i="43"/>
  <c r="T40" i="43"/>
  <c r="T37" i="43"/>
  <c r="AD37" i="43" s="1"/>
  <c r="T36" i="43"/>
  <c r="T33" i="43"/>
  <c r="T32" i="43"/>
  <c r="T34" i="43"/>
  <c r="T30" i="43"/>
  <c r="T29" i="43"/>
  <c r="T28" i="43"/>
  <c r="T25" i="43"/>
  <c r="AD25" i="43" s="1"/>
  <c r="T17" i="43"/>
  <c r="T24" i="43"/>
  <c r="AD24" i="43" s="1"/>
  <c r="T23" i="43"/>
  <c r="T22" i="43"/>
  <c r="AD22" i="43" s="1"/>
  <c r="T21" i="43"/>
  <c r="T20" i="43"/>
  <c r="T27" i="43"/>
  <c r="T19" i="43"/>
  <c r="T26" i="43"/>
  <c r="T18" i="43"/>
  <c r="AD18" i="43" s="1"/>
  <c r="T16" i="43"/>
  <c r="T15" i="43"/>
  <c r="T14" i="43"/>
  <c r="T13" i="43"/>
  <c r="T9" i="43"/>
  <c r="T11" i="43"/>
  <c r="T10" i="43"/>
  <c r="T8" i="43"/>
  <c r="T3" i="43" s="1" a="1"/>
  <c r="AD6" i="43"/>
  <c r="AD67" i="43"/>
  <c r="AD61" i="43"/>
  <c r="AD83" i="43"/>
  <c r="AD46" i="43"/>
  <c r="AD8" i="43"/>
  <c r="AD13" i="43"/>
  <c r="AD15" i="43"/>
  <c r="AD36" i="43"/>
  <c r="AD72" i="43"/>
  <c r="AD88" i="43"/>
  <c r="AD71" i="43"/>
  <c r="AD89" i="43"/>
  <c r="AD32" i="43"/>
  <c r="AD14" i="43"/>
  <c r="AD33" i="43"/>
  <c r="AD95" i="43"/>
  <c r="AD65" i="43"/>
  <c r="AD78" i="43"/>
  <c r="AD97" i="43"/>
  <c r="AE28" i="43"/>
  <c r="AE94" i="43"/>
  <c r="AE95" i="43"/>
  <c r="AE44" i="43"/>
  <c r="AE29" i="43"/>
  <c r="AE93" i="43"/>
  <c r="AE45" i="43"/>
  <c r="AE50" i="43"/>
  <c r="AE81" i="43"/>
  <c r="AE59" i="43"/>
  <c r="AE7" i="43"/>
  <c r="AE10" i="43"/>
  <c r="AE11" i="43"/>
  <c r="AE8" i="43"/>
  <c r="P3" i="43" s="1" a="1"/>
  <c r="AE13" i="43"/>
  <c r="AE14" i="43"/>
  <c r="AE15" i="43"/>
  <c r="X4" i="43" s="1" a="1"/>
  <c r="AE18" i="43"/>
  <c r="T2" i="43" s="1" a="1"/>
  <c r="AE26" i="43"/>
  <c r="AE19" i="43"/>
  <c r="AE27" i="43"/>
  <c r="AE30" i="43"/>
  <c r="AE32" i="43"/>
  <c r="AE34" i="43"/>
  <c r="AE33" i="43"/>
  <c r="AE36" i="43"/>
  <c r="AE37" i="43"/>
  <c r="AE40" i="43"/>
  <c r="AE42" i="43"/>
  <c r="AE46" i="43"/>
  <c r="AE48" i="43"/>
  <c r="AE47" i="43"/>
  <c r="AE49" i="43"/>
  <c r="AE52" i="43"/>
  <c r="AE20" i="43"/>
  <c r="AE53" i="43"/>
  <c r="AE21" i="43"/>
  <c r="AE51" i="43"/>
  <c r="AE92" i="43"/>
  <c r="AE54" i="43"/>
  <c r="AE55" i="43"/>
  <c r="AE56" i="43"/>
  <c r="AE57" i="43"/>
  <c r="AE58" i="43"/>
  <c r="AE73" i="43"/>
  <c r="AE75" i="43"/>
  <c r="AE76" i="43"/>
  <c r="AE77" i="43"/>
  <c r="AE80" i="43"/>
  <c r="AE85" i="43"/>
  <c r="AE88" i="43"/>
  <c r="AE87" i="43"/>
  <c r="AE89" i="43"/>
  <c r="AE90" i="43"/>
  <c r="AE79" i="43"/>
  <c r="AE78" i="43"/>
  <c r="AE83" i="43"/>
  <c r="AE22" i="43"/>
  <c r="AE84" i="43"/>
  <c r="AE96" i="43"/>
  <c r="AE23" i="43"/>
  <c r="AE24" i="43"/>
  <c r="AE16" i="43"/>
  <c r="AE97" i="43"/>
  <c r="AE98" i="43"/>
  <c r="AE74" i="43"/>
  <c r="Q4" i="43" s="1" a="1"/>
  <c r="AE17" i="43"/>
  <c r="AE69" i="43"/>
  <c r="AE25" i="43"/>
  <c r="AE68" i="43"/>
  <c r="AE66" i="43"/>
  <c r="AE65" i="43"/>
  <c r="AE70" i="43"/>
  <c r="AE60" i="43"/>
  <c r="AE67" i="43"/>
  <c r="AE61" i="43"/>
  <c r="AE62" i="43"/>
  <c r="AE64" i="43"/>
  <c r="AE63" i="43"/>
  <c r="AE72" i="43"/>
  <c r="AE71" i="43"/>
  <c r="AE43" i="43"/>
  <c r="Q3" i="43" s="1" a="1"/>
  <c r="AE82" i="43"/>
  <c r="AE9" i="43"/>
  <c r="L20" i="43"/>
  <c r="L22" i="43"/>
  <c r="K22" i="43"/>
  <c r="M99" i="43"/>
  <c r="N99" i="43"/>
  <c r="O99" i="43"/>
  <c r="P99" i="43"/>
  <c r="Q99" i="43"/>
  <c r="R99" i="43"/>
  <c r="J99" i="43"/>
  <c r="U7" i="43"/>
  <c r="K99" i="43"/>
  <c r="S22" i="43"/>
  <c r="S7" i="43"/>
  <c r="S99" i="43" s="1"/>
  <c r="T7" i="43"/>
  <c r="T99" i="43" s="1"/>
  <c r="AD7" i="43"/>
  <c r="L99" i="43"/>
  <c r="S20" i="43"/>
  <c r="AD29" i="44" l="1"/>
  <c r="AD16" i="44"/>
  <c r="AD32" i="44"/>
  <c r="AD25" i="44"/>
  <c r="AD23" i="44"/>
  <c r="AD19" i="44"/>
  <c r="AD17" i="44"/>
  <c r="AD26" i="44"/>
  <c r="AD10" i="44"/>
  <c r="AD24" i="44"/>
  <c r="AD15" i="44"/>
  <c r="AD31" i="44"/>
  <c r="AD27" i="44"/>
  <c r="AD13" i="44"/>
  <c r="AD8" i="44"/>
  <c r="T33" i="44"/>
  <c r="AD21" i="44"/>
  <c r="AD30" i="44"/>
  <c r="U33" i="44"/>
  <c r="AD28" i="44"/>
  <c r="AD20" i="44"/>
  <c r="AD11" i="44"/>
  <c r="AD18" i="44"/>
  <c r="AD9" i="44"/>
  <c r="AD14" i="44"/>
  <c r="AD7" i="44"/>
  <c r="AD12" i="44"/>
  <c r="S22" i="44"/>
  <c r="AD22" i="44" s="1"/>
  <c r="AD6" i="44"/>
  <c r="L33" i="44"/>
  <c r="K160" i="42"/>
  <c r="Q160" i="42"/>
  <c r="AD107" i="42"/>
  <c r="N160" i="42"/>
  <c r="AD121" i="42"/>
  <c r="AD120" i="42"/>
  <c r="AD119" i="42"/>
  <c r="AD59" i="42"/>
  <c r="AD35" i="42"/>
  <c r="AD155" i="42"/>
  <c r="AD139" i="42"/>
  <c r="AD123" i="42"/>
  <c r="AD69" i="42"/>
  <c r="AD156" i="42"/>
  <c r="AD140" i="42"/>
  <c r="AD124" i="42"/>
  <c r="AD146" i="42"/>
  <c r="AD130" i="42"/>
  <c r="AD114" i="42"/>
  <c r="AD110" i="42"/>
  <c r="AD66" i="42"/>
  <c r="AD158" i="42"/>
  <c r="AD142" i="42"/>
  <c r="AD126" i="42"/>
  <c r="AD105" i="42"/>
  <c r="AD52" i="42"/>
  <c r="AD43" i="42"/>
  <c r="AD20" i="42"/>
  <c r="AD27" i="42"/>
  <c r="AD55" i="42"/>
  <c r="AD104" i="42"/>
  <c r="AD117" i="42"/>
  <c r="AD153" i="42"/>
  <c r="AD137" i="42"/>
  <c r="AD152" i="42"/>
  <c r="AD136" i="42"/>
  <c r="AD151" i="42"/>
  <c r="AD135" i="42"/>
  <c r="AD103" i="42"/>
  <c r="AD67" i="42"/>
  <c r="AD75" i="42"/>
  <c r="AD113" i="42"/>
  <c r="AD57" i="42"/>
  <c r="AD39" i="42"/>
  <c r="AD53" i="42"/>
  <c r="AD73" i="42"/>
  <c r="J160" i="42"/>
  <c r="AD108" i="42"/>
  <c r="AD29" i="42"/>
  <c r="AD41" i="42"/>
  <c r="AD148" i="42"/>
  <c r="AD132" i="42"/>
  <c r="AD116" i="42"/>
  <c r="AD100" i="42"/>
  <c r="AD71" i="42"/>
  <c r="AD85" i="42"/>
  <c r="AD25" i="42"/>
  <c r="AD30" i="42"/>
  <c r="AD51" i="42"/>
  <c r="T60" i="42"/>
  <c r="T160" i="42" s="1"/>
  <c r="S76" i="42"/>
  <c r="AD76" i="42" s="1"/>
  <c r="AD145" i="42"/>
  <c r="AD129" i="42"/>
  <c r="AD23" i="42"/>
  <c r="AD83" i="42"/>
  <c r="AD149" i="42"/>
  <c r="AD101" i="42"/>
  <c r="AD65" i="42"/>
  <c r="P160" i="42"/>
  <c r="AD159" i="42"/>
  <c r="AD143" i="42"/>
  <c r="AD127" i="42"/>
  <c r="AD111" i="42"/>
  <c r="AD84" i="42"/>
  <c r="AD133" i="42"/>
  <c r="AD19" i="42"/>
  <c r="AD40" i="42"/>
  <c r="AD49" i="42"/>
  <c r="AD17" i="42"/>
  <c r="AD33" i="42"/>
  <c r="AD47" i="42"/>
  <c r="AD63" i="42"/>
  <c r="AD72" i="42"/>
  <c r="AD81" i="42"/>
  <c r="AD157" i="42"/>
  <c r="AD141" i="42"/>
  <c r="AD125" i="42"/>
  <c r="AD109" i="42"/>
  <c r="AD10" i="42"/>
  <c r="AD79" i="42"/>
  <c r="AD88" i="42"/>
  <c r="AD95" i="42"/>
  <c r="AD61" i="42"/>
  <c r="AD77" i="42"/>
  <c r="AD8" i="42"/>
  <c r="AD15" i="42"/>
  <c r="AD31" i="42"/>
  <c r="AD45" i="42"/>
  <c r="AD150" i="42"/>
  <c r="AD134" i="42"/>
  <c r="AD118" i="42"/>
  <c r="AD102" i="42"/>
  <c r="AD147" i="42"/>
  <c r="AD131" i="42"/>
  <c r="AD115" i="42"/>
  <c r="AD99" i="42"/>
  <c r="AD144" i="42"/>
  <c r="AD128" i="42"/>
  <c r="AD112" i="42"/>
  <c r="AD154" i="42"/>
  <c r="AD138" i="42"/>
  <c r="AD122" i="42"/>
  <c r="AD106" i="42"/>
  <c r="AD13" i="42"/>
  <c r="AD24" i="42"/>
  <c r="AD42" i="42"/>
  <c r="AD74" i="42"/>
  <c r="AD87" i="42"/>
  <c r="AD96" i="42"/>
  <c r="W4" i="42" a="1"/>
  <c r="AD82" i="42"/>
  <c r="AD91" i="42"/>
  <c r="AD80" i="42"/>
  <c r="U160" i="42"/>
  <c r="AB2" i="42" a="1"/>
  <c r="AD70" i="42"/>
  <c r="AD94" i="42"/>
  <c r="AD11" i="42"/>
  <c r="AD18" i="42"/>
  <c r="AD38" i="42"/>
  <c r="AD68" i="42"/>
  <c r="AC4" i="42" a="1"/>
  <c r="AD92" i="42"/>
  <c r="AD48" i="42"/>
  <c r="AD9" i="42"/>
  <c r="AD16" i="42"/>
  <c r="AD36" i="42"/>
  <c r="AD64" i="42"/>
  <c r="AD62" i="42"/>
  <c r="AD90" i="42"/>
  <c r="AD97" i="42"/>
  <c r="AD7" i="42"/>
  <c r="AD14" i="42"/>
  <c r="AD60" i="42"/>
  <c r="AD34" i="42"/>
  <c r="AD58" i="42"/>
  <c r="AD21" i="42"/>
  <c r="AD56" i="42"/>
  <c r="AD50" i="42"/>
  <c r="AD12" i="42"/>
  <c r="AD32" i="42"/>
  <c r="AD54" i="42"/>
  <c r="AD86" i="42"/>
  <c r="AD93" i="42"/>
  <c r="AD28" i="42"/>
  <c r="AD46" i="42"/>
  <c r="AD78" i="42"/>
  <c r="AD89" i="42"/>
  <c r="AD98" i="42"/>
  <c r="AD26" i="42"/>
  <c r="AD37" i="42"/>
  <c r="AD44" i="42"/>
  <c r="Z3" i="42" a="1"/>
  <c r="O4" i="42" a="1"/>
  <c r="P2" i="42" a="1"/>
  <c r="X2" i="42" a="1"/>
  <c r="L3" i="42" a="1"/>
  <c r="AB3" i="42" a="1"/>
  <c r="P4" i="42" a="1"/>
  <c r="X4" i="42" a="1"/>
  <c r="N2" i="42" a="1"/>
  <c r="AA3" i="42" a="1"/>
  <c r="S22" i="42"/>
  <c r="AD22" i="42" s="1"/>
  <c r="AD6" i="42"/>
  <c r="J3" i="42" a="1"/>
  <c r="Y2" i="42" a="1"/>
  <c r="M3" i="42" a="1"/>
  <c r="U3" i="42" a="1"/>
  <c r="AC3" i="42" a="1"/>
  <c r="Q4" i="42" a="1"/>
  <c r="Y4" i="42" a="1"/>
  <c r="L160" i="42"/>
  <c r="N4" i="42" a="1"/>
  <c r="Q2" i="42" a="1"/>
  <c r="R2" i="42" a="1"/>
  <c r="Z2" i="42" a="1"/>
  <c r="N3" i="42" a="1"/>
  <c r="V3" i="42" a="1"/>
  <c r="J4" i="42" a="1"/>
  <c r="R4" i="42" a="1"/>
  <c r="Z4" i="42" a="1"/>
  <c r="W2" i="42" a="1"/>
  <c r="J2" i="42" a="1"/>
  <c r="V2" i="42" a="1"/>
  <c r="AA2" i="42" a="1"/>
  <c r="O3" i="42" a="1"/>
  <c r="W3" i="42" a="1"/>
  <c r="K4" i="42" a="1"/>
  <c r="AA4" i="42" a="1"/>
  <c r="K3" i="42" a="1"/>
  <c r="K2" i="42" a="1"/>
  <c r="R3" i="42" a="1"/>
  <c r="O2" i="42" a="1"/>
  <c r="L2" i="42" a="1"/>
  <c r="P3" i="42" a="1"/>
  <c r="X3" i="42" a="1"/>
  <c r="L4" i="42" a="1"/>
  <c r="AB4" i="42" a="1"/>
  <c r="V4" i="42" a="1"/>
  <c r="M2" i="42" a="1"/>
  <c r="U2" i="42" a="1"/>
  <c r="AC2" i="42" a="1"/>
  <c r="Q3" i="42" a="1"/>
  <c r="Y3" i="42" a="1"/>
  <c r="M4" i="42" a="1"/>
  <c r="U4" i="42" a="1"/>
  <c r="AD57" i="39"/>
  <c r="AD45" i="39"/>
  <c r="AD16" i="39"/>
  <c r="AD55" i="39"/>
  <c r="AD77" i="39"/>
  <c r="AD13" i="39"/>
  <c r="AD29" i="39"/>
  <c r="AD47" i="39"/>
  <c r="AD63" i="39"/>
  <c r="AD10" i="39"/>
  <c r="AD41" i="39"/>
  <c r="AD71" i="39"/>
  <c r="AD9" i="39"/>
  <c r="AD25" i="39"/>
  <c r="AD69" i="39"/>
  <c r="AD73" i="39"/>
  <c r="AD27" i="39"/>
  <c r="AD23" i="39"/>
  <c r="AD30" i="39"/>
  <c r="AD67" i="39"/>
  <c r="AD19" i="39"/>
  <c r="AD51" i="39"/>
  <c r="AD49" i="39"/>
  <c r="AD65" i="39"/>
  <c r="AD43" i="39"/>
  <c r="AD17" i="39"/>
  <c r="AD40" i="39"/>
  <c r="P2" i="39" a="1"/>
  <c r="AD75" i="39"/>
  <c r="AD79" i="39"/>
  <c r="AD8" i="39"/>
  <c r="AD15" i="39"/>
  <c r="AD54" i="39"/>
  <c r="AD61" i="39"/>
  <c r="AD59" i="39"/>
  <c r="T81" i="39"/>
  <c r="AD21" i="39"/>
  <c r="AD48" i="39"/>
  <c r="AD80" i="39"/>
  <c r="U81" i="39"/>
  <c r="AD28" i="39"/>
  <c r="AD46" i="39"/>
  <c r="AD78" i="39"/>
  <c r="AD52" i="39"/>
  <c r="AB2" i="39" a="1"/>
  <c r="AD26" i="39"/>
  <c r="AD44" i="39"/>
  <c r="AD76" i="39"/>
  <c r="AC4" i="39" a="1"/>
  <c r="AD24" i="39"/>
  <c r="AD37" i="39"/>
  <c r="AD42" i="39"/>
  <c r="AD74" i="39"/>
  <c r="AD50" i="39"/>
  <c r="AB4" i="39" a="1"/>
  <c r="AD72" i="39"/>
  <c r="AD20" i="39"/>
  <c r="AD33" i="39"/>
  <c r="AD35" i="39"/>
  <c r="AD70" i="39"/>
  <c r="AD11" i="39"/>
  <c r="AD18" i="39"/>
  <c r="AD38" i="39"/>
  <c r="AD68" i="39"/>
  <c r="AD31" i="39"/>
  <c r="AD66" i="39"/>
  <c r="AD36" i="39"/>
  <c r="AD64" i="39"/>
  <c r="AD14" i="39"/>
  <c r="AD62" i="39"/>
  <c r="AD7" i="39"/>
  <c r="AD60" i="39"/>
  <c r="AD12" i="39"/>
  <c r="AD34" i="39"/>
  <c r="AD58" i="39"/>
  <c r="AD56" i="39"/>
  <c r="N2" i="39" a="1"/>
  <c r="AA3" i="39" a="1"/>
  <c r="S22" i="39"/>
  <c r="AD22" i="39" s="1"/>
  <c r="P4" i="39" a="1"/>
  <c r="AD6" i="39"/>
  <c r="Y2" i="39" a="1"/>
  <c r="M3" i="39" a="1"/>
  <c r="U3" i="39" a="1"/>
  <c r="AC3" i="39" a="1"/>
  <c r="Q4" i="39" a="1"/>
  <c r="Y4" i="39" a="1"/>
  <c r="L81" i="39"/>
  <c r="V2" i="39" a="1"/>
  <c r="X4" i="39" a="1"/>
  <c r="Q2" i="39" a="1"/>
  <c r="V4" i="39" a="1"/>
  <c r="W4" i="39" a="1"/>
  <c r="L3" i="39" a="1"/>
  <c r="J2" i="39" a="1"/>
  <c r="R2" i="39" a="1"/>
  <c r="Z2" i="39" a="1"/>
  <c r="N3" i="39" a="1"/>
  <c r="V3" i="39" a="1"/>
  <c r="J4" i="39" a="1"/>
  <c r="R4" i="39" a="1"/>
  <c r="Z4" i="39" a="1"/>
  <c r="J3" i="39" a="1"/>
  <c r="K3" i="39" a="1"/>
  <c r="X2" i="39" a="1"/>
  <c r="AA2" i="39" a="1"/>
  <c r="O3" i="39" a="1"/>
  <c r="W3" i="39" a="1"/>
  <c r="K4" i="39" a="1"/>
  <c r="AA4" i="39" a="1"/>
  <c r="W2" i="39" a="1"/>
  <c r="AB3" i="39" a="1"/>
  <c r="K2" i="39" a="1"/>
  <c r="Z3" i="39" a="1"/>
  <c r="L2" i="39" a="1"/>
  <c r="T2" i="39" a="1"/>
  <c r="P3" i="39" a="1"/>
  <c r="X3" i="39" a="1"/>
  <c r="L4" i="39" a="1"/>
  <c r="T4" i="39" a="1"/>
  <c r="R3" i="39" a="1"/>
  <c r="T3" i="39" a="1"/>
  <c r="O4" i="39" a="1"/>
  <c r="M2" i="39" a="1"/>
  <c r="U2" i="39" a="1"/>
  <c r="AC2" i="39" a="1"/>
  <c r="Q3" i="39" a="1"/>
  <c r="Y3" i="39" a="1"/>
  <c r="M4" i="39" a="1"/>
  <c r="U4" i="39" a="1"/>
  <c r="N4" i="39" a="1"/>
  <c r="O2" i="39" a="1"/>
  <c r="Y4" i="43" a="1"/>
  <c r="P2" i="43" a="1"/>
  <c r="AD39" i="43"/>
  <c r="Z2" i="43" a="1"/>
  <c r="AD85" i="43"/>
  <c r="AA3" i="43" a="1"/>
  <c r="K4" i="43" a="1"/>
  <c r="Z3" i="43" a="1"/>
  <c r="T4" i="43" a="1"/>
  <c r="R4" i="43" a="1"/>
  <c r="M2" i="43" a="1"/>
  <c r="AB3" i="43" a="1"/>
  <c r="Y3" i="43" a="1"/>
  <c r="AD93" i="43"/>
  <c r="AD74" i="43"/>
  <c r="AD38" i="43"/>
  <c r="AD34" i="43"/>
  <c r="L2" i="43" a="1"/>
  <c r="N3" i="43" a="1"/>
  <c r="AC3" i="43" a="1"/>
  <c r="X2" i="43" a="1"/>
  <c r="AD90" i="43"/>
  <c r="AD80" i="43"/>
  <c r="AD64" i="43"/>
  <c r="AD31" i="43"/>
  <c r="J3" i="43" a="1"/>
  <c r="O3" i="43" a="1"/>
  <c r="Q2" i="43" a="1"/>
  <c r="K2" i="43" a="1"/>
  <c r="AB2" i="43" a="1"/>
  <c r="V2" i="43" a="1"/>
  <c r="AD68" i="43"/>
  <c r="AD84" i="43"/>
  <c r="AD82" i="43"/>
  <c r="AD16" i="43"/>
  <c r="N4" i="43" a="1"/>
  <c r="AC2" i="43" a="1"/>
  <c r="X3" i="43" a="1"/>
  <c r="Y2" i="43" a="1"/>
  <c r="L3" i="43" a="1"/>
  <c r="K3" i="43" a="1"/>
  <c r="AB4" i="43" a="1"/>
  <c r="V4" i="43" a="1"/>
  <c r="AD26" i="43"/>
  <c r="AD10" i="43"/>
  <c r="N2" i="43" a="1"/>
  <c r="M3" i="43" a="1"/>
  <c r="AA2" i="43" a="1"/>
  <c r="W3" i="43" a="1"/>
  <c r="R3" i="43" a="1"/>
  <c r="J4" i="43" a="1"/>
  <c r="U2" i="43" a="1"/>
  <c r="J2" i="43" a="1"/>
  <c r="V3" i="43" a="1"/>
  <c r="W4" i="43" a="1"/>
  <c r="M4" i="43" a="1"/>
  <c r="R2" i="43" a="1"/>
  <c r="U4" i="43" a="1"/>
  <c r="U3" i="43" a="1"/>
  <c r="O2" i="43" a="1"/>
  <c r="AD87" i="43"/>
  <c r="S2" i="43" a="1"/>
  <c r="U99" i="43"/>
  <c r="S4" i="43" a="1"/>
  <c r="S3" i="43" a="1"/>
  <c r="O4" i="43" a="1"/>
  <c r="Z4" i="43" a="1"/>
  <c r="W2" i="43" a="1"/>
  <c r="P4" i="43" a="1"/>
  <c r="L4" i="43" a="1"/>
  <c r="AA4" i="43" a="1"/>
  <c r="R3" i="95"/>
  <c r="K2" i="95"/>
  <c r="I2" i="95"/>
  <c r="N3" i="95"/>
  <c r="M3" i="95"/>
  <c r="S4" i="95"/>
  <c r="K3" i="95"/>
  <c r="J3" i="95"/>
  <c r="I3" i="95"/>
  <c r="N4" i="95"/>
  <c r="S2" i="95"/>
  <c r="M4" i="95"/>
  <c r="R2" i="95"/>
  <c r="L4" i="95"/>
  <c r="J2" i="95"/>
  <c r="S34" i="94"/>
  <c r="R34" i="94"/>
  <c r="C1" i="93"/>
  <c r="AD27" i="40"/>
  <c r="AD14" i="40"/>
  <c r="AD72" i="40"/>
  <c r="AD70" i="40"/>
  <c r="AD89" i="40"/>
  <c r="AD21" i="40"/>
  <c r="AD11" i="40"/>
  <c r="AD98" i="40"/>
  <c r="AD38" i="40"/>
  <c r="AD28" i="40"/>
  <c r="AD13" i="40"/>
  <c r="AD100" i="40"/>
  <c r="AD55" i="40"/>
  <c r="AD35" i="40"/>
  <c r="AD94" i="40"/>
  <c r="AD42" i="40"/>
  <c r="AD7" i="40"/>
  <c r="AD26" i="40"/>
  <c r="AD86" i="40"/>
  <c r="AD56" i="40"/>
  <c r="AD67" i="40"/>
  <c r="AD99" i="40"/>
  <c r="AD80" i="40"/>
  <c r="AD66" i="40"/>
  <c r="AD53" i="40"/>
  <c r="AD39" i="40"/>
  <c r="AD25" i="40"/>
  <c r="AD52" i="40"/>
  <c r="AD95" i="40"/>
  <c r="AD76" i="40"/>
  <c r="AD62" i="40"/>
  <c r="AD48" i="40"/>
  <c r="AD30" i="40"/>
  <c r="AD15" i="40"/>
  <c r="AD87" i="40"/>
  <c r="AD71" i="40"/>
  <c r="AD57" i="40"/>
  <c r="AD43" i="40"/>
  <c r="AD93" i="40"/>
  <c r="AD75" i="40"/>
  <c r="AD61" i="40"/>
  <c r="AD47" i="40"/>
  <c r="AD29" i="40"/>
  <c r="AD20" i="40"/>
  <c r="AD6" i="40"/>
  <c r="AD92" i="40"/>
  <c r="AD91" i="40"/>
  <c r="AD85" i="40"/>
  <c r="AD69" i="40"/>
  <c r="J2" i="40" a="1"/>
  <c r="AD73" i="40"/>
  <c r="AD59" i="40"/>
  <c r="AD45" i="40"/>
  <c r="AD9" i="40"/>
  <c r="AD88" i="40"/>
  <c r="AD16" i="40"/>
  <c r="AD10" i="40"/>
  <c r="AD58" i="40"/>
  <c r="T4" i="40" a="1"/>
  <c r="AD23" i="40"/>
  <c r="AD84" i="40"/>
  <c r="AD68" i="40"/>
  <c r="AD54" i="40"/>
  <c r="AD40" i="40"/>
  <c r="AD12" i="40"/>
  <c r="L3" i="40" a="1"/>
  <c r="J4" i="40" a="1"/>
  <c r="AD41" i="40"/>
  <c r="AD97" i="40"/>
  <c r="AD79" i="40"/>
  <c r="AD65" i="40"/>
  <c r="AD51" i="40"/>
  <c r="AD34" i="40"/>
  <c r="AD19" i="40"/>
  <c r="AD90" i="40"/>
  <c r="AD74" i="40"/>
  <c r="AD60" i="40"/>
  <c r="AD46" i="40"/>
  <c r="AD18" i="40"/>
  <c r="P4" i="40" a="1"/>
  <c r="AD33" i="40"/>
  <c r="AD37" i="40"/>
  <c r="AD31" i="40"/>
  <c r="AD24" i="40"/>
  <c r="AD96" i="40"/>
  <c r="AD77" i="40"/>
  <c r="AD63" i="40"/>
  <c r="AD49" i="40"/>
  <c r="AD32" i="40"/>
  <c r="AD17" i="40"/>
  <c r="AD78" i="40"/>
  <c r="AD64" i="40"/>
  <c r="AD50" i="40"/>
  <c r="AD36" i="40"/>
  <c r="AD22" i="40"/>
  <c r="AD8" i="40"/>
  <c r="Z3" i="40" a="1"/>
  <c r="U2" i="40" a="1"/>
  <c r="P3" i="40" a="1"/>
  <c r="O2" i="40" a="1"/>
  <c r="AC2" i="40" a="1"/>
  <c r="W3" i="40" a="1"/>
  <c r="Q4" i="40" a="1"/>
  <c r="J3" i="40" a="1"/>
  <c r="R4" i="40" a="1"/>
  <c r="AD83" i="40"/>
  <c r="AA3" i="40" a="1"/>
  <c r="P2" i="40" a="1"/>
  <c r="X3" i="40" a="1"/>
  <c r="Q2" i="40" a="1"/>
  <c r="K3" i="40" a="1"/>
  <c r="Y3" i="40" a="1"/>
  <c r="S4" i="40" a="1"/>
  <c r="M3" i="40" a="1"/>
  <c r="T2" i="40" a="1"/>
  <c r="N3" i="40" a="1"/>
  <c r="AB3" i="40" a="1"/>
  <c r="V4" i="40" a="1"/>
  <c r="R2" i="40" a="1"/>
  <c r="S2" i="40" a="1"/>
  <c r="W4" i="40" a="1"/>
  <c r="V2" i="40" a="1"/>
  <c r="U4" i="40" a="1"/>
  <c r="O3" i="40" a="1"/>
  <c r="X4" i="40" a="1"/>
  <c r="W2" i="40" a="1"/>
  <c r="Q3" i="40" a="1"/>
  <c r="K4" i="40" a="1"/>
  <c r="Y4" i="40" a="1"/>
  <c r="X2" i="40" a="1"/>
  <c r="L4" i="40" a="1"/>
  <c r="K2" i="40" a="1"/>
  <c r="AC3" i="40" a="1"/>
  <c r="R3" i="40" a="1"/>
  <c r="Z4" i="40" a="1"/>
  <c r="Y2" i="40" a="1"/>
  <c r="S3" i="40" a="1"/>
  <c r="M4" i="40" a="1"/>
  <c r="AA4" i="40" a="1"/>
  <c r="L2" i="40" a="1"/>
  <c r="Z2" i="40" a="1"/>
  <c r="T3" i="40" a="1"/>
  <c r="N4" i="40" a="1"/>
  <c r="AB4" i="40" a="1"/>
  <c r="M2" i="40" a="1"/>
  <c r="AA2" i="40" a="1"/>
  <c r="U3" i="40" a="1"/>
  <c r="O4" i="40" a="1"/>
  <c r="AC4" i="40" a="1"/>
  <c r="AD44" i="40"/>
  <c r="N2" i="40" a="1"/>
  <c r="AB2" i="40" a="1"/>
  <c r="V3" i="40" a="1"/>
  <c r="S33" i="44" l="1"/>
  <c r="T2" i="42" a="1"/>
  <c r="T2" i="42" s="1"/>
  <c r="T3" i="42" a="1"/>
  <c r="T3" i="42" s="1"/>
  <c r="T4" i="42" a="1"/>
  <c r="T4" i="42" s="1"/>
  <c r="S4" i="42" a="1"/>
  <c r="S4" i="42" s="1"/>
  <c r="S3" i="42" a="1"/>
  <c r="S3" i="42" s="1"/>
  <c r="S160" i="42"/>
  <c r="S2" i="42" a="1"/>
  <c r="S2" i="42" s="1"/>
  <c r="S4" i="39" a="1"/>
  <c r="S4" i="39" s="1"/>
  <c r="S2" i="39" a="1"/>
  <c r="S2" i="39" s="1"/>
  <c r="S3" i="39" a="1"/>
  <c r="S3" i="39" s="1"/>
  <c r="S81" i="39"/>
  <c r="Q4" i="90"/>
  <c r="P4" i="90"/>
  <c r="O4" i="90"/>
  <c r="Q3" i="90"/>
  <c r="P3" i="90"/>
  <c r="O3" i="90"/>
  <c r="Q2" i="90"/>
  <c r="P2" i="90"/>
  <c r="O2" i="90"/>
  <c r="Q4" i="91"/>
  <c r="P4" i="91"/>
  <c r="O4" i="91"/>
  <c r="AH6" i="42"/>
  <c r="AC4" i="42"/>
  <c r="AB4" i="42"/>
  <c r="AA4" i="42"/>
  <c r="Z4" i="42"/>
  <c r="Y4" i="42"/>
  <c r="X4" i="42"/>
  <c r="W4" i="42"/>
  <c r="V4" i="42"/>
  <c r="U4" i="42"/>
  <c r="R4" i="42"/>
  <c r="Q4" i="42"/>
  <c r="P4" i="42"/>
  <c r="O4" i="42"/>
  <c r="N4" i="42"/>
  <c r="M4" i="42"/>
  <c r="L4" i="42"/>
  <c r="K4" i="42"/>
  <c r="J4" i="42"/>
  <c r="AC3" i="42"/>
  <c r="AB3" i="42"/>
  <c r="AA3" i="42"/>
  <c r="Z3" i="42"/>
  <c r="Y3" i="42"/>
  <c r="X3" i="42"/>
  <c r="W3" i="42"/>
  <c r="V3" i="42"/>
  <c r="U3" i="42"/>
  <c r="R3" i="42"/>
  <c r="Q3" i="42"/>
  <c r="P3" i="42"/>
  <c r="O3" i="42"/>
  <c r="N3" i="42"/>
  <c r="M3" i="42"/>
  <c r="L3" i="42"/>
  <c r="K3" i="42"/>
  <c r="J3" i="42"/>
  <c r="AC2" i="42"/>
  <c r="AB2" i="42"/>
  <c r="AA2" i="42"/>
  <c r="Z2" i="42"/>
  <c r="Y2" i="42"/>
  <c r="X2" i="42"/>
  <c r="W2" i="42"/>
  <c r="V2" i="42"/>
  <c r="U2" i="42"/>
  <c r="R2" i="42"/>
  <c r="Q2" i="42"/>
  <c r="P2" i="42"/>
  <c r="O2" i="42"/>
  <c r="N2" i="42"/>
  <c r="M2" i="42"/>
  <c r="L2" i="42"/>
  <c r="K2" i="42"/>
  <c r="J2" i="42"/>
  <c r="AH6" i="44"/>
  <c r="AC4" i="44"/>
  <c r="AB4" i="44"/>
  <c r="AA4" i="44"/>
  <c r="Z4" i="44"/>
  <c r="Y4" i="44"/>
  <c r="X4" i="44"/>
  <c r="W4" i="44"/>
  <c r="V4" i="44"/>
  <c r="U4" i="44"/>
  <c r="T4" i="44"/>
  <c r="S4" i="44"/>
  <c r="R4" i="44"/>
  <c r="Q4" i="44"/>
  <c r="P4" i="44"/>
  <c r="O4" i="44"/>
  <c r="N4" i="44"/>
  <c r="M4" i="44"/>
  <c r="L4" i="44"/>
  <c r="K4" i="44"/>
  <c r="J4" i="44"/>
  <c r="AC3" i="44"/>
  <c r="AB3" i="44"/>
  <c r="AA3" i="44"/>
  <c r="Z3" i="44"/>
  <c r="Y3" i="44"/>
  <c r="X3" i="44"/>
  <c r="W3" i="44"/>
  <c r="V3" i="44"/>
  <c r="U3" i="44"/>
  <c r="T3" i="44"/>
  <c r="S3" i="44"/>
  <c r="R3" i="44"/>
  <c r="Q3" i="44"/>
  <c r="P3" i="44"/>
  <c r="O3" i="44"/>
  <c r="N3" i="44"/>
  <c r="M3" i="44"/>
  <c r="L3" i="44"/>
  <c r="K3" i="44"/>
  <c r="J3" i="44"/>
  <c r="AC2" i="44"/>
  <c r="AB2" i="44"/>
  <c r="AA2" i="44"/>
  <c r="Z2" i="44"/>
  <c r="Y2" i="44"/>
  <c r="X2" i="44"/>
  <c r="W2" i="44"/>
  <c r="V2" i="44"/>
  <c r="U2" i="44"/>
  <c r="T2" i="44"/>
  <c r="S2" i="44"/>
  <c r="R2" i="44"/>
  <c r="Q2" i="44"/>
  <c r="P2" i="44"/>
  <c r="O2" i="44"/>
  <c r="N2" i="44"/>
  <c r="M2" i="44"/>
  <c r="L2" i="44"/>
  <c r="K2" i="44"/>
  <c r="J2" i="44"/>
  <c r="AH6" i="39"/>
  <c r="AC4" i="39"/>
  <c r="AB4" i="39"/>
  <c r="AA4" i="39"/>
  <c r="Z4" i="39"/>
  <c r="Y4" i="39"/>
  <c r="X4" i="39"/>
  <c r="W4" i="39"/>
  <c r="V4" i="39"/>
  <c r="U4" i="39"/>
  <c r="T4" i="39"/>
  <c r="R4" i="39"/>
  <c r="Q4" i="39"/>
  <c r="P4" i="39"/>
  <c r="O4" i="39"/>
  <c r="N4" i="39"/>
  <c r="M4" i="39"/>
  <c r="L4" i="39"/>
  <c r="K4" i="39"/>
  <c r="J4" i="39"/>
  <c r="AC3" i="39"/>
  <c r="AB3" i="39"/>
  <c r="AA3" i="39"/>
  <c r="Z3" i="39"/>
  <c r="Y3" i="39"/>
  <c r="X3" i="39"/>
  <c r="W3" i="39"/>
  <c r="V3" i="39"/>
  <c r="U3" i="39"/>
  <c r="T3" i="39"/>
  <c r="R3" i="39"/>
  <c r="Q3" i="39"/>
  <c r="P3" i="39"/>
  <c r="O3" i="39"/>
  <c r="N3" i="39"/>
  <c r="M3" i="39"/>
  <c r="L3" i="39"/>
  <c r="K3" i="39"/>
  <c r="J3" i="39"/>
  <c r="AC2" i="39"/>
  <c r="AB2" i="39"/>
  <c r="AA2" i="39"/>
  <c r="Z2" i="39"/>
  <c r="Y2" i="39"/>
  <c r="X2" i="39"/>
  <c r="W2" i="39"/>
  <c r="V2" i="39"/>
  <c r="U2" i="39"/>
  <c r="T2" i="39"/>
  <c r="R2" i="39"/>
  <c r="Q2" i="39"/>
  <c r="P2" i="39"/>
  <c r="O2" i="39"/>
  <c r="N2" i="39"/>
  <c r="M2" i="39"/>
  <c r="L2" i="39"/>
  <c r="K2" i="39"/>
  <c r="J2" i="39"/>
  <c r="AC4" i="40"/>
  <c r="AB4" i="40"/>
  <c r="AA4" i="40"/>
  <c r="Z4" i="40"/>
  <c r="Y4" i="40"/>
  <c r="X4" i="40"/>
  <c r="W4" i="40"/>
  <c r="V4" i="40"/>
  <c r="U4" i="40"/>
  <c r="T4" i="40"/>
  <c r="S4" i="40"/>
  <c r="R4" i="40"/>
  <c r="Q4" i="40"/>
  <c r="P4" i="40"/>
  <c r="O4" i="40"/>
  <c r="N4" i="40"/>
  <c r="M4" i="40"/>
  <c r="L4" i="40"/>
  <c r="K4" i="40"/>
  <c r="J4" i="40"/>
  <c r="AC3" i="40"/>
  <c r="AB3" i="40"/>
  <c r="AA3" i="40"/>
  <c r="Z3" i="40"/>
  <c r="Y3" i="40"/>
  <c r="X3" i="40"/>
  <c r="W3" i="40"/>
  <c r="V3" i="40"/>
  <c r="U3" i="40"/>
  <c r="T3" i="40"/>
  <c r="S3" i="40"/>
  <c r="R3" i="40"/>
  <c r="Q3" i="40"/>
  <c r="P3" i="40"/>
  <c r="O3" i="40"/>
  <c r="N3" i="40"/>
  <c r="M3" i="40"/>
  <c r="L3" i="40"/>
  <c r="K3" i="40"/>
  <c r="J3" i="40"/>
  <c r="AC2" i="40"/>
  <c r="AB2" i="40"/>
  <c r="AA2" i="40"/>
  <c r="Z2" i="40"/>
  <c r="Y2" i="40"/>
  <c r="X2" i="40"/>
  <c r="W2" i="40"/>
  <c r="V2" i="40"/>
  <c r="U2" i="40"/>
  <c r="T2" i="40"/>
  <c r="S2" i="40"/>
  <c r="R2" i="40"/>
  <c r="Q2" i="40"/>
  <c r="P2" i="40"/>
  <c r="O2" i="40"/>
  <c r="N2" i="40"/>
  <c r="M2" i="40"/>
  <c r="L2" i="40"/>
  <c r="K2" i="40"/>
  <c r="J2" i="40"/>
  <c r="AH6" i="28"/>
  <c r="AC4" i="28"/>
  <c r="AB4" i="28"/>
  <c r="AA4" i="28"/>
  <c r="Z4" i="28"/>
  <c r="Y4" i="28"/>
  <c r="X4" i="28"/>
  <c r="W4" i="28"/>
  <c r="V4" i="28"/>
  <c r="U4" i="28"/>
  <c r="T4" i="28"/>
  <c r="S4" i="28"/>
  <c r="R4" i="28"/>
  <c r="Q4" i="28"/>
  <c r="P4" i="28"/>
  <c r="O4" i="28"/>
  <c r="N4" i="28"/>
  <c r="M4" i="28"/>
  <c r="L4" i="28"/>
  <c r="K4" i="28"/>
  <c r="J4" i="28"/>
  <c r="AC3" i="28"/>
  <c r="AB3" i="28"/>
  <c r="AA3" i="28"/>
  <c r="Z3" i="28"/>
  <c r="Y3" i="28"/>
  <c r="X3" i="28"/>
  <c r="W3" i="28"/>
  <c r="V3" i="28"/>
  <c r="U3" i="28"/>
  <c r="T3" i="28"/>
  <c r="S3" i="28"/>
  <c r="R3" i="28"/>
  <c r="Q3" i="28"/>
  <c r="P3" i="28"/>
  <c r="O3" i="28"/>
  <c r="N3" i="28"/>
  <c r="M3" i="28"/>
  <c r="L3" i="28"/>
  <c r="K3" i="28"/>
  <c r="J3" i="28"/>
  <c r="AC2" i="28"/>
  <c r="AB2" i="28"/>
  <c r="AA2" i="28"/>
  <c r="Z2" i="28"/>
  <c r="Y2" i="28"/>
  <c r="X2" i="28"/>
  <c r="W2" i="28"/>
  <c r="V2" i="28"/>
  <c r="U2" i="28"/>
  <c r="T2" i="28"/>
  <c r="S2" i="28"/>
  <c r="R2" i="28"/>
  <c r="Q2" i="28"/>
  <c r="P2" i="28"/>
  <c r="O2" i="28"/>
  <c r="N2" i="28"/>
  <c r="M2" i="28"/>
  <c r="L2" i="28"/>
  <c r="K2" i="28"/>
  <c r="J2" i="28"/>
  <c r="AH6" i="43"/>
  <c r="AC4" i="43"/>
  <c r="AB4" i="43"/>
  <c r="AA4" i="43"/>
  <c r="Z4" i="43"/>
  <c r="Y4" i="43"/>
  <c r="X4" i="43"/>
  <c r="W4" i="43"/>
  <c r="V4" i="43"/>
  <c r="U4" i="43"/>
  <c r="T4" i="43"/>
  <c r="S4" i="43"/>
  <c r="R4" i="43"/>
  <c r="Q4" i="43"/>
  <c r="P4" i="43"/>
  <c r="O4" i="43"/>
  <c r="N4" i="43"/>
  <c r="M4" i="43"/>
  <c r="L4" i="43"/>
  <c r="K4" i="43"/>
  <c r="J4" i="43"/>
  <c r="AC3" i="43"/>
  <c r="AB3" i="43"/>
  <c r="AA3" i="43"/>
  <c r="Z3" i="43"/>
  <c r="Y3" i="43"/>
  <c r="X3" i="43"/>
  <c r="W3" i="43"/>
  <c r="V3" i="43"/>
  <c r="U3" i="43"/>
  <c r="T3" i="43"/>
  <c r="S3" i="43"/>
  <c r="R3" i="43"/>
  <c r="Q3" i="43"/>
  <c r="P3" i="43"/>
  <c r="O3" i="43"/>
  <c r="N3" i="43"/>
  <c r="M3" i="43"/>
  <c r="L3" i="43"/>
  <c r="K3" i="43"/>
  <c r="J3" i="43"/>
  <c r="AC2" i="43"/>
  <c r="AB2" i="43"/>
  <c r="AA2" i="43"/>
  <c r="Z2" i="43"/>
  <c r="Y2" i="43"/>
  <c r="X2" i="43"/>
  <c r="W2" i="43"/>
  <c r="V2" i="43"/>
  <c r="U2" i="43"/>
  <c r="T2" i="43"/>
  <c r="S2" i="43"/>
  <c r="R2" i="43"/>
  <c r="Q2" i="43"/>
  <c r="P2" i="43"/>
  <c r="O2" i="43"/>
  <c r="N2" i="43"/>
  <c r="M2" i="43"/>
  <c r="L2" i="43"/>
  <c r="K2" i="43"/>
  <c r="J2" i="43"/>
  <c r="AH6" i="41"/>
  <c r="AC4" i="41"/>
  <c r="AB4" i="41"/>
  <c r="AA4" i="41"/>
  <c r="Z4" i="41"/>
  <c r="Y4" i="41"/>
  <c r="X4" i="41"/>
  <c r="W4" i="41"/>
  <c r="V4" i="41"/>
  <c r="U4" i="41"/>
  <c r="T4" i="41"/>
  <c r="S4" i="41"/>
  <c r="R4" i="41"/>
  <c r="Q4" i="41"/>
  <c r="P4" i="41"/>
  <c r="O4" i="41"/>
  <c r="N4" i="41"/>
  <c r="M4" i="41"/>
  <c r="L4" i="41"/>
  <c r="K4" i="41"/>
  <c r="J4" i="41"/>
  <c r="AC3" i="41"/>
  <c r="AB3" i="41"/>
  <c r="AA3" i="41"/>
  <c r="Z3" i="41"/>
  <c r="Y3" i="41"/>
  <c r="X3" i="41"/>
  <c r="W3" i="41"/>
  <c r="V3" i="41"/>
  <c r="U3" i="41"/>
  <c r="T3" i="41"/>
  <c r="S3" i="41"/>
  <c r="R3" i="41"/>
  <c r="Q3" i="41"/>
  <c r="P3" i="41"/>
  <c r="O3" i="41"/>
  <c r="N3" i="41"/>
  <c r="M3" i="41"/>
  <c r="L3" i="41"/>
  <c r="K3" i="41"/>
  <c r="J3" i="41"/>
  <c r="AC2" i="41"/>
  <c r="AB2" i="41"/>
  <c r="AA2" i="41"/>
  <c r="Z2" i="41"/>
  <c r="Y2" i="41"/>
  <c r="X2" i="41"/>
  <c r="W2" i="41"/>
  <c r="V2" i="41"/>
  <c r="U2" i="41"/>
  <c r="T2" i="41"/>
  <c r="S2" i="41"/>
  <c r="R2" i="41"/>
  <c r="Q2" i="41"/>
  <c r="P2" i="41"/>
  <c r="O2" i="41"/>
  <c r="N2" i="41"/>
  <c r="M2" i="41"/>
  <c r="L2" i="41"/>
  <c r="K2" i="41"/>
  <c r="J2" i="41"/>
  <c r="AH6" i="50"/>
  <c r="AC4" i="50"/>
  <c r="AB4" i="50"/>
  <c r="AA4" i="50"/>
  <c r="Z4" i="50"/>
  <c r="Y4" i="50"/>
  <c r="X4" i="50"/>
  <c r="W4" i="50"/>
  <c r="V4" i="50"/>
  <c r="U4" i="50"/>
  <c r="T4" i="50"/>
  <c r="S4" i="50"/>
  <c r="R4" i="50"/>
  <c r="Q4" i="50"/>
  <c r="P4" i="50"/>
  <c r="O4" i="50"/>
  <c r="N4" i="50"/>
  <c r="M4" i="50"/>
  <c r="L4" i="50"/>
  <c r="K4" i="50"/>
  <c r="J4" i="50"/>
  <c r="AC3" i="50"/>
  <c r="AB3" i="50"/>
  <c r="AA3" i="50"/>
  <c r="Z3" i="50"/>
  <c r="Y3" i="50"/>
  <c r="X3" i="50"/>
  <c r="W3" i="50"/>
  <c r="V3" i="50"/>
  <c r="U3" i="50"/>
  <c r="T3" i="50"/>
  <c r="S3" i="50"/>
  <c r="R3" i="50"/>
  <c r="Q3" i="50"/>
  <c r="P3" i="50"/>
  <c r="O3" i="50"/>
  <c r="N3" i="50"/>
  <c r="M3" i="50"/>
  <c r="L3" i="50"/>
  <c r="K3" i="50"/>
  <c r="J3" i="50"/>
  <c r="AC2" i="50"/>
  <c r="AB2" i="50"/>
  <c r="AA2" i="50"/>
  <c r="Z2" i="50"/>
  <c r="Y2" i="50"/>
  <c r="X2" i="50"/>
  <c r="W2" i="50"/>
  <c r="V2" i="50"/>
  <c r="U2" i="50"/>
  <c r="T2" i="50"/>
  <c r="S2" i="50"/>
  <c r="R2" i="50"/>
  <c r="Q2" i="50"/>
  <c r="P2" i="50"/>
  <c r="O2" i="50"/>
  <c r="N2" i="50"/>
  <c r="M2" i="50"/>
  <c r="L2" i="50"/>
  <c r="K2" i="50"/>
  <c r="J2" i="50"/>
  <c r="AH6" i="40" a="1"/>
  <c r="AH6" i="4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tc={0C492460-B9DD-441E-A34C-2D4127E52720}</author>
    <author>tc={08D2AD1A-E8C0-49C1-AE3E-209B9483BE72}</author>
  </authors>
  <commentList>
    <comment ref="B46" authorId="0" shapeId="0" xr:uid="{0C492460-B9DD-441E-A34C-2D4127E52720}">
      <text>
        <t>[线程批注]
你的Excel版本可读取此线程批注; 但如果在更新版本的Excel中打开文件，则对批注所作的任何改动都将被删除。了解详细信息: https://go.microsoft.com/fwlink/?linkid=870924
注释:
    DE BESPAARPARTNER</t>
      </text>
    </comment>
    <comment ref="B59" authorId="1" shapeId="0" xr:uid="{08D2AD1A-E8C0-49C1-AE3E-209B9483BE72}">
      <text>
        <t>[线程批注]
你的Excel版本可读取此线程批注; 但如果在更新版本的Excel中打开文件，则对批注所作的任何改动都将被删除。了解详细信息: https://go.microsoft.com/fwlink/?linkid=870924
注释:
    NEW PARTNER:  SOLAR GROOTHANDEL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Josef Max Seidemann</author>
    <author>tc={2B922C6E-D28A-45CD-BE48-7CE2E9C4126E}</author>
  </authors>
  <commentList>
    <comment ref="B11" authorId="0" shapeId="0" xr:uid="{863F9F64-4978-475D-BBF9-6F6E4E035415}">
      <text>
        <r>
          <rPr>
            <sz val="11"/>
            <color theme="1"/>
            <rFont val="宋体"/>
            <family val="2"/>
            <scheme val="minor"/>
          </rPr>
          <t>Christian Josef Max Seidemann:
Distributor</t>
        </r>
      </text>
    </comment>
    <comment ref="F62" authorId="1" shapeId="0" xr:uid="{2B922C6E-D28A-45CD-BE48-7CE2E9C4126E}">
      <text>
        <t xml:space="preserve">[线程批注]
你的Excel版本可读取此线程批注; 但如果在更新版本的Excel中打开文件，则对批注所作的任何改动都将被删除。了解详细信息: https://go.microsoft.com/fwlink/?linkid=870924
[Tasks]
无法在您的客户端中查看锚定到此评论的任务。
注释:
    @Antoine Lefresne peux tu confirmer si beosin de 500 CFP 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Josef Max Seidemann</author>
    <author>tc={B8C7B36D-45F8-42CF-828A-8B7753D8BA34}</author>
  </authors>
  <commentList>
    <comment ref="B23" authorId="0" shapeId="0" xr:uid="{55B0C09C-9965-428F-BD30-D3ED1CA532EF}">
      <text>
        <r>
          <rPr>
            <sz val="11"/>
            <color theme="1"/>
            <rFont val="宋体"/>
            <family val="2"/>
            <scheme val="minor"/>
          </rPr>
          <t>Christian Josef Max Seidemann:
Distributor</t>
        </r>
      </text>
    </comment>
    <comment ref="O28" authorId="1" shapeId="0" xr:uid="{B8C7B36D-45F8-42CF-828A-8B7753D8BA34}">
      <text>
        <t>[线程批注]
你的Excel版本可读取此线程批注; 但如果在更新版本的Excel中打开文件，则对批注所作的任何改动都将被删除。了解详细信息: https://go.microsoft.com/fwlink/?linkid=870924
注释:
    postponed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Josef Max Seidemann</author>
    <author>tc={DCCB707D-E1A6-4C96-B1C9-D362C6F78B8A}</author>
  </authors>
  <commentList>
    <comment ref="B23" authorId="0" shapeId="0" xr:uid="{8A9EF5B0-2839-40A5-89C3-CCD175AAC66B}">
      <text>
        <r>
          <rPr>
            <sz val="11"/>
            <color theme="1"/>
            <rFont val="宋体"/>
            <family val="2"/>
            <scheme val="minor"/>
          </rPr>
          <t>Christian Josef Max Seidemann:
Distributor</t>
        </r>
      </text>
    </comment>
    <comment ref="N28" authorId="1" shapeId="0" xr:uid="{DCCB707D-E1A6-4C96-B1C9-D362C6F78B8A}">
      <text>
        <t>[线程批注]
你的Excel版本可读取此线程批注; 但如果在更新版本的Excel中打开文件，则对批注所作的任何改动都将被删除。了解详细信息: https://go.microsoft.com/fwlink/?linkid=870924
注释:
    postponed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tc={79B2CD4E-2DA3-4D46-9527-6BCC52E9C9F4}</author>
    <author>tc={4F09A4EA-1CC4-4C41-BA65-B69589EE6A91}</author>
  </authors>
  <commentList>
    <comment ref="B31" authorId="0" shapeId="0" xr:uid="{79B2CD4E-2DA3-4D46-9527-6BCC52E9C9F4}">
      <text>
        <t>[线程批注]
你的Excel版本可读取此线程批注; 但如果在更新版本的Excel中打开文件，则对批注所作的任何改动都将被删除。了解详细信息: https://go.microsoft.com/fwlink/?linkid=870924
[Tasks]
无法在您的客户端中查看锚定到此评论的任务。
注释:
    @Andreas Kauls Is it correct that you used 2 different Entities for Kühn?</t>
      </text>
    </comment>
    <comment ref="L60" authorId="1" shapeId="0" xr:uid="{4F09A4EA-1CC4-4C41-BA65-B69589EE6A91}">
      <text>
        <t>[线程批注]
你的Excel版本可读取此线程批注; 但如果在更新版本的Excel中打开文件，则对批注所作的任何改动都将被删除。了解详细信息: https://go.microsoft.com/fwlink/?linkid=870924
注释:
    @Matthias Doering  Neues BC wird im Juli und August nicht verfügbar sein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tc={CAF2BE62-7E70-4A92-AAAE-2AC5D87BBAE9}</author>
    <author>tc={26DA10D2-E514-4714-A0D1-55DBC8097DAE}</author>
  </authors>
  <commentList>
    <comment ref="B31" authorId="0" shapeId="0" xr:uid="{CAF2BE62-7E70-4A92-AAAE-2AC5D87BBAE9}">
      <text>
        <t>[线程批注]
你的Excel版本可读取此线程批注; 但如果在更新版本的Excel中打开文件，则对批注所作的任何改动都将被删除。了解详细信息: https://go.microsoft.com/fwlink/?linkid=870924
[Tasks]
无法在您的客户端中查看锚定到此评论的任务。
注释:
    @Andreas Kauls Is it correct that you used 2 different Entities for Kühn?</t>
      </text>
    </comment>
    <comment ref="M60" authorId="1" shapeId="0" xr:uid="{26DA10D2-E514-4714-A0D1-55DBC8097DAE}">
      <text>
        <t>[线程批注]
你的Excel版本可读取此线程批注; 但如果在更新版本的Excel中打开文件，则对批注所作的任何改动都将被删除。了解详细信息: https://go.microsoft.com/fwlink/?linkid=870924
注释:
    @Matthias Doering  Neues BC wird im Juli und August nicht verfügbar sein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tc={C8849CFE-63CD-4C3A-B2B9-A8D6A15C28D1}</author>
  </authors>
  <commentList>
    <comment ref="F5" authorId="0" shapeId="0" xr:uid="{C8849CFE-63CD-4C3A-B2B9-A8D6A15C28D1}">
      <text>
        <t>[线程批注]
你的Excel版本可读取此线程批注; 但如果在更新版本的Excel中打开文件，则对批注所作的任何改动都将被删除。了解详细信息: https://go.microsoft.com/fwlink/?linkid=870924
注释:
    @Arleen Hu 胡斯雅 please do additional column for X5 and W10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tc={9135E6CF-1106-4EB3-A7B3-8402FB5E2674}</author>
    <author>tc={BA74BEE0-E63D-46E8-B222-FC52142F4812}</author>
  </authors>
  <commentList>
    <comment ref="B46" authorId="0" shapeId="0" xr:uid="{9135E6CF-1106-4EB3-A7B3-8402FB5E2674}">
      <text>
        <t>[线程批注]
你的Excel版本可读取此线程批注; 但如果在更新版本的Excel中打开文件，则对批注所作的任何改动都将被删除。了解详细信息: https://go.microsoft.com/fwlink/?linkid=870924
注释:
    DE BESPAARPARTNER</t>
      </text>
    </comment>
    <comment ref="B59" authorId="1" shapeId="0" xr:uid="{BA74BEE0-E63D-46E8-B222-FC52142F4812}">
      <text>
        <t>[线程批注]
你的Excel版本可读取此线程批注; 但如果在更新版本的Excel中打开文件，则对批注所作的任何改动都将被删除。了解详细信息: https://go.microsoft.com/fwlink/?linkid=870924
注释:
    NEW PARTNER:  SOLAR GROOTHANDEL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Josef Max Seidemann</author>
    <author>tc={1B89BF32-7C1E-4838-8776-61B20B62A132}</author>
  </authors>
  <commentList>
    <comment ref="B11" authorId="0" shapeId="0" xr:uid="{37E2C1FB-481E-4F4E-BCBF-0AB5A67ED195}">
      <text>
        <r>
          <rPr>
            <sz val="11"/>
            <color theme="1"/>
            <rFont val="宋体"/>
            <family val="2"/>
            <scheme val="minor"/>
          </rPr>
          <t>Christian Josef Max Seidemann:
Distributor</t>
        </r>
      </text>
    </comment>
    <comment ref="E62" authorId="1" shapeId="0" xr:uid="{1B89BF32-7C1E-4838-8776-61B20B62A132}">
      <text>
        <t xml:space="preserve">[线程批注]
你的Excel版本可读取此线程批注; 但如果在更新版本的Excel中打开文件，则对批注所作的任何改动都将被删除。了解详细信息: https://go.microsoft.com/fwlink/?linkid=870924
[Tasks]
无法在您的客户端中查看锚定到此评论的任务。
注释:
    @Antoine Lefresne peux tu confirmer si beosin de 500 CFP 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6C57784-E4F6-48DA-92E7-FD6C6BCA6B60}" keepAlive="1" name="Query - BE_NL" description="Connection to the 'BE_NL' query in the workbook." type="5" refreshedVersion="0" background="1">
    <dbPr connection="Provider=Microsoft.Mashup.OleDb.1;Data Source=$Workbook$;Location=BE_NL;Extended Properties=&quot;&quot;" command="SELECT * FROM [BE_NL]"/>
  </connection>
  <connection id="2" xr16:uid="{9FF0C794-A732-4D01-84F0-5232F5B8A04D}" keepAlive="1" name="Query - Conso_FCST" description="Connection to the 'Conso_FCST' query in the workbook." type="5" refreshedVersion="8" background="1" saveData="1">
    <dbPr connection="Provider=Microsoft.Mashup.OleDb.1;Data Source=$Workbook$;Location=Conso_FCST;Extended Properties=&quot;&quot;" command="SELECT * FROM [Conso_FCST]"/>
  </connection>
  <connection id="3" xr16:uid="{A668956A-7AB4-4D86-8235-AC3AA05C98C7}" keepAlive="1" name="Query - DE_AT" description="Connection to the 'DE_AT' query in the workbook." type="5" refreshedVersion="0" background="1">
    <dbPr connection="Provider=Microsoft.Mashup.OleDb.1;Data Source=$Workbook$;Location=DE_AT;Extended Properties=&quot;&quot;" command="SELECT * FROM [DE_AT]"/>
  </connection>
  <connection id="4" xr16:uid="{8A7AD668-915B-4BC1-9437-C12DF8DB16BC}" keepAlive="1" name="Query - EM" description="Connection to the 'EM' query in the workbook." type="5" refreshedVersion="0" background="1">
    <dbPr connection="Provider=Microsoft.Mashup.OleDb.1;Data Source=$Workbook$;Location=EM;Extended Properties=&quot;&quot;" command="SELECT * FROM [EM]"/>
  </connection>
  <connection id="5" xr16:uid="{DB70BFAC-7549-4230-8502-F80DDA1FD40D}" keepAlive="1" name="Query - ES" description="Connection to the 'ES' query in the workbook." type="5" refreshedVersion="0" background="1">
    <dbPr connection="Provider=Microsoft.Mashup.OleDb.1;Data Source=$Workbook$;Location=ES;Extended Properties=&quot;&quot;" command="SELECT * FROM [ES]"/>
  </connection>
  <connection id="6" xr16:uid="{37395D86-B012-4A4D-94CC-FB2A2DE9431E}" keepAlive="1" name="Query - Fcst Accuracy data" description="Connection to the 'Fcst Accuracy data' query in the workbook." type="5" refreshedVersion="8" background="1" saveData="1">
    <dbPr connection="Provider=Microsoft.Mashup.OleDb.1;Data Source=$Workbook$;Location=&quot;Fcst Accuracy data&quot;;Extended Properties=&quot;&quot;" command="SELECT * FROM [Fcst Accuracy data]"/>
  </connection>
  <connection id="7" xr16:uid="{3C2D0777-2E27-440F-B303-0E465ED4B931}" keepAlive="1" name="Query - FR_CH" description="Connection to the 'FR_CH' query in the workbook." type="5" refreshedVersion="0" background="1">
    <dbPr connection="Provider=Microsoft.Mashup.OleDb.1;Data Source=$Workbook$;Location=FR_CH;Extended Properties=&quot;&quot;" command="SELECT * FROM [FR_CH]"/>
  </connection>
  <connection id="8" xr16:uid="{19A7E555-33B4-4238-A9F6-7DB2C5537DE6}" keepAlive="1" name="Query - IT" description="Connection to the 'IT' query in the workbook." type="5" refreshedVersion="0" background="1" saveData="1">
    <dbPr connection="Provider=Microsoft.Mashup.OleDb.1;Data Source=$Workbook$;Location=IT;Extended Properties=&quot;&quot;" command="SELECT * FROM [IT]"/>
  </connection>
  <connection id="9" xr16:uid="{87546FBE-ADE0-463E-A1E5-7B843CCDFC60}" keepAlive="1" name="Query - Nordics" description="Connection to the 'Nordics' query in the workbook." type="5" refreshedVersion="8" background="1" saveData="1">
    <dbPr connection="Provider=Microsoft.Mashup.OleDb.1;Data Source=$Workbook$;Location=Nordics;Extended Properties=&quot;&quot;" command="SELECT * FROM [Nordics]"/>
  </connection>
  <connection id="10" xr16:uid="{92199E4F-5C99-4316-B105-DAD26D86730E}" keepAlive="1" name="Query - Sales Team" description="Connection to the 'Sales Team' query in the workbook." type="5" refreshedVersion="8" background="1" saveData="1">
    <dbPr connection="Provider=Microsoft.Mashup.OleDb.1;Data Source=$Workbook$;Location=&quot;Sales Team&quot;;Extended Properties=&quot;&quot;" command="SELECT * FROM [Sales Team]"/>
  </connection>
  <connection id="11" xr16:uid="{50A66AE7-E67D-4BA2-B1F0-4BBFA574D51C}" keepAlive="1" name="Query - Stage" description="Connection to the 'Stage' query in the workbook." type="5" refreshedVersion="0" background="1" saveData="1">
    <dbPr connection="Provider=Microsoft.Mashup.OleDb.1;Data Source=$Workbook$;Location=Stage;Extended Properties=&quot;&quot;" command="SELECT * FROM [Stage]"/>
  </connection>
  <connection id="12" xr16:uid="{43E7D896-5DA5-4570-B81A-1166F1C5FEE7}" keepAlive="1" name="Query - UK_NO" description="Connection to the 'UK_NO' query in the workbook." type="5" refreshedVersion="0" background="1">
    <dbPr connection="Provider=Microsoft.Mashup.OleDb.1;Data Source=$Workbook$;Location=UK_NO;Extended Properties=&quot;&quot;" command="SELECT * FROM [UK_NO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<sst xmlns="http://schemas.openxmlformats.org/spreadsheetml/2006/main" count="14905" uniqueCount="1248">
  <si>
    <t>below Pivot keep for Arleen</t>
  </si>
  <si>
    <t>Customer name</t>
  </si>
  <si>
    <t>(全部)</t>
  </si>
  <si>
    <t>Product Line</t>
  </si>
  <si>
    <t>(多项)</t>
  </si>
  <si>
    <t>Stage</t>
  </si>
  <si>
    <t>行标签</t>
  </si>
  <si>
    <t>Sum of 26M04</t>
  </si>
  <si>
    <t>Sum of 26M05</t>
  </si>
  <si>
    <t>Sum of 26M06</t>
  </si>
  <si>
    <t>求和项:26M07</t>
  </si>
  <si>
    <t>求和项:26M08</t>
  </si>
  <si>
    <t>求和项:26M09</t>
  </si>
  <si>
    <t>求和项:26M10</t>
  </si>
  <si>
    <t>求和项:26M11</t>
  </si>
  <si>
    <t>求和项:26M12</t>
  </si>
  <si>
    <t>Benelux Region</t>
  </si>
  <si>
    <t>Central and Eastern Europe Region</t>
  </si>
  <si>
    <t>France and Switzerland Region</t>
  </si>
  <si>
    <t>DACH Region</t>
  </si>
  <si>
    <t>Italy Region</t>
  </si>
  <si>
    <t>Southern Europe Region</t>
  </si>
  <si>
    <t>Nordics Region</t>
  </si>
  <si>
    <t>UK Region</t>
  </si>
  <si>
    <t>#N/A</t>
  </si>
  <si>
    <t>总计</t>
  </si>
  <si>
    <t>Product Category</t>
  </si>
  <si>
    <t>ESS</t>
  </si>
  <si>
    <t>Model name</t>
  </si>
  <si>
    <t>Spain</t>
  </si>
  <si>
    <t>France</t>
  </si>
  <si>
    <t>Italy</t>
  </si>
  <si>
    <t>Germany</t>
  </si>
  <si>
    <t>Energy+</t>
  </si>
  <si>
    <t>26M10</t>
  </si>
  <si>
    <t>26 M11</t>
  </si>
  <si>
    <t>26M12</t>
  </si>
  <si>
    <t>Grand Total</t>
  </si>
  <si>
    <t>Heat_Pump</t>
  </si>
  <si>
    <t>Nordics</t>
  </si>
  <si>
    <t>Heat Pump</t>
  </si>
  <si>
    <t>26M07</t>
    <phoneticPr fontId="65" type="noConversion"/>
  </si>
  <si>
    <t>26 M08</t>
    <phoneticPr fontId="65" type="noConversion"/>
  </si>
  <si>
    <t>26M09</t>
    <phoneticPr fontId="65" type="noConversion"/>
  </si>
  <si>
    <t>below Pivot keep for Julia</t>
  </si>
  <si>
    <t>Country</t>
  </si>
  <si>
    <t>BlueArk X5-50K-100</t>
  </si>
  <si>
    <t>France 汇总</t>
  </si>
  <si>
    <t>Italy 汇总</t>
  </si>
  <si>
    <t>Nordic</t>
  </si>
  <si>
    <t>BlueArk W10-125K-261</t>
  </si>
  <si>
    <t>Nordic 汇总</t>
  </si>
  <si>
    <t>Spain 汇总</t>
  </si>
  <si>
    <t>below Pivot keep for Nan</t>
  </si>
  <si>
    <t>TCL_T_Class</t>
  </si>
  <si>
    <t>BeNeLux</t>
  </si>
  <si>
    <t>UK</t>
  </si>
  <si>
    <t>C&amp;E EU</t>
  </si>
  <si>
    <t>1P 10KW 1*5KWH</t>
  </si>
  <si>
    <t>1P 6KW 1*5KWH</t>
  </si>
  <si>
    <t>1P 8KW 1*5KWH</t>
  </si>
  <si>
    <t>3P 10KW 2*5KWH</t>
  </si>
  <si>
    <t>3P 13KW 2*5KWH</t>
  </si>
  <si>
    <t>addtl 5KWH BAT</t>
  </si>
  <si>
    <t>1P 6kW 2*5kWh</t>
  </si>
  <si>
    <t>1P 10kW 2*5kWh</t>
  </si>
  <si>
    <t>Sales Team.Region</t>
  </si>
  <si>
    <t>Attribute</t>
  </si>
  <si>
    <t>Fcst unweighted</t>
  </si>
  <si>
    <t>Fcst weighted</t>
  </si>
  <si>
    <t>PV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</si>
  <si>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</si>
  <si>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</si>
  <si>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</si>
  <si>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</si>
  <si>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</si>
  <si>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</si>
  <si>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</si>
  <si>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</si>
  <si>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</si>
  <si>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Belgium</t>
  </si>
  <si>
    <t>Croatia</t>
  </si>
  <si>
    <t>Cyprus</t>
  </si>
  <si>
    <t>Greece</t>
  </si>
  <si>
    <t>Hungary</t>
  </si>
  <si>
    <t>Lithuania</t>
  </si>
  <si>
    <t>Netherlands</t>
  </si>
  <si>
    <t>HP</t>
  </si>
  <si>
    <t>Poland</t>
  </si>
  <si>
    <t>Romania</t>
  </si>
  <si>
    <t>Serbia</t>
  </si>
  <si>
    <t>italy</t>
  </si>
  <si>
    <t>RSM</t>
  </si>
  <si>
    <t>Comments (Deal Breaker, spec/requirements, etc)</t>
  </si>
  <si>
    <t>Supply Chain</t>
  </si>
  <si>
    <t>26M04</t>
  </si>
  <si>
    <t>26M05</t>
  </si>
  <si>
    <t>26M06</t>
  </si>
  <si>
    <t>26M07</t>
  </si>
  <si>
    <t>26M08</t>
  </si>
  <si>
    <t>26M09</t>
  </si>
  <si>
    <t>26M11</t>
  </si>
  <si>
    <t>27M01</t>
  </si>
  <si>
    <t>27M02</t>
  </si>
  <si>
    <t>27M03</t>
  </si>
  <si>
    <t>27M04</t>
  </si>
  <si>
    <t>27M05</t>
  </si>
  <si>
    <t>27M06</t>
  </si>
  <si>
    <t>Region</t>
  </si>
  <si>
    <t>Sales Team</t>
  </si>
  <si>
    <t>Product Conso</t>
  </si>
  <si>
    <t>Solarmarkt</t>
  </si>
  <si>
    <t>Manu</t>
  </si>
  <si>
    <t>TCL_C2_Series</t>
  </si>
  <si>
    <t>HSM-BE54-JD485/490</t>
  </si>
  <si>
    <t>2 - Initial offer</t>
  </si>
  <si>
    <t xml:space="preserve">Amarenco // CFP, 470W, CFP PPE2 V1&lt;550 // </t>
  </si>
  <si>
    <t>EU</t>
  </si>
  <si>
    <t>SPR_P7</t>
  </si>
  <si>
    <t>P7-BLK-2mm-460</t>
  </si>
  <si>
    <t>5 - Finalize contract</t>
  </si>
  <si>
    <t>HSM-ND54-DR500</t>
  </si>
  <si>
    <t>Solexis</t>
  </si>
  <si>
    <t>P7-BLK-P-510</t>
  </si>
  <si>
    <t>Austria</t>
  </si>
  <si>
    <t>Wien Energie</t>
  </si>
  <si>
    <t>HSM-ND66-GK725</t>
  </si>
  <si>
    <t>ECOSTAL SPRL</t>
  </si>
  <si>
    <t>Romain</t>
  </si>
  <si>
    <t>HSM-ND48-DR450</t>
  </si>
  <si>
    <t>7 - Booked</t>
  </si>
  <si>
    <t>BOOKED</t>
  </si>
  <si>
    <t>Offshore</t>
  </si>
  <si>
    <t>bvba BeliVert</t>
  </si>
  <si>
    <t>SPR_BC</t>
  </si>
  <si>
    <t>SPR-BE54-HD490/495</t>
  </si>
  <si>
    <t>3 - Negotiation</t>
  </si>
  <si>
    <t>SOLARPRO BVBA</t>
  </si>
  <si>
    <t>Regis</t>
  </si>
  <si>
    <t>SOLARPRO</t>
  </si>
  <si>
    <t>Reno.Energy SA</t>
  </si>
  <si>
    <t>ESS_TCL_CI</t>
  </si>
  <si>
    <t>AWAITING FEEDBACK NEW ASP</t>
  </si>
  <si>
    <t>RENA SOLAR &amp; CHARGE</t>
  </si>
  <si>
    <t>Neopower</t>
  </si>
  <si>
    <t>P7-BLK-2mm-455</t>
  </si>
  <si>
    <t>AWAITING ORDER</t>
  </si>
  <si>
    <t>ENR Lux</t>
  </si>
  <si>
    <t>MR group</t>
  </si>
  <si>
    <t>TCL_T5_Pro</t>
  </si>
  <si>
    <t>HSM-NT60-GH 580/585</t>
  </si>
  <si>
    <t>AWAITING FORECAST</t>
  </si>
  <si>
    <t>HSM-NT48-HH 465/470-Black</t>
  </si>
  <si>
    <t>HSM-BE54-HD485/490</t>
  </si>
  <si>
    <t>4 - BAFO</t>
  </si>
  <si>
    <t>HSM-NT66-GH 640/645</t>
  </si>
  <si>
    <t>6 - Won</t>
  </si>
  <si>
    <t>WON</t>
  </si>
  <si>
    <t>SOLAR DEPOT SARL.</t>
  </si>
  <si>
    <t>HSM-ND48-DR455</t>
  </si>
  <si>
    <t>HSM-ND54-DR505</t>
  </si>
  <si>
    <t>Q1 PROJECT</t>
  </si>
  <si>
    <t>offshore</t>
  </si>
  <si>
    <t>H1-2026</t>
  </si>
  <si>
    <t>Bulgaria</t>
  </si>
  <si>
    <t>New customer</t>
  </si>
  <si>
    <t>HSM-ND66-GR625</t>
  </si>
  <si>
    <t>2 containers CIF Thessaloniki</t>
  </si>
  <si>
    <t>Mobis</t>
  </si>
  <si>
    <t xml:space="preserve"> FCA RTD, 3 containers</t>
  </si>
  <si>
    <t>HSM-ND66-GR620</t>
  </si>
  <si>
    <t>4,9MW (11 containers) CIF Rijeka</t>
  </si>
  <si>
    <t>Dracoudis</t>
  </si>
  <si>
    <t>3 containers CIF Limassol</t>
  </si>
  <si>
    <t>Czech Republic</t>
  </si>
  <si>
    <t>Spark Invest</t>
  </si>
  <si>
    <t>5MW / delivered to Europe Q3</t>
  </si>
  <si>
    <t>Solsol</t>
  </si>
  <si>
    <t>130MW of 720W - delivery Q3-Q4 price sensitive tender-low probablity</t>
  </si>
  <si>
    <t>Krannich</t>
  </si>
  <si>
    <t>P7-BLK-P-515</t>
  </si>
  <si>
    <t xml:space="preserve">1,8MW CIP Czech Rep. - lower probablity as requested TCL, not Sunpower </t>
  </si>
  <si>
    <t>HSM-BD66-GR650/655</t>
  </si>
  <si>
    <t>128MW of 650/655</t>
  </si>
  <si>
    <t>44MW of 720W ? one power bin only allowed</t>
  </si>
  <si>
    <t>Richardson</t>
  </si>
  <si>
    <t>Antoine</t>
  </si>
  <si>
    <t>HSM-NT48-JH 470/475 CFP-White</t>
  </si>
  <si>
    <t>Voltaneo</t>
  </si>
  <si>
    <t>NED</t>
  </si>
  <si>
    <t>ISOSSUN</t>
  </si>
  <si>
    <t>Courant Naturel</t>
  </si>
  <si>
    <t>Cedric</t>
  </si>
  <si>
    <t>HSM-ND48-DR455-CFP</t>
  </si>
  <si>
    <t>Lamazouade</t>
  </si>
  <si>
    <t xml:space="preserve">HSM-NT48-GH 470/475 CFP-White </t>
  </si>
  <si>
    <t>LAMAZOUADE // CFP // 465Wp/470Wp // Need BIF for 1.5MW</t>
  </si>
  <si>
    <t>ESS_SPR_Gen2</t>
  </si>
  <si>
    <t>Ecostal</t>
  </si>
  <si>
    <t>APPROSUD ENVIRONNEMENT</t>
  </si>
  <si>
    <t>LARIVIERE</t>
  </si>
  <si>
    <t>HSM-ND48-DR450-CFP</t>
  </si>
  <si>
    <t>HSM-ND54-DR500-CFP</t>
  </si>
  <si>
    <t>New Customer / Balance of others customers FR</t>
  </si>
  <si>
    <t>Cedric / Systeko</t>
  </si>
  <si>
    <t>HSM-NT66-GH 645/650 CFP</t>
  </si>
  <si>
    <t>SUNZIL // CFP // Price point 0,115€/Wc</t>
  </si>
  <si>
    <t>Seb / GreenPower</t>
  </si>
  <si>
    <t>HSM-BE54-JD485/490-CFP</t>
  </si>
  <si>
    <t xml:space="preserve">WeWise // CFP // 470Wp/475Wp, CFP </t>
  </si>
  <si>
    <t>Seb / Synapsun</t>
  </si>
  <si>
    <t>divers</t>
  </si>
  <si>
    <t>Romain / Solstice HD</t>
  </si>
  <si>
    <t>1 - Lead qualification</t>
  </si>
  <si>
    <t>Patrice / LTE</t>
  </si>
  <si>
    <t>Julien / Rolhion</t>
  </si>
  <si>
    <t>Cedric / Gallium</t>
  </si>
  <si>
    <t>Dubecq et Fils Sarl</t>
  </si>
  <si>
    <t>Sebastien/ Mexens Q2 27</t>
  </si>
  <si>
    <t xml:space="preserve">Sebastien/ GreenYellow </t>
  </si>
  <si>
    <t>Patrice / Tokeim</t>
  </si>
  <si>
    <t>Patrice / Solair3tech</t>
  </si>
  <si>
    <t>Patrice / LTDS unit</t>
  </si>
  <si>
    <t>Cedric / AgriSolarPv</t>
  </si>
  <si>
    <t>Maisolia</t>
  </si>
  <si>
    <t>Seb / Reden</t>
  </si>
  <si>
    <t xml:space="preserve">GreenYellow // CFP // 470Wp BIF, CFP </t>
  </si>
  <si>
    <t>Seb / Ineo Equans</t>
  </si>
  <si>
    <t>WEGREEN // CFP // 465Wp/470Wp</t>
  </si>
  <si>
    <t>1P 6kW 1*5kWh</t>
  </si>
  <si>
    <t>6 - Finalize contract</t>
  </si>
  <si>
    <t>P7-COM-S CFP</t>
  </si>
  <si>
    <t>VIVARAIS ENERGIES SARL</t>
  </si>
  <si>
    <t>REXEL FRANCE SAS</t>
  </si>
  <si>
    <t>3P 13kW 2*5kWh</t>
  </si>
  <si>
    <t>3P 10kW 2*5kWh</t>
  </si>
  <si>
    <t>1P 10kW 1*5kWh</t>
  </si>
  <si>
    <t>MAISOLIA</t>
  </si>
  <si>
    <t>Seb / BayWa</t>
  </si>
  <si>
    <t xml:space="preserve">Corsicasole // CFP, 490W/495W//500W, CFP PPE2 V1&lt;474// </t>
  </si>
  <si>
    <t>Seb / WeWise</t>
  </si>
  <si>
    <t>Phenix Solar // CFP // 470Wp/475Wp</t>
  </si>
  <si>
    <t>Seb / GreenYellow</t>
  </si>
  <si>
    <t xml:space="preserve">Solveo // CFP // 470Wp, CFP &lt;620 // </t>
  </si>
  <si>
    <t>Seb / Apex</t>
  </si>
  <si>
    <t xml:space="preserve">Terre et Lac // CFP // 470Wp/475Wp, CFP &lt;620 // </t>
  </si>
  <si>
    <t>Seb / Amarenco</t>
  </si>
  <si>
    <t xml:space="preserve">Technique Solaire // CFP // 470Wp/475Wp, CFP &lt;630 // </t>
  </si>
  <si>
    <t xml:space="preserve">WeWise // CFP // 445/450/455Wp, CFP // </t>
  </si>
  <si>
    <t>ESS_Gen2</t>
  </si>
  <si>
    <t>JR ENERGIE Conseil</t>
  </si>
  <si>
    <t>Steven</t>
  </si>
  <si>
    <t>Voltaneo/ 485/490</t>
  </si>
  <si>
    <t>Georgia</t>
  </si>
  <si>
    <t>Baka LLC</t>
  </si>
  <si>
    <t>P7-COM-S</t>
  </si>
  <si>
    <t>600kW of 555W FCA RTD</t>
  </si>
  <si>
    <t xml:space="preserve"> </t>
  </si>
  <si>
    <t>Schur GmbH</t>
  </si>
  <si>
    <t>Matthias Doering</t>
  </si>
  <si>
    <t>MAX3 delaminaiton CASE to solve</t>
  </si>
  <si>
    <t>solar-activ-GmbH</t>
  </si>
  <si>
    <t>if price is below 18ct/W</t>
  </si>
  <si>
    <t>SPR-BE66-GD595/600</t>
  </si>
  <si>
    <t>if price is below 15ct/W</t>
  </si>
  <si>
    <t>Wieser Elektro GmbH</t>
  </si>
  <si>
    <t>Wohnico GmbH</t>
  </si>
  <si>
    <t>Beck Elektrotechnik GmbH</t>
  </si>
  <si>
    <t>Sven Braunstein</t>
  </si>
  <si>
    <t>Betterliving GmbH</t>
  </si>
  <si>
    <t>retec MERZ GmbH</t>
  </si>
  <si>
    <t>if price is below 20ct/W</t>
  </si>
  <si>
    <t>Hauser Solartechnik GmbH</t>
  </si>
  <si>
    <t>Holzbau Deuerling</t>
  </si>
  <si>
    <t>iKratos Solar- und Energietechnik GmbH</t>
  </si>
  <si>
    <t>P7-BLK-P-500 no production</t>
  </si>
  <si>
    <t>SPR_M_Class</t>
  </si>
  <si>
    <t>SPR-BD54-DC 490/495</t>
  </si>
  <si>
    <t>MAK Solarsysteme Photovoltaik, Inh. Marius Kraus</t>
  </si>
  <si>
    <t>nrg4.eco GmbH</t>
  </si>
  <si>
    <t>ÖKO-HAUS GmbH</t>
  </si>
  <si>
    <t>P7-BLK-2mm-450</t>
  </si>
  <si>
    <t>if pricing is at 14,5-16ct/W</t>
  </si>
  <si>
    <t>Die Energieschmiede GmbH</t>
  </si>
  <si>
    <t>P Class is postponed/Canceled</t>
  </si>
  <si>
    <t>EnSolar GmbH</t>
  </si>
  <si>
    <t>Galicium Solar GmbH</t>
  </si>
  <si>
    <t>Energy3000</t>
  </si>
  <si>
    <t>TCL Topcon 730</t>
  </si>
  <si>
    <t>HSM-NT48-HH 465/470 - T5_Pro_S_Black</t>
  </si>
  <si>
    <t>TCL T5 FB 465</t>
  </si>
  <si>
    <t>SunPower 500</t>
  </si>
  <si>
    <t>pvXchange</t>
  </si>
  <si>
    <t>TCL BC 490</t>
  </si>
  <si>
    <t>TCL BC485</t>
  </si>
  <si>
    <t>TCL BC 485</t>
  </si>
  <si>
    <t>TCL BC 650</t>
  </si>
  <si>
    <t>HSM-ND66-GR630</t>
  </si>
  <si>
    <t>TCL Topcon 630</t>
  </si>
  <si>
    <t>HSM-ND66-GK730</t>
  </si>
  <si>
    <t>Rexel</t>
  </si>
  <si>
    <t>TCL BC490</t>
  </si>
  <si>
    <t>Solakon</t>
  </si>
  <si>
    <t>Pfalzwerke</t>
  </si>
  <si>
    <t>Badenova</t>
  </si>
  <si>
    <t>Helmut Herbert GmbH &amp; Co</t>
  </si>
  <si>
    <t>Martin Walz Elektro + Solartechnik GmbH &amp; Co. KG</t>
  </si>
  <si>
    <t>Canceled P Class will have impact</t>
  </si>
  <si>
    <t>Müller GmbH</t>
  </si>
  <si>
    <t>ProSyS Erneuerbare Energien UG</t>
  </si>
  <si>
    <t>Schlotz Gebäude- und Energiesysteme, Inh. Markus Schlotz</t>
  </si>
  <si>
    <t>When 1st Installation works well</t>
  </si>
  <si>
    <t>HSM-NT48-JH 465/470 - T5_Pro_S_White</t>
  </si>
  <si>
    <t>Solar Fabrik</t>
  </si>
  <si>
    <t>TCL_S_Class</t>
  </si>
  <si>
    <t>TCL-MR465DT182-58NS</t>
  </si>
  <si>
    <t>465/470</t>
  </si>
  <si>
    <t>TCL_E_Class</t>
  </si>
  <si>
    <t>HSM-BD54-DA465</t>
  </si>
  <si>
    <t>Elza Elektrotechnik GmbH</t>
  </si>
  <si>
    <t>Grotepass GmbH</t>
  </si>
  <si>
    <t>Andreas Kauls</t>
  </si>
  <si>
    <t>SPR-BE54-DC485</t>
  </si>
  <si>
    <t>SPR_P_Class</t>
  </si>
  <si>
    <t>SPR-NT48-HH 465/470 - P_Class RES BLK</t>
  </si>
  <si>
    <t>KühnSolar GmbH</t>
  </si>
  <si>
    <t>Lebherz und Partner</t>
  </si>
  <si>
    <t>MMS GmbH</t>
  </si>
  <si>
    <t>MR Pauer Agrardienst &amp; Service GmbH</t>
  </si>
  <si>
    <t>Pletzinger Haustechnik GmbH</t>
  </si>
  <si>
    <t>Powertrust GmbH</t>
  </si>
  <si>
    <t>Energy4tomorrow</t>
  </si>
  <si>
    <t>Energie-Spar-Centrum Altenwahlingen e.K.</t>
  </si>
  <si>
    <t>BSS Solar Systeme GmbH &amp; Co. KG</t>
  </si>
  <si>
    <t>Bysolar Hans-Jürgen Brikey GmbH</t>
  </si>
  <si>
    <t>Ecosolar e.K.</t>
  </si>
  <si>
    <t>EGU</t>
  </si>
  <si>
    <t>Elektrotechnik Thomas Richter</t>
  </si>
  <si>
    <t>Sunera</t>
  </si>
  <si>
    <t>HSM-ND48-DR445</t>
  </si>
  <si>
    <t>ReGeTech GmbH</t>
  </si>
  <si>
    <t>RGT GmbH</t>
  </si>
  <si>
    <t>Blitzplank GmbH</t>
  </si>
  <si>
    <t>Elektro Ecker GmbH &amp; Co. KG</t>
  </si>
  <si>
    <t>SPR-NT60-GH 580/585 - P_Class COM</t>
  </si>
  <si>
    <t>Elektro Wachter GmbH</t>
  </si>
  <si>
    <t>Elektrotechnik Forstner GmbH &amp; Co.KG</t>
  </si>
  <si>
    <t>Elektrotechnik Peter Hartmann, Inh. Peter Hartmann</t>
  </si>
  <si>
    <t>Bauer Energietechnik e.K.</t>
  </si>
  <si>
    <t>S.A.T. SONNEN- &amp; ALTERNATIVTECHNIK GMBH &amp; CO. KG</t>
  </si>
  <si>
    <t>SEN Solare Energiesysteme GmbH</t>
  </si>
  <si>
    <t>SOATEK</t>
  </si>
  <si>
    <t>SolarEnergieNetzwerk UG (haftungsbeschränkt)</t>
  </si>
  <si>
    <t>Solarwerkstatt Lemgo GmbH</t>
  </si>
  <si>
    <t>SUNWORKERS GmbH &amp; Co. KG</t>
  </si>
  <si>
    <t>alb-elektric Huber Freileitungs- und Kabelbau GmbH</t>
  </si>
  <si>
    <t>delivery on September</t>
  </si>
  <si>
    <t>BC Perigramma</t>
  </si>
  <si>
    <t>1,2 MW FCA RTD</t>
  </si>
  <si>
    <t>Fast Forward</t>
  </si>
  <si>
    <t>8 MW CIF Piraeus delivery delivery Q3-Q4 - the project will reach 50 MW- small projects of 1 MW</t>
  </si>
  <si>
    <t>Solaraxis</t>
  </si>
  <si>
    <t>Small projects of 500 kW- Most possible Q1 2027</t>
  </si>
  <si>
    <t>Gatiba</t>
  </si>
  <si>
    <t>1 container of 445W Clear Black CIP on site</t>
  </si>
  <si>
    <t>New Customer / Balance of others customers IT</t>
  </si>
  <si>
    <t>SPR-BE54-DC480</t>
  </si>
  <si>
    <t>M Class-only RES</t>
  </si>
  <si>
    <t>Energia Italia</t>
  </si>
  <si>
    <t>Ignazio Sasanelli</t>
  </si>
  <si>
    <t>En ITA deal</t>
  </si>
  <si>
    <t>addtl 5kWh BAT</t>
  </si>
  <si>
    <t>TCL-MR470DT182-58NS</t>
  </si>
  <si>
    <t>HSM-GKA-NM720</t>
  </si>
  <si>
    <t>eu</t>
  </si>
  <si>
    <t>Kosovo</t>
  </si>
  <si>
    <t>4 containers</t>
  </si>
  <si>
    <t>Veesla</t>
  </si>
  <si>
    <t>3 containers of 450W Clear black FCA RTD</t>
  </si>
  <si>
    <t>Elmitra</t>
  </si>
  <si>
    <t>1 container 450W FB - FCA RTD</t>
  </si>
  <si>
    <t>4 containers  FCA RTD</t>
  </si>
  <si>
    <t>1 container 445W FB  - FCA RTD</t>
  </si>
  <si>
    <t>1 container 505W FB - FCA RTD</t>
  </si>
  <si>
    <t>3 containers 500W CIF Klaipeda</t>
  </si>
  <si>
    <t>2 containers 445W FCA warehouse EU</t>
  </si>
  <si>
    <t>Baltsolar</t>
  </si>
  <si>
    <t>5 containers Clear Black 445</t>
  </si>
  <si>
    <t>New Customer / Balance of others customers BNL</t>
  </si>
  <si>
    <t>NEW C&amp;I KEY ACCOUNT</t>
  </si>
  <si>
    <t>Natec Sunenergy B.V.</t>
  </si>
  <si>
    <t>HSM-NT48-JH 470/475-White</t>
  </si>
  <si>
    <t>SO Products B.V.</t>
  </si>
  <si>
    <t>Paul</t>
  </si>
  <si>
    <t>NEW ACCOUNTS</t>
  </si>
  <si>
    <t>BOOKED SOA SEND</t>
  </si>
  <si>
    <t>VDH Solar Groothandel B.V.</t>
  </si>
  <si>
    <t>CONSIGNEMENT</t>
  </si>
  <si>
    <t>TRINA Vertex 455 BLK at 0.110 DDP/Longi 460W BLK at 0.108 DDP
NEED BETTER ASP 455W</t>
  </si>
  <si>
    <t>REVIVE DORMANT ACCOUNT</t>
  </si>
  <si>
    <t>HB12SP0</t>
  </si>
  <si>
    <t>BETA TEST SCHEDULED</t>
  </si>
  <si>
    <t>Nordic Sun Danmark A/S</t>
  </si>
  <si>
    <t>Filip Abrahamsson</t>
  </si>
  <si>
    <t>Asking for DDP price, Possible Caroline LI, Q2-Q3 Must win - Delayed Q4 due to permits----Long Cable---27Q1</t>
  </si>
  <si>
    <t>Offshore/EU?</t>
  </si>
  <si>
    <t>Rexel Sweden</t>
  </si>
  <si>
    <t>Q3 Order</t>
  </si>
  <si>
    <t>Site Services A/S</t>
  </si>
  <si>
    <t>SPR_MAX_P6</t>
  </si>
  <si>
    <t>New Customer Depletion Maxeon 390-400 COM</t>
  </si>
  <si>
    <t xml:space="preserve">Nova Solar </t>
  </si>
  <si>
    <t>New Customer 2 Units pilot installation</t>
  </si>
  <si>
    <t>470 Black</t>
  </si>
  <si>
    <t>ESS_TCL_Res</t>
  </si>
  <si>
    <t>BlueArk X1-10kW-TP 1*8kWh</t>
  </si>
  <si>
    <t>Rexel Launch of X1 in Sweden</t>
  </si>
  <si>
    <t>Nordic Sun Test Unit - Solinteg whitelist sept</t>
  </si>
  <si>
    <t>2 CT Confirmed 260812 @ €0.122 offer €0.126</t>
  </si>
  <si>
    <t>FCA Rotterdam Price</t>
  </si>
  <si>
    <t>H2 offer 6 month</t>
  </si>
  <si>
    <t>10 CT</t>
  </si>
  <si>
    <t>Awaiting confirmation</t>
  </si>
  <si>
    <t>Solar DK</t>
  </si>
  <si>
    <t>New Dist 2 CT SPR Offer €0.13 - MPO now - Sending distribution contract</t>
  </si>
  <si>
    <t>3 Units - Asking price €14.000 to accept - Not accepted from me ---plus freight</t>
  </si>
  <si>
    <t>Offer BC delivered in Sept Q3</t>
  </si>
  <si>
    <t>Offer BC delivered in Sept Q3 / Confirm WW 34</t>
  </si>
  <si>
    <t>nordic Sun Danmark A/S</t>
  </si>
  <si>
    <t>Special SKU / short cable / HC connect</t>
  </si>
  <si>
    <t>Sunny Future AB</t>
  </si>
  <si>
    <t>Upgrade to 485 or 480</t>
  </si>
  <si>
    <t>Pareto Alternative investments</t>
  </si>
  <si>
    <t>HSM-NT66-GH 640/645 - T5_Pro_L_PP</t>
  </si>
  <si>
    <t>New C&amp;I Norway, compete with AIKO</t>
  </si>
  <si>
    <t>C&amp;I 10 Containers</t>
  </si>
  <si>
    <t>New Customer / Balance of others customers NO</t>
  </si>
  <si>
    <t>Placement for Q2</t>
  </si>
  <si>
    <t>14 Units - Tender - competition Shanghai ZOE ESS - €91 kWh</t>
  </si>
  <si>
    <t>Price ? €0.18 not compatible, DSB project - whitelist against DMEGC - Offer €0.135</t>
  </si>
  <si>
    <t>C&amp;I Panatoni Warehouse PAN Nordic</t>
  </si>
  <si>
    <t>Placement for Q3</t>
  </si>
  <si>
    <t>TCL-MG720DT210-68NS</t>
  </si>
  <si>
    <t>C&amp;I GM Denmark</t>
  </si>
  <si>
    <t>Offer €0.128</t>
  </si>
  <si>
    <t>2 CT 455W - Price France.</t>
  </si>
  <si>
    <t>North Macedonia</t>
  </si>
  <si>
    <t>3 containers 1 project</t>
  </si>
  <si>
    <t>Eko-On</t>
  </si>
  <si>
    <t xml:space="preserve">public tender, still waiting for respond </t>
  </si>
  <si>
    <t>Procarte</t>
  </si>
  <si>
    <t xml:space="preserve">10-15mw waiting for confirmation </t>
  </si>
  <si>
    <t>Inplag</t>
  </si>
  <si>
    <t xml:space="preserve">620W waiting for the building to be constructed
</t>
  </si>
  <si>
    <t xml:space="preserve">Polish army project </t>
  </si>
  <si>
    <t>98 mw start offering</t>
  </si>
  <si>
    <t>Greto</t>
  </si>
  <si>
    <t xml:space="preserve">20mw project </t>
  </si>
  <si>
    <t>start of offering  300 mw</t>
  </si>
  <si>
    <t>start of offering  187 mw</t>
  </si>
  <si>
    <t>100% confirmed</t>
  </si>
  <si>
    <t>Energynat</t>
  </si>
  <si>
    <t>Waiting for answer, distribution politic issue</t>
  </si>
  <si>
    <t>OEM Energy</t>
  </si>
  <si>
    <t>3MW - CIF Gdansk</t>
  </si>
  <si>
    <t>CRC Energy</t>
  </si>
  <si>
    <t>2,6MW of 640W, CIP Romania</t>
  </si>
  <si>
    <t>Wiren</t>
  </si>
  <si>
    <t xml:space="preserve">3,5MW </t>
  </si>
  <si>
    <t>Spectrum Solar</t>
  </si>
  <si>
    <t>small projects of 450 kW</t>
  </si>
  <si>
    <t>Eventus Energy</t>
  </si>
  <si>
    <t>2MW project - early stage - 720W BF DG - planned for end of 2026 or beginning of 2027</t>
  </si>
  <si>
    <t>Innovagrid</t>
  </si>
  <si>
    <t>8 MW CIF Thessaloniki</t>
  </si>
  <si>
    <t>Balance of Customers</t>
  </si>
  <si>
    <t>Suministros Orduña S.L.</t>
  </si>
  <si>
    <t>Auna</t>
  </si>
  <si>
    <t>Coelca</t>
  </si>
  <si>
    <t>Global Renovables</t>
  </si>
  <si>
    <t>Segui clima (Auna)</t>
  </si>
  <si>
    <t>Yomatec</t>
  </si>
  <si>
    <t>ESR</t>
  </si>
  <si>
    <t>Almacen Fotovoltaico</t>
  </si>
  <si>
    <t>BlueArk X1-5kW-SP 1*8kWh</t>
  </si>
  <si>
    <t>BlueArk X1-15kW-TP 1*8kWh</t>
  </si>
  <si>
    <t>LM Eight Solar Renewables Energies S.L.</t>
  </si>
  <si>
    <t>New Customer / Balance of others customers ES</t>
  </si>
  <si>
    <t>Black Frame</t>
  </si>
  <si>
    <t>Eu</t>
  </si>
  <si>
    <t>725-730</t>
  </si>
  <si>
    <t>HSM-NT66-GL 735/740</t>
  </si>
  <si>
    <t>AES Limited</t>
  </si>
  <si>
    <t>Jon Juxon</t>
  </si>
  <si>
    <t>Long-standing, loyal SunPower Partner with decent run-rate on P7</t>
  </si>
  <si>
    <t>Oxford Solar PV</t>
  </si>
  <si>
    <t>Business (TCL SunPower) unsure if it can supply; quoting COM projects, directing to Bimble</t>
  </si>
  <si>
    <t>NEw Customer / Balance of others customers UK</t>
  </si>
  <si>
    <t xml:space="preserve">Matt </t>
  </si>
  <si>
    <t>Links Electrical  needs to be 470wp</t>
  </si>
  <si>
    <t>New Customer / Balance of others customers UK</t>
  </si>
  <si>
    <t>UK Greentech - Rugby Branch</t>
  </si>
  <si>
    <t>Alternergy ASAP</t>
  </si>
  <si>
    <t xml:space="preserve">Alternergy </t>
  </si>
  <si>
    <t xml:space="preserve">Swanson new customer for May and June </t>
  </si>
  <si>
    <t>Links Electrical</t>
  </si>
  <si>
    <t>Alternergy  2 containers May 1 x container June</t>
  </si>
  <si>
    <t>Needs to be BC 485/490wp (Alternergy)</t>
  </si>
  <si>
    <t xml:space="preserve">Links electrical- presented X5 to customer, for feedback </t>
  </si>
  <si>
    <t>Needs to be BC 485/490wp (Segen UK)</t>
  </si>
  <si>
    <t>Needs to be BC 485/490wp (Swanson)</t>
  </si>
  <si>
    <t xml:space="preserve">Swanson new customer 485wp/490wp only </t>
  </si>
  <si>
    <t>Nicholas Paget</t>
  </si>
  <si>
    <t>Encouraging discussions with Midsummer</t>
  </si>
  <si>
    <t>Additional 2 5KWH per 10kW unit</t>
  </si>
  <si>
    <t>1P 6KW 2*5KWH</t>
  </si>
  <si>
    <t>Assumed % of Total 30%</t>
  </si>
  <si>
    <t>1P 5KW 2*5KWH</t>
  </si>
  <si>
    <t>Assumed % of Total 50%</t>
  </si>
  <si>
    <t>Assumed % of Total 10%</t>
  </si>
  <si>
    <t>Project Solar UK Ltd</t>
  </si>
  <si>
    <t>Project Solar UK, 2yr agreement, 25 MW per year, 500-510w; own MCS-label</t>
  </si>
  <si>
    <t>Nick Balance of Customers</t>
  </si>
  <si>
    <t>Savent Solar Limited</t>
  </si>
  <si>
    <t>Simple solar (SW) Ltd</t>
  </si>
  <si>
    <t>Western Counties Roofing Ltd</t>
  </si>
  <si>
    <t xml:space="preserve">FULLY RELIANT ON GSE/S4 TESTING </t>
  </si>
  <si>
    <t>UK Greentech</t>
  </si>
  <si>
    <t>HSM-ND54-DR505-CFP</t>
  </si>
  <si>
    <t>Q3 Group Order Tendered - Assume CiF if DDP Q4</t>
  </si>
  <si>
    <t xml:space="preserve">Part of 12Ct offer </t>
  </si>
  <si>
    <t xml:space="preserve">Forward orders </t>
  </si>
  <si>
    <t>Order placed assume Q3 peterborough (CiF) rest q4 (DDP)</t>
  </si>
  <si>
    <t>The Little Green Energy Company Limited</t>
  </si>
  <si>
    <t>Elite Partner, steady business across both RES &amp; COM</t>
  </si>
  <si>
    <t>TB Electrics &amp; Home Improvements Ltd</t>
  </si>
  <si>
    <t>Occassional large COM + some small RES business</t>
  </si>
  <si>
    <t>Sun Sparks Limited</t>
  </si>
  <si>
    <t>Stratford Energy Solutions</t>
  </si>
  <si>
    <t>Regular Premier Partner, loyal across RES &amp; COM</t>
  </si>
  <si>
    <t>Solen Energy UK Limited</t>
  </si>
  <si>
    <t>Recovering</t>
  </si>
  <si>
    <t>Solarsense uk ltd</t>
  </si>
  <si>
    <t>Large ground mount - customer awaiting update on project timings</t>
  </si>
  <si>
    <t>Confirmed PO</t>
  </si>
  <si>
    <t>Smith Bros</t>
  </si>
  <si>
    <t>Triple Solar / Midsummer / Wind&amp;Sun. Triple Solar and Midsummer are geographocally close =&gt; mutually exclusive.</t>
  </si>
  <si>
    <t>City Plumbing Bristol, GeoGreen, GreenGen</t>
  </si>
  <si>
    <t>Failte Solar</t>
  </si>
  <si>
    <t>Ireland only P7-510</t>
  </si>
  <si>
    <t>Failte SOlar</t>
  </si>
  <si>
    <t>need indicative pricing</t>
  </si>
  <si>
    <t>Ireland only</t>
  </si>
  <si>
    <t>SPR-BD54-DC490/495</t>
  </si>
  <si>
    <t>Evo Energy</t>
  </si>
  <si>
    <t>Aiming to convert from Trina to TCL T/S-Class for C&amp;I business</t>
  </si>
  <si>
    <t>Eco NRG Ltd.</t>
  </si>
  <si>
    <t>Eco Greenenergy Solutions Ltd</t>
  </si>
  <si>
    <t>Credit/payment issues</t>
  </si>
  <si>
    <t>Ceiba Renewables Limited</t>
  </si>
  <si>
    <t>Bimble Solar Limited</t>
  </si>
  <si>
    <t>HSM-BE54-DD485/490</t>
  </si>
  <si>
    <t>Initial project damand potential far higher</t>
  </si>
  <si>
    <t xml:space="preserve">Failte Solar Ireland </t>
  </si>
  <si>
    <t>Failte Solar UK</t>
  </si>
  <si>
    <t>FES Support Services</t>
  </si>
  <si>
    <t>14yr relationship with SunPower on Stirling Borough Council and COM projects</t>
  </si>
  <si>
    <t>New Onboarded June 26</t>
  </si>
  <si>
    <t>Naked Solar Limited</t>
  </si>
  <si>
    <t>Mole Energy Ltd</t>
  </si>
  <si>
    <t xml:space="preserve">Links Electrical </t>
  </si>
  <si>
    <t xml:space="preserve">forward orders </t>
  </si>
  <si>
    <t>Inspire Green</t>
  </si>
  <si>
    <t>Westwood Energy</t>
  </si>
  <si>
    <t>570kWp P7-455w won, Q2 delivery</t>
  </si>
  <si>
    <t>In2gr8ted Solutions Ltd</t>
  </si>
  <si>
    <t>Private landlord properties and standard domestic</t>
  </si>
  <si>
    <t>Guernsey - Little Green</t>
  </si>
  <si>
    <t>Greenshop Solar Ltd</t>
  </si>
  <si>
    <t>Greenscape Energy</t>
  </si>
  <si>
    <t>Supply problem on 510w: Long-term supply deal potentially, (460 &amp; 510)</t>
  </si>
  <si>
    <t>Geo Green Power Ltd</t>
  </si>
  <si>
    <t>SUPPLY VIA UK GREENTECH - negotiations underway</t>
  </si>
  <si>
    <t>Product proposed for MoD Project</t>
  </si>
  <si>
    <t>Introduce TCL for standard/price sensitive COM projects</t>
  </si>
  <si>
    <t>Ukraine</t>
  </si>
  <si>
    <t>MBI</t>
  </si>
  <si>
    <t>2 trucks of 460W - waiting for payment of open balance</t>
  </si>
  <si>
    <t>2 trucks of 555W - waiting for payment of open balance</t>
  </si>
  <si>
    <t>HSM-NT48-HH 475/480-Black</t>
  </si>
  <si>
    <t>Market Country</t>
  </si>
  <si>
    <t>CZ</t>
  </si>
  <si>
    <t>Emerging_Markets</t>
  </si>
  <si>
    <t>Poland-Jan</t>
  </si>
  <si>
    <t>Lithiania</t>
  </si>
  <si>
    <t>Ukraynia</t>
  </si>
  <si>
    <t>Africa</t>
  </si>
  <si>
    <t>Emerging Market</t>
  </si>
  <si>
    <t>Switzerland</t>
  </si>
  <si>
    <t>Bosna Hercegovina</t>
  </si>
  <si>
    <t>Go to FCST Tab and fill out each line as follow :</t>
  </si>
  <si>
    <t>Fill information about Customer</t>
  </si>
  <si>
    <t>1- Select Country in Column A</t>
  </si>
  <si>
    <t>2- Pick customer from List available. It is adjusted per country selected. (see column B)</t>
  </si>
  <si>
    <t>3- Other informations (Tier, CL, etc) will populate automatically</t>
  </si>
  <si>
    <t>4- For new customer or unspecified, select "New Customer / Balance of others customer"</t>
  </si>
  <si>
    <t>5- if critical conditions to meet, use column K "Comments" to specify</t>
  </si>
  <si>
    <t>Fill information about Product</t>
  </si>
  <si>
    <t>1- Select Product Line to differentiate between BTP, Sunpower P7, TCL Solar, etc.  It will narrow list of model name. (column D)</t>
  </si>
  <si>
    <t>2- Select Model Name in column E</t>
  </si>
  <si>
    <t>3- Other customers will be populated automatically</t>
  </si>
  <si>
    <t>Fill information of Quantity</t>
  </si>
  <si>
    <t>1- Columns Q to AB in green headers ar used for units of product sold. (pcs for BTP/HP, mw for PV)</t>
  </si>
  <si>
    <t>Each column is for a specific month.</t>
  </si>
  <si>
    <t>Sum per quarter are visible from column AC to AF</t>
  </si>
  <si>
    <t>Subtotal are visible in Line 2 to help see the sum of products</t>
  </si>
  <si>
    <t>For Gen 2, focus is for September to December 2025</t>
  </si>
  <si>
    <t>Cells to use are in light green</t>
  </si>
  <si>
    <t>Fill information of Price</t>
  </si>
  <si>
    <r>
      <t xml:space="preserve">1- Columns AG to AN in blue headers ar used for </t>
    </r>
    <r>
      <rPr>
        <b/>
        <sz val="11"/>
        <color rgb="FFFF0000"/>
        <rFont val="宋体"/>
        <family val="2"/>
        <scheme val="minor"/>
      </rPr>
      <t>average selling price per unit in EUR</t>
    </r>
  </si>
  <si>
    <t>Average per quarter are visible from column AC to AF</t>
  </si>
  <si>
    <t>Cells to use are in light blue</t>
  </si>
  <si>
    <t>Category</t>
    <phoneticPr fontId="58" type="noConversion"/>
  </si>
  <si>
    <t>mw/qty</t>
  </si>
  <si>
    <t>Brand</t>
    <phoneticPr fontId="58" type="noConversion"/>
  </si>
  <si>
    <t>26M09</t>
    <phoneticPr fontId="58" type="noConversion"/>
  </si>
  <si>
    <t>26Q2</t>
  </si>
  <si>
    <t>26Q3</t>
  </si>
  <si>
    <t>26Q4</t>
  </si>
  <si>
    <t>27M01</t>
    <phoneticPr fontId="58" type="noConversion"/>
  </si>
  <si>
    <t>27Q1</t>
    <phoneticPr fontId="58" type="noConversion"/>
  </si>
  <si>
    <t>27Q2</t>
  </si>
  <si>
    <t>Only 2026?</t>
    <phoneticPr fontId="58" type="noConversion"/>
  </si>
  <si>
    <t>Solcellespesialisten AS</t>
  </si>
  <si>
    <t>0  - Lost</t>
  </si>
  <si>
    <t>BANKRUPT Reactivation - Special project in portable mounting system EPD! required module can be changed, partner with Nordic Sun 20 MW. MAX 206 cm</t>
  </si>
  <si>
    <t>Bankrupt</t>
  </si>
  <si>
    <t>Project in Finland Delivery Q3-Q4</t>
  </si>
  <si>
    <t>SubTotal =&gt;</t>
  </si>
  <si>
    <t>LOST TO UNDERCORE BETTER ASP</t>
  </si>
  <si>
    <t>BANKRUPTCY</t>
  </si>
  <si>
    <t>HSM-BD72-GC650</t>
  </si>
  <si>
    <t>In competition with Energy 3000 at 0.112/Wp DDP</t>
  </si>
  <si>
    <t>PROJECT 6.85  MW Proposed at 0.122 DPP Delivery Q3</t>
  </si>
  <si>
    <t>Offer at 0.117 EUR/Wp</t>
  </si>
  <si>
    <t>Zonnepaneel Kampioen B.V</t>
  </si>
  <si>
    <t>GIVEN TO GERMAN DISTR.</t>
  </si>
  <si>
    <t xml:space="preserve">LOST  </t>
  </si>
  <si>
    <t>TCL-MR460DT182-58NS</t>
  </si>
  <si>
    <t>Failte Solar UK / lost to alternergy</t>
  </si>
  <si>
    <t>HSM-ND54-DR500-CFP</t>
    <phoneticPr fontId="58" type="noConversion"/>
  </si>
  <si>
    <t>Cedric / Solstyce</t>
  </si>
  <si>
    <t>SOLSTYCE // CFP // 465Wp/470Wp</t>
  </si>
  <si>
    <t>TCL</t>
  </si>
  <si>
    <t>NO</t>
  </si>
  <si>
    <t>JD-Monoficial</t>
  </si>
  <si>
    <t>LARIVIERE = 500 sans CFP</t>
  </si>
  <si>
    <t>LARIVIERE = 100% DDP</t>
  </si>
  <si>
    <t>Stock : chez nous/chez eux</t>
  </si>
  <si>
    <t>GD-Bificial</t>
  </si>
  <si>
    <t>short lead time</t>
  </si>
  <si>
    <t>RICHARDSON = 500 sans CFP</t>
  </si>
  <si>
    <t>RICHARDSON = 100% DDP</t>
  </si>
  <si>
    <t>prix PMP</t>
  </si>
  <si>
    <t>GENELIOS = 500 sans CFP</t>
  </si>
  <si>
    <t>GENELIOS = 100% DDP</t>
  </si>
  <si>
    <t>Pipe</t>
  </si>
  <si>
    <t>NED = 500/505 avec CFP</t>
  </si>
  <si>
    <t>NED = 100% DDP</t>
  </si>
  <si>
    <t>ALLIANTZ = 500/505 avec CFP</t>
  </si>
  <si>
    <t>ALLIANTZ = MIX DDP (rev rec à la livraison FR) et CIP (rev rec au départ Chine)</t>
  </si>
  <si>
    <t>VOLTANEO =&gt; MIX 500et505 avec et sans CFP</t>
  </si>
  <si>
    <t>VOLTANEO =&gt;  MIX DDP (rev rec à la livraison FR) et CIP (rev rec au départ Chine)</t>
  </si>
  <si>
    <t>ECOSTAL =&gt; MIX 500et505 avec et sans CFP</t>
  </si>
  <si>
    <t>ECOSTAL =&gt;  MIX DDP (rev rec à la livraison FR) et CIP (rev rec au départ Chine)</t>
  </si>
  <si>
    <t>EnergyNAT Sp. z.o.o</t>
  </si>
  <si>
    <t xml:space="preserve">Lost due to price, Jinko price 505W 0.104 </t>
  </si>
  <si>
    <t>lost due to price, Jinko price 620 0.102</t>
  </si>
  <si>
    <t xml:space="preserve">Inplag </t>
  </si>
  <si>
    <t>Project cancelled</t>
  </si>
  <si>
    <t>TCL-MR515DT182-64NS no production</t>
  </si>
  <si>
    <t>0,104 target price, Jinko price 0.105. Lost due to Jinko price</t>
  </si>
  <si>
    <t>Enervigo</t>
  </si>
  <si>
    <t xml:space="preserve">Q3 </t>
  </si>
  <si>
    <t>TP - 0.103 Astronergy offer. Lost due to Astro Price</t>
  </si>
  <si>
    <t xml:space="preserve">Lost due to price, Jinko sold for 0.096 CIF, proof on email </t>
  </si>
  <si>
    <t>P&amp;Q</t>
  </si>
  <si>
    <t xml:space="preserve">competitor price far below 0.120 DDP Poland. </t>
  </si>
  <si>
    <t xml:space="preserve">Clarvento </t>
  </si>
  <si>
    <t>Lost due to price</t>
  </si>
  <si>
    <t xml:space="preserve"> Serbia</t>
  </si>
  <si>
    <t>Energize</t>
  </si>
  <si>
    <t>HSM-ND66-GK710</t>
  </si>
  <si>
    <t xml:space="preserve"> project splited for two projects</t>
  </si>
  <si>
    <t>Orange</t>
  </si>
  <si>
    <t>Project postoned</t>
  </si>
  <si>
    <t>e-acumulatori</t>
  </si>
  <si>
    <t>2 container</t>
  </si>
  <si>
    <t>Romstal IMEX</t>
  </si>
  <si>
    <t>Our price is not competitve, they've ordered higher power bins at better price from Jinko and Trina, 460W and 515W</t>
  </si>
  <si>
    <t>Arabesque</t>
  </si>
  <si>
    <t>Ready to start a long term collaboration. First order could be 5 - 7 containers 505W half cut, they will not order at current price, they have better alternatives like 515, 520W at lower prices</t>
  </si>
  <si>
    <t>Chorus Marketing and Distribution SRL</t>
  </si>
  <si>
    <t>Ready to start a long term collaboration. First order could be 3 containers 505W or 455W, they will not order at current price, they have better alternatives 465W and 515W under our prices</t>
  </si>
  <si>
    <t>Solar One</t>
  </si>
  <si>
    <t>Ready to start a long term collaboration. First order could be 5 containers 505W or 455W, they will not order at current price, they have better alternatives 465W and 515W under our prices</t>
  </si>
  <si>
    <t>Solar Group</t>
  </si>
  <si>
    <t>Ready to start a long term collaboration. First order could be 5 containers 455W, they will not order at current price, this distributor can cover installers from Romania West part, Hungary and Serbia. They are ex DAS Solar distributor</t>
  </si>
  <si>
    <t>Reenpro</t>
  </si>
  <si>
    <t>Target price 0,103€ CIF, our price offered 0,11€ shipment in March</t>
  </si>
  <si>
    <t>May 7cts,June7cts,July 5Cts - Target price 0,115€ CIF Klaipeda - our price 0,118€</t>
  </si>
  <si>
    <t>May 3cts, June 3 cts, July 3 cts. - Target price 0,110€ CIF Klaipeda</t>
  </si>
  <si>
    <t>Customer feedback - Our price is higher then Trina Solar</t>
  </si>
  <si>
    <t>2 containers  FCA RTD</t>
  </si>
  <si>
    <t>1,8MW CIP Czech Rep.</t>
  </si>
  <si>
    <t xml:space="preserve">Lost, our offer 0,115 vs 0,108 FCA competition </t>
  </si>
  <si>
    <t>Lost, our offer 0,115 vs 0,108 competition</t>
  </si>
  <si>
    <t>Colonna1</t>
  </si>
  <si>
    <t>res</t>
  </si>
  <si>
    <t>TCL-MR460DT182-58NS no production</t>
  </si>
  <si>
    <t>utl</t>
  </si>
  <si>
    <t>c&amp;i</t>
  </si>
  <si>
    <t>HSM-NT66-GL 735/740 - T5_Pro_XL_PP</t>
  </si>
  <si>
    <t>Teil Jul</t>
  </si>
  <si>
    <t>Teil Aug</t>
  </si>
  <si>
    <t>Teil Sep</t>
  </si>
  <si>
    <t>Brand</t>
    <phoneticPr fontId="65" type="noConversion"/>
  </si>
  <si>
    <t>Gen2 1P 10kw</t>
  </si>
  <si>
    <t>Sunpower</t>
    <phoneticPr fontId="65" type="noConversion"/>
  </si>
  <si>
    <t>1P 10KW 2*5KWH</t>
  </si>
  <si>
    <t>Country List</t>
  </si>
  <si>
    <t>SPR_P8</t>
    <phoneticPr fontId="65" type="noConversion"/>
  </si>
  <si>
    <t>1P 5kW 1*5kWh</t>
  </si>
  <si>
    <t>Gen2 1P 5kw</t>
  </si>
  <si>
    <t>BlueArk X1-3.6kW-SP 1*8kWh</t>
  </si>
  <si>
    <t>SPR-NT48-HH 475/480 BLK</t>
    <phoneticPr fontId="65" type="noConversion"/>
  </si>
  <si>
    <t>HSM-NT48-JH 475/480-White</t>
  </si>
  <si>
    <t>HSM-ND48-DR445</t>
    <phoneticPr fontId="65" type="noConversion"/>
  </si>
  <si>
    <t>HSM-BD54-DA460</t>
  </si>
  <si>
    <t>SPR-BD54-DC490/495</t>
    <phoneticPr fontId="65" type="noConversion"/>
  </si>
  <si>
    <t>HB063SD0</t>
  </si>
  <si>
    <t>MAX3-112c-BLK</t>
  </si>
  <si>
    <t>BlueArk X1-4.6kW-SP 1*8kWh</t>
    <phoneticPr fontId="65" type="noConversion"/>
  </si>
  <si>
    <t xml:space="preserve">SPR-NT60-GH 580/585 </t>
    <phoneticPr fontId="65" type="noConversion"/>
  </si>
  <si>
    <t>HSM-BE54-DD485/490</t>
    <phoneticPr fontId="65" type="noConversion"/>
  </si>
  <si>
    <t>SPR-BE54-DC470</t>
  </si>
  <si>
    <t>HB08SD0</t>
  </si>
  <si>
    <t>MAX6-BLK-AC</t>
  </si>
  <si>
    <t>Gen2 1P 6kw</t>
  </si>
  <si>
    <t>BC 100 Battery</t>
  </si>
  <si>
    <t>SPR-NT60-GH 580/585-CFP</t>
    <phoneticPr fontId="65" type="noConversion"/>
  </si>
  <si>
    <t>TCL-MR460DT182-58NS</t>
    <phoneticPr fontId="65" type="noConversion"/>
  </si>
  <si>
    <t>HSM-NT60-GH 580/585</t>
    <phoneticPr fontId="65" type="noConversion"/>
  </si>
  <si>
    <t>HSM-BD54-GA465</t>
  </si>
  <si>
    <t>SPR-BE54-DC475</t>
  </si>
  <si>
    <t>SPR-BE54-HD490/495-CFP</t>
  </si>
  <si>
    <t>HB08SP0</t>
  </si>
  <si>
    <t>MAX7-120c-WHT-IT</t>
  </si>
  <si>
    <t>1P 5kW 2*5kWh</t>
  </si>
  <si>
    <t>BlueArk X1-6kW-SP 1*8kWh</t>
  </si>
  <si>
    <t xml:space="preserve">P7-BLK-2mm-428 </t>
    <phoneticPr fontId="65" type="noConversion"/>
  </si>
  <si>
    <t>HSM-NT66-GH 640/645</t>
    <phoneticPr fontId="65" type="noConversion"/>
  </si>
  <si>
    <t>HSM-BD54-GA470</t>
  </si>
  <si>
    <t>HSM-BE54-JD485/490</t>
    <phoneticPr fontId="65" type="noConversion"/>
  </si>
  <si>
    <t>SPR-BE66-GD595/600-CFP</t>
  </si>
  <si>
    <t>P6 RES BLK AC</t>
  </si>
  <si>
    <t>Gen2 1P 8kw</t>
  </si>
  <si>
    <t>1P 8kW 1*5kWh</t>
  </si>
  <si>
    <t>BlueArk X1-8kW-SP 1*8kWh</t>
  </si>
  <si>
    <t>P7-BLK-1.6mm</t>
    <phoneticPr fontId="65" type="noConversion"/>
  </si>
  <si>
    <t>HSM-NT66-GL 735/740</t>
    <phoneticPr fontId="65" type="noConversion"/>
  </si>
  <si>
    <t>HSM-BD72-GC645</t>
  </si>
  <si>
    <t>HSM-BE54-HD485/490-CFP Black</t>
  </si>
  <si>
    <t>HB16SD0</t>
  </si>
  <si>
    <t>Gen2 3P 10kw</t>
  </si>
  <si>
    <t>Central &amp; East EU</t>
  </si>
  <si>
    <t xml:space="preserve">TCL-MR510DT182-64NS </t>
    <phoneticPr fontId="65" type="noConversion"/>
  </si>
  <si>
    <t>HSM-NT48-JH 475/480 CFP-White</t>
  </si>
  <si>
    <t>HSM-BD66-GR650/655-CFP</t>
  </si>
  <si>
    <t>HB16TD0</t>
  </si>
  <si>
    <t>Gen2 3P 13kw</t>
  </si>
  <si>
    <t xml:space="preserve">TCL-MR515DT182-64NS </t>
    <phoneticPr fontId="65" type="noConversion"/>
  </si>
  <si>
    <t>HSM-NT66-GH 645/650 CFP</t>
    <phoneticPr fontId="65" type="noConversion"/>
  </si>
  <si>
    <t>UPP E-Class</t>
  </si>
  <si>
    <t>HSM-BE54-JD485/490-CFP White</t>
  </si>
  <si>
    <t>HN103SD0</t>
  </si>
  <si>
    <t>Gen2 BAT 5kWh</t>
  </si>
  <si>
    <t>BlueArk X1-12kW-TP 1*8kWh</t>
    <phoneticPr fontId="65" type="noConversion"/>
  </si>
  <si>
    <t xml:space="preserve">P7-BLK-P-500 </t>
    <phoneticPr fontId="65" type="noConversion"/>
  </si>
  <si>
    <t>TCL-MI555DT182-70NS</t>
    <phoneticPr fontId="65" type="noConversion"/>
  </si>
  <si>
    <t xml:space="preserve">HSM-NT48-GH 475/480 CFP-White </t>
  </si>
  <si>
    <t>HT103SD0</t>
  </si>
  <si>
    <t>TCL</t>
    <phoneticPr fontId="65" type="noConversion"/>
  </si>
  <si>
    <t>BlueArk X1-15kW-TP 1*8kWh</t>
    <phoneticPr fontId="65" type="noConversion"/>
  </si>
  <si>
    <t>TCL-MI560DT182-70NS</t>
    <phoneticPr fontId="65" type="noConversion"/>
  </si>
  <si>
    <t>UPP S-Class</t>
  </si>
  <si>
    <t>HSM-ND66-GR615</t>
    <phoneticPr fontId="65" type="noConversion"/>
  </si>
  <si>
    <t>BlueArk X1-3.6kW-SP</t>
  </si>
  <si>
    <t>BlueArk X1-4.6kW-SP</t>
    <phoneticPr fontId="65" type="noConversion"/>
  </si>
  <si>
    <t>addtl BlueArk X1 8.0 BMH</t>
  </si>
  <si>
    <t>BlueArk X1-5kW-SP</t>
  </si>
  <si>
    <t>addtl BlueArk X1 8.0 BSH</t>
  </si>
  <si>
    <t>BlueArk X1-6kW-SP</t>
  </si>
  <si>
    <t>HSM-ND66-GR635</t>
    <phoneticPr fontId="65" type="noConversion"/>
  </si>
  <si>
    <t>BlueArk X1-8kW-SP</t>
    <phoneticPr fontId="65" type="noConversion"/>
  </si>
  <si>
    <t>BlueArk X1-10kW-SP</t>
    <phoneticPr fontId="65" type="noConversion"/>
  </si>
  <si>
    <t xml:space="preserve">BlueArk X1-12kW-TP </t>
    <phoneticPr fontId="65" type="noConversion"/>
  </si>
  <si>
    <t>UPP T-Class</t>
  </si>
  <si>
    <t xml:space="preserve">BlueArk X1-15kW-TP </t>
    <phoneticPr fontId="65" type="noConversion"/>
  </si>
  <si>
    <t>BlueArk BAT 8kWh</t>
  </si>
  <si>
    <t>SPR-BE54-HD</t>
  </si>
  <si>
    <t>SPR-BE54-HD CFP</t>
  </si>
  <si>
    <t>SPR-BE66-GD</t>
  </si>
  <si>
    <t>SPR-BE66-GD CFP</t>
  </si>
  <si>
    <t>SPR-BD54-DC</t>
  </si>
  <si>
    <t>SPR-BE54-DC</t>
  </si>
  <si>
    <t>MAX</t>
  </si>
  <si>
    <t>SPR-NT48-HH 475/480 BLK</t>
  </si>
  <si>
    <t>SPR-NT48-HH</t>
  </si>
  <si>
    <t xml:space="preserve">SPR-NT60-GH 580/585 </t>
  </si>
  <si>
    <t>SPR-NT60-GH</t>
  </si>
  <si>
    <t>SPR-NT60-GH CFP</t>
    <phoneticPr fontId="65" type="noConversion"/>
  </si>
  <si>
    <t>Other P7</t>
  </si>
  <si>
    <t>P7 RES BLK 2.0</t>
  </si>
  <si>
    <t>P7 COM S BF CFP</t>
  </si>
  <si>
    <t>P7-BLK-1.6mm</t>
  </si>
  <si>
    <t>P7-BLK-2mm-428</t>
  </si>
  <si>
    <t>P7-BLK-P-500</t>
  </si>
  <si>
    <t>P7 RES BLK-P</t>
  </si>
  <si>
    <t>P7 COM S BF IT</t>
  </si>
  <si>
    <t>HSM-BE54-HD</t>
  </si>
  <si>
    <t>HSM-BE54-DD</t>
    <phoneticPr fontId="65" type="noConversion"/>
  </si>
  <si>
    <t xml:space="preserve">HSM-BE66-GD </t>
    <phoneticPr fontId="65" type="noConversion"/>
  </si>
  <si>
    <t>HSM-BE54-JD</t>
    <phoneticPr fontId="65" type="noConversion"/>
  </si>
  <si>
    <t>HSM-BE54-HD485/490-CFP</t>
  </si>
  <si>
    <t>HSM-BE54-HD CFP</t>
    <phoneticPr fontId="65" type="noConversion"/>
  </si>
  <si>
    <t>HSM-BE66-GD CFP</t>
  </si>
  <si>
    <t>HSM-BE54-JD485/490-CFP</t>
    <phoneticPr fontId="65" type="noConversion"/>
  </si>
  <si>
    <t>HSM-BE54-JD CFP</t>
    <phoneticPr fontId="65" type="noConversion"/>
  </si>
  <si>
    <t>HSM-BD54-DA</t>
  </si>
  <si>
    <t>HSM-BD54-GA</t>
  </si>
  <si>
    <t>HSM-BD72-GC</t>
  </si>
  <si>
    <t>MG720DT210-68NS</t>
  </si>
  <si>
    <t>MI550DT182-70NS</t>
  </si>
  <si>
    <t>TCL-MI560DT182-70NS</t>
  </si>
  <si>
    <t>MI555DT182-70NS</t>
  </si>
  <si>
    <t>MR455DT182-58NS</t>
  </si>
  <si>
    <t>MR460DT182-58NS</t>
  </si>
  <si>
    <t>MR465DT182-58NS</t>
  </si>
  <si>
    <t>MR470DT182-58NS</t>
  </si>
  <si>
    <t>MR510DT182-64NS</t>
  </si>
  <si>
    <t>TCL-MR515DT182-64NS</t>
  </si>
  <si>
    <t>MR515DT182-64NS</t>
  </si>
  <si>
    <t>TCL-MI555DT182-70NS</t>
  </si>
  <si>
    <t>TCL-MR510DT182-64NS</t>
  </si>
  <si>
    <t>HSM-ND48-DR</t>
  </si>
  <si>
    <t>HSM-ND48-DR445-CFP</t>
    <phoneticPr fontId="65" type="noConversion"/>
  </si>
  <si>
    <t>HSM-ND48-DR CFP</t>
  </si>
  <si>
    <t>HSM-ND54-DR</t>
  </si>
  <si>
    <t>HSM-ND54-DR CFP</t>
  </si>
  <si>
    <t>HSM-ND66-GK</t>
  </si>
  <si>
    <t>HSM-ND66-GR615</t>
  </si>
  <si>
    <t>HSM-ND66-GR</t>
  </si>
  <si>
    <t>HSM-NT48-JH 470/475-White</t>
    <phoneticPr fontId="65" type="noConversion"/>
  </si>
  <si>
    <t>HSM-NT48-JH</t>
  </si>
  <si>
    <t>HSM-NT48-HH 465/470-Black</t>
    <phoneticPr fontId="65" type="noConversion"/>
  </si>
  <si>
    <t>HSM-NT48-HH</t>
  </si>
  <si>
    <t>HSM-NT60-GH</t>
  </si>
  <si>
    <t>HSM-NT66-GH</t>
    <phoneticPr fontId="65" type="noConversion"/>
  </si>
  <si>
    <t>HSM-NT66-GL</t>
  </si>
  <si>
    <t>HSM-NT48-JH 470/475 CFP-White</t>
    <phoneticPr fontId="65" type="noConversion"/>
  </si>
  <si>
    <t>HSM-NT48-JH CFP</t>
  </si>
  <si>
    <t>HSM-NT66-GH CFP</t>
    <phoneticPr fontId="65" type="noConversion"/>
  </si>
  <si>
    <t xml:space="preserve">HSM-NT48-GH 470/475 CFP-White </t>
    <phoneticPr fontId="65" type="noConversion"/>
  </si>
  <si>
    <t>HSM-NT48-GH CFP</t>
    <phoneticPr fontId="65" type="noConversion"/>
  </si>
  <si>
    <t>UPDATE NAMED RANGED WHEN ADDING CUSTOMERS</t>
  </si>
  <si>
    <t>Emerging Markets</t>
  </si>
  <si>
    <t>Italy &amp; Malta</t>
  </si>
  <si>
    <t>UPP</t>
  </si>
  <si>
    <t>BAM Modulaire- en Energieconcepten bv</t>
  </si>
  <si>
    <t>SOLARMARKT GMBH</t>
  </si>
  <si>
    <t>Energy3000 solar GmbH</t>
  </si>
  <si>
    <t>Alians sp.z o.o.</t>
  </si>
  <si>
    <t>3EE srl</t>
  </si>
  <si>
    <t>1KOMMA5 DANMARK A/S</t>
  </si>
  <si>
    <t>ADRATEK SOLUCIONES ENERGÉTICAS SL</t>
  </si>
  <si>
    <t>Eco Technics</t>
  </si>
  <si>
    <t>Benergy B.V.</t>
  </si>
  <si>
    <t>ANANDA GmbH</t>
  </si>
  <si>
    <t>Solexis SA</t>
  </si>
  <si>
    <t>New Customer / Balance of others customers DACH</t>
  </si>
  <si>
    <t>AMELIS INSTAL SRL</t>
  </si>
  <si>
    <t>BC PERIGRAMMA S.A.</t>
  </si>
  <si>
    <t>A.C. Service s.r.l</t>
  </si>
  <si>
    <t>FarmDroid ApS</t>
  </si>
  <si>
    <t>Alromar Energisol</t>
  </si>
  <si>
    <t>AIB Electrical Wholesale Ltd</t>
  </si>
  <si>
    <t>DSA Solar Energy B.V.</t>
  </si>
  <si>
    <t>CAP ECO ENERGIE</t>
  </si>
  <si>
    <t>AECOS Srl</t>
  </si>
  <si>
    <t>ANATRAC ENERGIA SL</t>
  </si>
  <si>
    <t>Alternergy Limited</t>
  </si>
  <si>
    <t>EM Solar</t>
  </si>
  <si>
    <t>EcoLibrium B.V.</t>
  </si>
  <si>
    <t>COURANT NATUREL</t>
  </si>
  <si>
    <t>Aerotek srl</t>
  </si>
  <si>
    <t>Rexel Sverige AB</t>
  </si>
  <si>
    <t>ARENTIO TEKNOWATION, S.L.</t>
  </si>
  <si>
    <t>Energy Protect</t>
  </si>
  <si>
    <t>Energiehuis van Buren V.O.F.</t>
  </si>
  <si>
    <t>Baltsolar UAB</t>
  </si>
  <si>
    <t>AG Energy srl</t>
  </si>
  <si>
    <t>Solar Norge AS</t>
  </si>
  <si>
    <t>B3NERGY S.L.</t>
  </si>
  <si>
    <t>EnergyPro</t>
  </si>
  <si>
    <t>Freenergics B.V.</t>
  </si>
  <si>
    <t>ALEMPOWER SRL</t>
  </si>
  <si>
    <t>CELTA SOLAR SLU</t>
  </si>
  <si>
    <t>Chelsfield Solar</t>
  </si>
  <si>
    <t>EGIDEX SA</t>
  </si>
  <si>
    <t>Alia srl</t>
  </si>
  <si>
    <t>CerO2 Energía y Eficiencia, S.L.</t>
  </si>
  <si>
    <t>City Plumbing Supplies Holdings LTD</t>
  </si>
  <si>
    <t>HS Electricité</t>
  </si>
  <si>
    <t>BUNZ bauart GmbH</t>
  </si>
  <si>
    <t>Ergi Eco Solar</t>
  </si>
  <si>
    <t>ALIBERTI S.R.L.</t>
  </si>
  <si>
    <t>COMERCIAL ELECTRICA CANARIAS S.A</t>
  </si>
  <si>
    <t>Collison Electrical Services</t>
  </si>
  <si>
    <t>Machtelinckx</t>
  </si>
  <si>
    <t>Pebble Green Energy Products BV</t>
  </si>
  <si>
    <t>EU TSE RFI - TENESOL ENDCUSTOMERS</t>
  </si>
  <si>
    <t>All Energy &amp; Architecture srl</t>
  </si>
  <si>
    <t>COMPAÑÍA REGIONAL DE ENERGIA SOLAR SL</t>
  </si>
  <si>
    <t>Demo Partner SunPower UK</t>
  </si>
  <si>
    <t>Prezon B.V.</t>
  </si>
  <si>
    <t>CV Energiebau &amp; Services KG</t>
  </si>
  <si>
    <t>EURL Lamazouade</t>
  </si>
  <si>
    <t>Eurogroup spa</t>
  </si>
  <si>
    <t>WATTS AT HOME ENERGIA S.L.</t>
  </si>
  <si>
    <t>Rail BV</t>
  </si>
  <si>
    <t>Deister-Süntel-Systemlösungen</t>
  </si>
  <si>
    <t>GAZELENERGIE RENOUVELABLES</t>
  </si>
  <si>
    <t>ALL SOLAR SRL</t>
  </si>
  <si>
    <t>Construcciones Emilio Cueto S.L.</t>
  </si>
  <si>
    <t>Samenstromen</t>
  </si>
  <si>
    <t>GENELIOS</t>
  </si>
  <si>
    <t>EZIO GALLI SPA</t>
  </si>
  <si>
    <t>XOLARY COMUNIDAD ENERGÉTICA SL</t>
  </si>
  <si>
    <t>GREEN YELLOW</t>
  </si>
  <si>
    <t>Alternative Energetiche srl</t>
  </si>
  <si>
    <t>Dawsongroup TCS Ibérica, S.L.</t>
  </si>
  <si>
    <t>Energynat Solutions Sp.z o.o.</t>
  </si>
  <si>
    <t>INSTASOL SRL</t>
  </si>
  <si>
    <t>Esaenergie Srl</t>
  </si>
  <si>
    <t>V30 ENERGY SOLUTIONS S.L</t>
  </si>
  <si>
    <t>Zonnefabriek bv</t>
  </si>
  <si>
    <t>ERIN ITALIA S.R.L.</t>
  </si>
  <si>
    <t>UBORA AUTOCONSUMO S.L.</t>
  </si>
  <si>
    <t>RGB Bvba</t>
  </si>
  <si>
    <t>Elektro-Großhandelsunion Neuss GmbH</t>
  </si>
  <si>
    <t>ALTERNATIVE TECHNOLOGIES LTD.</t>
  </si>
  <si>
    <t>Ecogal Energías Renovables, S.L.</t>
  </si>
  <si>
    <t>R-Group SA</t>
  </si>
  <si>
    <t>Zonsimpel</t>
  </si>
  <si>
    <t>Elektrotechnik Ellmann GmbH</t>
  </si>
  <si>
    <t>L.E.R Developpement</t>
  </si>
  <si>
    <t>Altrenergie S.r.l.</t>
  </si>
  <si>
    <t>ECOTELIA SERVICIOS ENERGETICOS S.L.</t>
  </si>
  <si>
    <t>Forever Green Energy</t>
  </si>
  <si>
    <t>ARCHITETTI GREEN SOLUTION SRL</t>
  </si>
  <si>
    <t>ELECTRICIDAD EUFON, S.A.</t>
  </si>
  <si>
    <t>Solar Solution Sav</t>
  </si>
  <si>
    <t>Gatiba Solar Kft.</t>
  </si>
  <si>
    <t>Badano gas Srl</t>
  </si>
  <si>
    <t>Enbiente Energia e Ambiente Lda</t>
  </si>
  <si>
    <t>GAVRIEL I. CONSTANTINOU TRADING LTD</t>
  </si>
  <si>
    <t>LE SOLEIL DE CHANENC</t>
  </si>
  <si>
    <t>Baraclit S.p.A.</t>
  </si>
  <si>
    <t>ENERGANOVA SOLUCIONES S.L.</t>
  </si>
  <si>
    <t>GEMINOX SRL</t>
  </si>
  <si>
    <t>FERRERO SRL</t>
  </si>
  <si>
    <t>Suncell SRL</t>
  </si>
  <si>
    <t>Milliot Green - Reno.energy</t>
  </si>
  <si>
    <t>BDM Servizi srl</t>
  </si>
  <si>
    <t>ENERGÍAS RENOVABLES HG S.L.U.</t>
  </si>
  <si>
    <t>HGPV Ltd</t>
  </si>
  <si>
    <t>TotalEnergies Solutions Belgium</t>
  </si>
  <si>
    <t>Heritage Advice S.R.L.</t>
  </si>
  <si>
    <t>Biotech Energia S.R.L.</t>
  </si>
  <si>
    <t>ESPAI ELECTRIC INTEGRAL SL</t>
  </si>
  <si>
    <t>BM Impianti srl</t>
  </si>
  <si>
    <t>EUROCLIMA MADRID SL</t>
  </si>
  <si>
    <t>Infinity Energy Services Ltd</t>
  </si>
  <si>
    <t>NFRS Unipessoal Lda</t>
  </si>
  <si>
    <t>C.I.E.B. Elettroforniture S.p.A.</t>
  </si>
  <si>
    <t>EX SIGHT SPAIN S.L.</t>
  </si>
  <si>
    <t>FIMA Projekt GmbH</t>
  </si>
  <si>
    <t>NovaSolar AS</t>
  </si>
  <si>
    <t>EUROELEKTRA SHPK</t>
  </si>
  <si>
    <t>VOLTECNIA S.L.</t>
  </si>
  <si>
    <t>Cerri Impianti S.a.s.</t>
  </si>
  <si>
    <t>Fotovolta Electricidad S.L.</t>
  </si>
  <si>
    <t>Links Electrical supplies Ltd</t>
  </si>
  <si>
    <t>Groob Elektro GmbH &amp; Co. KG</t>
  </si>
  <si>
    <t>Mobis-electronic d.o.o.</t>
  </si>
  <si>
    <t>RICHARDSON</t>
  </si>
  <si>
    <t>Chiodo s.a.s. di Chiodo Angelo &amp; figli</t>
  </si>
  <si>
    <t>Generka</t>
  </si>
  <si>
    <t>New Customer / Balance of others customers EM</t>
  </si>
  <si>
    <t>SARL EMONA CONNECT</t>
  </si>
  <si>
    <t>COMET S.P.A.</t>
  </si>
  <si>
    <t>Idderman Gasteiz, S.L.</t>
  </si>
  <si>
    <t>SAS MAVISUN</t>
  </si>
  <si>
    <t>Corna srl</t>
  </si>
  <si>
    <t>INDEL INSTAL.LACIONS TECNIQUES, SLU</t>
  </si>
  <si>
    <t>SOLSTYCE SAS</t>
  </si>
  <si>
    <t>Demo Partner SunPower Italia</t>
  </si>
  <si>
    <t>Instalaciones Fotovoltaicas Voltfer S.L.</t>
  </si>
  <si>
    <t>OCS Technical Services Limited</t>
  </si>
  <si>
    <t>SOREGIES</t>
  </si>
  <si>
    <t>DISTRIBUZIONE ITALIA SRL</t>
  </si>
  <si>
    <t>INSTALACIONES SOLAR ENER RESIDENCIAL S.L.</t>
  </si>
  <si>
    <t>Holzbau Deuerling e.K.</t>
  </si>
  <si>
    <t>PROCARTE PV SP Z O O</t>
  </si>
  <si>
    <t>TotalEnergies Electricite et Gaz France</t>
  </si>
  <si>
    <t>DMT GROUP S.R.L</t>
  </si>
  <si>
    <t>INTELLIGENT ENERGY CONNECTION SL</t>
  </si>
  <si>
    <t>Project Better Energy Ltd</t>
  </si>
  <si>
    <t>Domus Solaris srl</t>
  </si>
  <si>
    <t>ION PROYECTOS DE INSTALACIONES ESTUDIO Y DESARROLLO SL</t>
  </si>
  <si>
    <t>Project Solar UK</t>
  </si>
  <si>
    <t>Ingenieurburo Gerard Wolf</t>
  </si>
  <si>
    <t>Eco Energie Srl</t>
  </si>
  <si>
    <t>JCSolarlive S.L.</t>
  </si>
  <si>
    <t>Janergy GmbH</t>
  </si>
  <si>
    <t>WEWISE SOLTEA</t>
  </si>
  <si>
    <t>Eco3 srl</t>
  </si>
  <si>
    <t>Judelsa</t>
  </si>
  <si>
    <t>KuehnSolar GmbH</t>
  </si>
  <si>
    <t>EcomEnergia Srl</t>
  </si>
  <si>
    <t>KAYLON ENERGIAS RENOVABLES SL</t>
  </si>
  <si>
    <t>Ecotechno Impianti srl</t>
  </si>
  <si>
    <t>LINC-EVOLUTION SL</t>
  </si>
  <si>
    <t>Solarworks Ltd</t>
  </si>
  <si>
    <t>KÜTRO GMBH &amp; CO. KG</t>
  </si>
  <si>
    <t>ECOTECNO GROUP SRL</t>
  </si>
  <si>
    <t>Ekoteam srl</t>
  </si>
  <si>
    <t>Elettrica Rogeno Srl</t>
  </si>
  <si>
    <t>PROMOLAR XESTION SLU</t>
  </si>
  <si>
    <t>UAB Elmitra</t>
  </si>
  <si>
    <t>Elettro M2 di Maroni Giordano e C. S.n.c.</t>
  </si>
  <si>
    <t>PROYECTOS Y MONTAJES ELECTRICOS RIOJANOS SL</t>
  </si>
  <si>
    <t>Swift Solar Solutions Ltd</t>
  </si>
  <si>
    <t>Moderne Haustechnik Steffi Merk</t>
  </si>
  <si>
    <t>Veesla UAB</t>
  </si>
  <si>
    <t>Elettrosistemi srl</t>
  </si>
  <si>
    <t>SANIBRAVA 96 SL</t>
  </si>
  <si>
    <t>ELIOS S.R.L.</t>
  </si>
  <si>
    <t>Saura Futura SL</t>
  </si>
  <si>
    <t>Techfor Energy Ltd</t>
  </si>
  <si>
    <t>WIREN ROMANIA SRL</t>
  </si>
  <si>
    <t>Elmec Solar S.r.l.</t>
  </si>
  <si>
    <t>SD Green Group S.L</t>
  </si>
  <si>
    <t>The Little Green Energy Company - Guernsey Office</t>
  </si>
  <si>
    <t>Multipunkt GmbH</t>
  </si>
  <si>
    <t>Energ-Etica srl</t>
  </si>
  <si>
    <t>SFE SOLAR LOGISTIC SL</t>
  </si>
  <si>
    <t>EPS Engineering srl</t>
  </si>
  <si>
    <t>Tecnomax C&amp;A SL</t>
  </si>
  <si>
    <t>Energheia S.r.l. Energie Alternative</t>
  </si>
  <si>
    <t>SILVASOL ENERGIA SISTEMAS Y SERVICIOS S.A.</t>
  </si>
  <si>
    <t>UK Greentech Glasgow 669</t>
  </si>
  <si>
    <t>SOLAR POWER SYSTEMS TW S.L</t>
  </si>
  <si>
    <t>UK Greentech Lincoln 674</t>
  </si>
  <si>
    <t>Energia Italia S.p.A. a Socio Unico</t>
  </si>
  <si>
    <t>SOLAR TOTAL CATALUNYA SL</t>
  </si>
  <si>
    <t>UK Greentech Middlesbrough 668</t>
  </si>
  <si>
    <t>ENERGY FUTURE SRLS</t>
  </si>
  <si>
    <t>SOLARCHAIN ENERGIA SL</t>
  </si>
  <si>
    <t>UK GREENTECH RUGBY</t>
  </si>
  <si>
    <t>RAACH SOLAR PROJECTS GmbH</t>
  </si>
  <si>
    <t>Energy Indipendence srl</t>
  </si>
  <si>
    <t>SOLARGEST RENOVABLES SL</t>
  </si>
  <si>
    <t>UK Greentech Rugby 663</t>
  </si>
  <si>
    <t>Enersafe srl</t>
  </si>
  <si>
    <t>SOLARTRADEX SL</t>
  </si>
  <si>
    <t>Western Counties Roofing Ltd.</t>
  </si>
  <si>
    <t>Enre Energy &amp; Resources srl</t>
  </si>
  <si>
    <t>Futura srl</t>
  </si>
  <si>
    <t>GED SOLIS SRL</t>
  </si>
  <si>
    <t>GLOBAL ENERTECH SRL</t>
  </si>
  <si>
    <t>Schubert + Kühn GmbH &amp; Co. KG</t>
  </si>
  <si>
    <t>GLOBAL SOLAR M.F. SRLS</t>
  </si>
  <si>
    <t>Global Solar Srl</t>
  </si>
  <si>
    <t>Global Technologies S.R.L.</t>
  </si>
  <si>
    <t>GREEN BUILDING S.R.L.</t>
  </si>
  <si>
    <t>Green Energy Group srl</t>
  </si>
  <si>
    <t>GREEN POWER ENERGIA SRL</t>
  </si>
  <si>
    <t>Sonnwärts GmbH</t>
  </si>
  <si>
    <t>GREENAGENT S.R.L.</t>
  </si>
  <si>
    <t>GREENVOLT NEXT ITALIA S.P.A.</t>
  </si>
  <si>
    <t>Thürlings Elektro- und Haustechnik GmbH</t>
  </si>
  <si>
    <t>GS SERVICE SRL</t>
  </si>
  <si>
    <t>Vale GmbH</t>
  </si>
  <si>
    <t>Hello Energy SRL</t>
  </si>
  <si>
    <t>Icaro srl</t>
  </si>
  <si>
    <t>Idea Casa Solution srl</t>
  </si>
  <si>
    <t>Yuma GmbH</t>
  </si>
  <si>
    <t>IM - EL Osasio srl</t>
  </si>
  <si>
    <t>IMEE S.R.L.</t>
  </si>
  <si>
    <t>Impianti Leonardo S.r.l.</t>
  </si>
  <si>
    <t>IMPRESA MATARRESE</t>
  </si>
  <si>
    <t>IS ENERGY srl</t>
  </si>
  <si>
    <t>ISD Co Ltd</t>
  </si>
  <si>
    <t>ISP Engineering s.r.l.</t>
  </si>
  <si>
    <t>Italtekno S.r.L.</t>
  </si>
  <si>
    <t>Itek srl</t>
  </si>
  <si>
    <t>Kennew srl</t>
  </si>
  <si>
    <t>L.ENERGY DI LUSHA ANDI</t>
  </si>
  <si>
    <t>LD Service srl</t>
  </si>
  <si>
    <t>Lemon Sistemi S.p.a.</t>
  </si>
  <si>
    <t>Lightland Soluzioni Energia srl</t>
  </si>
  <si>
    <t>Luce Srl Impianti ed Energia</t>
  </si>
  <si>
    <t>MARCHIOL S.P.A.</t>
  </si>
  <si>
    <t>MARINI-PANDOLFI S.P.A.</t>
  </si>
  <si>
    <t>Medielettra e C. Sas di Badalamenti Angelo</t>
  </si>
  <si>
    <t>ND Consulting &amp; Services</t>
  </si>
  <si>
    <t>NELLO VIOTTO srl</t>
  </si>
  <si>
    <t>New Impiantistica S.r.l</t>
  </si>
  <si>
    <t>Next Italia Srl</t>
  </si>
  <si>
    <t>Novaenergy srl</t>
  </si>
  <si>
    <t>NPN Energy srl</t>
  </si>
  <si>
    <t>O&amp;M Green Service S.c.</t>
  </si>
  <si>
    <t>OET GmbH SRL</t>
  </si>
  <si>
    <t>POWER UNIT SRL</t>
  </si>
  <si>
    <t>Prima Soluzioni S.r.l.</t>
  </si>
  <si>
    <t>PROENERGY srl</t>
  </si>
  <si>
    <t>Project Group S.r.l.</t>
  </si>
  <si>
    <t>Project Group Srl</t>
  </si>
  <si>
    <t>Pv System srls</t>
  </si>
  <si>
    <t>QUAD AUTOMAZIONI SRL</t>
  </si>
  <si>
    <t>R.M. TECH SRL</t>
  </si>
  <si>
    <t>Rematarlazzi S.p.A.</t>
  </si>
  <si>
    <t>Renergia srl</t>
  </si>
  <si>
    <t>REXENERGY SRL</t>
  </si>
  <si>
    <t>Rinnova Energy Solution srl</t>
  </si>
  <si>
    <t>S. ENERGIE ALTERNATIVE S.R.L.</t>
  </si>
  <si>
    <t>S.A.I.E. Automation Srl</t>
  </si>
  <si>
    <t>S.C.I.P. Energy Solution Srl</t>
  </si>
  <si>
    <t>SAEM ENERGIE ALTERNATIVE S.R.L.</t>
  </si>
  <si>
    <t>SAN MARCO SRL</t>
  </si>
  <si>
    <t>SANTERO FRATELLI &amp; C.I.V.A.S.S. S.p.A.</t>
  </si>
  <si>
    <t>Sarden Srl</t>
  </si>
  <si>
    <t>SAT &amp; MULTIMEDIA SRL</t>
  </si>
  <si>
    <t>SERVICE43 SRL</t>
  </si>
  <si>
    <t>SIET SERVICE SRL</t>
  </si>
  <si>
    <t>SIMASOLAR S.R.L.</t>
  </si>
  <si>
    <t>SIMEVIGNUDA S.P.A.</t>
  </si>
  <si>
    <t>SINERGI SRL</t>
  </si>
  <si>
    <t>SINERGY SOLAR S.R.L.</t>
  </si>
  <si>
    <t>Sistemi Fotovoltaici.com Srl</t>
  </si>
  <si>
    <t>Smartec srl</t>
  </si>
  <si>
    <t>Soladria Energia Srl</t>
  </si>
  <si>
    <t>SOLARIT S.R.L. UNIPERSONALE</t>
  </si>
  <si>
    <t>SOLEGREEN S.R.L.</t>
  </si>
  <si>
    <t>Solenergy2m Srl</t>
  </si>
  <si>
    <t>SOLEVENTO SRL</t>
  </si>
  <si>
    <t>Soluzioni Green SRL</t>
  </si>
  <si>
    <t>Sonepar Italia S.p.A</t>
  </si>
  <si>
    <t>SOPIM S.R.L.</t>
  </si>
  <si>
    <t>Staes Srl</t>
  </si>
  <si>
    <t>Stone Pine srl</t>
  </si>
  <si>
    <t>Sun Eco Power srl</t>
  </si>
  <si>
    <t>SUN@NET S.R.L.</t>
  </si>
  <si>
    <t>SUNPOWER ITALIA S.R.L.</t>
  </si>
  <si>
    <t>Sustech S.p.A – S.B</t>
  </si>
  <si>
    <t>TECHNOGELOX SRL</t>
  </si>
  <si>
    <t>TECNO-LARIO S.P.A.</t>
  </si>
  <si>
    <t>TECNOLOGIE SOLARI SICILIA SRL</t>
  </si>
  <si>
    <t>TECNOSOL SRL</t>
  </si>
  <si>
    <t>TECSOLIS S.r.l.</t>
  </si>
  <si>
    <t>TERMONOVA S.p.A.</t>
  </si>
  <si>
    <t>TEST S.R.L.</t>
  </si>
  <si>
    <t>T–GREEN Srl a socio unico</t>
  </si>
  <si>
    <t>Utopia srl</t>
  </si>
  <si>
    <t>Valore Solare srl</t>
  </si>
  <si>
    <t>VENECO SRL</t>
  </si>
  <si>
    <t>VERZEGNASSI TECNOIMPIANTI SRL</t>
  </si>
  <si>
    <t>Viola Elettrotecnica S.r.l.</t>
  </si>
  <si>
    <t>Vip Energy di Tortoriello I.</t>
  </si>
  <si>
    <t>Vivisolar Srl</t>
  </si>
  <si>
    <t>VOLTANEO ITALIA S.R.L.</t>
  </si>
  <si>
    <t>Stage description</t>
  </si>
  <si>
    <t>Expectation</t>
  </si>
  <si>
    <t>Status</t>
    <phoneticPr fontId="4" type="noConversion"/>
  </si>
  <si>
    <t>Probability / Weight</t>
  </si>
  <si>
    <t>Opportunity qualification</t>
  </si>
  <si>
    <t>Prospection</t>
  </si>
  <si>
    <t>Open</t>
    <phoneticPr fontId="4" type="noConversion"/>
  </si>
  <si>
    <t>Round 1, Budgetary offer (10 candidates), Initial price offering</t>
  </si>
  <si>
    <t>Open</t>
  </si>
  <si>
    <t>Round 2/3, Binding offer &amp; contract review</t>
  </si>
  <si>
    <t>Pipeline</t>
  </si>
  <si>
    <t>Best and Final Offer made, 3/4 candidates</t>
  </si>
  <si>
    <t>Best Case</t>
  </si>
  <si>
    <t>Final contract negotiation / close financing</t>
  </si>
  <si>
    <t>Committed</t>
  </si>
  <si>
    <t>Contract signed</t>
  </si>
  <si>
    <t>Won</t>
  </si>
  <si>
    <t>Locked</t>
  </si>
  <si>
    <t>Order intake</t>
  </si>
  <si>
    <t>Booked</t>
  </si>
  <si>
    <t>Lost</t>
  </si>
  <si>
    <t>Ommit</t>
  </si>
  <si>
    <t>Business Cat</t>
    <phoneticPr fontId="4" type="noConversion"/>
  </si>
  <si>
    <t>Description</t>
  </si>
  <si>
    <t>DG</t>
  </si>
  <si>
    <t>Components projects with light pre-sales processes on customer side (no RFQ, no customer qualification, standard contracts, etc)</t>
  </si>
  <si>
    <t>TCL Solar</t>
  </si>
  <si>
    <t>Distributors</t>
  </si>
  <si>
    <t>Utilities / ground mount with strong RFQ processes</t>
  </si>
  <si>
    <t>OEM</t>
  </si>
  <si>
    <t>Original Equipment Manufacturer</t>
  </si>
  <si>
    <t>ODM</t>
  </si>
  <si>
    <t>Original Designed Manufacturer</t>
  </si>
  <si>
    <t>Incoterm</t>
  </si>
  <si>
    <t>Invoicing</t>
  </si>
  <si>
    <t>FCA</t>
  </si>
  <si>
    <t>FOB</t>
  </si>
  <si>
    <t>CIF</t>
  </si>
  <si>
    <t>CIP</t>
  </si>
  <si>
    <t>DAP port</t>
  </si>
  <si>
    <t>DAP site</t>
  </si>
  <si>
    <t>DDP</t>
  </si>
  <si>
    <t>Asking for DDP price, Possible Caroline LI, Q2-Q3 Must win - Delayed Q4 due to permits</t>
  </si>
  <si>
    <t>3 Units - Asking price €14.000 to accept - Not accepted from me</t>
  </si>
  <si>
    <t>2 CT 505W - Price France.</t>
  </si>
  <si>
    <t>HSM-NT60-GH 580/585 - T5_Pro_M</t>
  </si>
  <si>
    <t>HSM-NT48-JH 470/475 - T5_Pro_S_White</t>
  </si>
  <si>
    <t>Customer is ESR</t>
  </si>
  <si>
    <t>BlueArk X1 15K-TP  1*8kWh</t>
  </si>
  <si>
    <t>Seb</t>
  </si>
  <si>
    <t>HSM-NT48-JH 470/475 CFP - T5_Pro_S_White_CFP</t>
  </si>
  <si>
    <t>HSM-NT48-HH 460/465 - T5_Pro_S_Black</t>
  </si>
  <si>
    <t>HSM-NT66-GH 645/650 - T5_Pro_L_PP</t>
  </si>
  <si>
    <t>HSM-NT66-GL 740/745 - T5_Pro_XL_PP</t>
  </si>
  <si>
    <t>HSM-BE54-HD495/500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</si>
</sst>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76" formatCode="_(* #,##0.00_);_(* \(#,##0.00\);_(* &quot;-&quot;??_);_(@_)"/>
    <numFmt numFmtId="177" formatCode="_-* #,##0.00_-;\-* #,##0.00_-;_-* &quot;-&quot;??_-;_-@_-"/>
    <numFmt numFmtId="178" formatCode="_-* #,##0.00\ _€_-;\-* #,##0.00\ _€_-;_-* &quot;-&quot;??\ _€_-;_-@_-"/>
    <numFmt numFmtId="179" formatCode="_-&quot;€&quot;\ * #,##0.00_-;\-&quot;€&quot;\ * #,##0.00_-;_-&quot;€&quot;\ * &quot;-&quot;??_-;_-@_-"/>
    <numFmt numFmtId="180" formatCode="0.0%"/>
    <numFmt numFmtId="181" formatCode="_ * #,##0_ ;_ * \-#,##0_ ;_ * &quot;-&quot;??_ ;_ @_ "/>
    <numFmt numFmtId="182" formatCode="_ * #,##0.0_ ;_ * \-#,##0.0_ ;_ * &quot;-&quot;??_ ;_ @_ "/>
    <numFmt numFmtId="183" formatCode="0.0"/>
    <numFmt numFmtId="184" formatCode="0.000"/>
  </numFmts>
  <fonts count="79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10"/>
      <name val="Times New Roman"/>
      <family val="1"/>
    </font>
    <font>
      <sz val="10"/>
      <color theme="0"/>
      <name val="Times New Roman"/>
      <family val="1"/>
    </font>
    <font>
      <b/>
      <sz val="10"/>
      <name val="Times New Roman"/>
      <family val="1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8"/>
      <color theme="1"/>
      <name val="宋体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0"/>
      <color indexed="8"/>
      <name val="Arial"/>
      <family val="2"/>
    </font>
    <font>
      <sz val="12"/>
      <name val="宋体"/>
      <family val="3"/>
      <charset val="134"/>
    </font>
    <font>
      <sz val="18"/>
      <color theme="3"/>
      <name val="宋体"/>
      <family val="2"/>
      <scheme val="major"/>
    </font>
    <font>
      <b/>
      <sz val="11"/>
      <color theme="0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i/>
      <sz val="11"/>
      <color rgb="FF7F7F7F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sz val="11"/>
      <color rgb="FF9C5700"/>
      <name val="宋体"/>
      <family val="2"/>
      <scheme val="minor"/>
    </font>
    <font>
      <sz val="11"/>
      <color rgb="FFFA7D00"/>
      <name val="宋体"/>
      <family val="2"/>
      <scheme val="minor"/>
    </font>
    <font>
      <sz val="11"/>
      <color theme="1"/>
      <name val="宋体"/>
      <family val="2"/>
      <scheme val="minor"/>
    </font>
    <font>
      <sz val="8"/>
      <name val="宋体"/>
      <family val="2"/>
      <scheme val="minor"/>
    </font>
    <font>
      <sz val="10"/>
      <name val="Arial"/>
      <family val="2"/>
    </font>
    <font>
      <sz val="10"/>
      <color theme="1"/>
      <name val="宋体"/>
      <family val="2"/>
      <charset val="134"/>
      <scheme val="minor"/>
    </font>
    <font>
      <sz val="10"/>
      <color rgb="FFFFFFFF"/>
      <name val="Arial"/>
      <family val="2"/>
    </font>
    <font>
      <sz val="11"/>
      <color rgb="FF000000"/>
      <name val="Inherit"/>
    </font>
    <font>
      <sz val="11"/>
      <color theme="1"/>
      <name val="宋体"/>
      <family val="2"/>
      <charset val="134"/>
      <scheme val="minor"/>
    </font>
    <font>
      <b/>
      <sz val="14"/>
      <color rgb="FF0070C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0"/>
      <color theme="1"/>
      <name val="宋体"/>
      <family val="2"/>
      <scheme val="minor"/>
    </font>
    <font>
      <b/>
      <sz val="10"/>
      <color rgb="FF1E366A"/>
      <name val="宋体"/>
      <family val="3"/>
      <charset val="134"/>
      <scheme val="minor"/>
    </font>
    <font>
      <sz val="11"/>
      <color rgb="FF9C0006"/>
      <name val="宋体"/>
      <family val="4"/>
      <charset val="134"/>
      <scheme val="minor"/>
    </font>
    <font>
      <sz val="11"/>
      <name val="Inherit"/>
    </font>
    <font>
      <sz val="8"/>
      <name val="宋体"/>
      <family val="2"/>
      <scheme val="minor"/>
    </font>
    <font>
      <b/>
      <sz val="11"/>
      <color theme="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宋体"/>
      <family val="2"/>
      <scheme val="minor"/>
    </font>
    <font>
      <sz val="10"/>
      <color rgb="FFFF0000"/>
      <name val="Times New Roman"/>
      <family val="1"/>
    </font>
    <font>
      <sz val="10"/>
      <color theme="1"/>
      <name val="宋体"/>
      <family val="2"/>
      <scheme val="major"/>
    </font>
    <font>
      <sz val="10"/>
      <color theme="0"/>
      <name val="宋体"/>
      <family val="2"/>
      <scheme val="major"/>
    </font>
    <font>
      <sz val="10"/>
      <name val="宋体"/>
      <family val="2"/>
      <scheme val="major"/>
    </font>
    <font>
      <b/>
      <sz val="11"/>
      <color theme="0"/>
      <name val="宋体"/>
      <family val="2"/>
      <scheme val="major"/>
    </font>
    <font>
      <sz val="11"/>
      <name val="宋体"/>
      <family val="2"/>
      <scheme val="minor"/>
    </font>
    <font>
      <sz val="11"/>
      <color theme="1"/>
      <name val="宋体"/>
      <family val="4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2"/>
      <scheme val="minor"/>
    </font>
    <font>
      <sz val="8"/>
      <name val="宋体"/>
      <family val="2"/>
      <scheme val="minor"/>
    </font>
    <font>
      <b/>
      <sz val="10"/>
      <color theme="1"/>
      <name val="宋体"/>
      <family val="2"/>
      <scheme val="major"/>
    </font>
    <font>
      <b/>
      <sz val="10"/>
      <color theme="1"/>
      <name val="Times New Roman"/>
      <family val="1"/>
    </font>
    <font>
      <b/>
      <sz val="10"/>
      <name val="宋体"/>
      <family val="2"/>
      <scheme val="major"/>
    </font>
    <font>
      <b/>
      <sz val="10"/>
      <color theme="0"/>
      <name val="Times New Roman"/>
      <family val="1"/>
    </font>
    <font>
      <sz val="8"/>
      <name val="宋体"/>
      <family val="2"/>
      <scheme val="minor"/>
    </font>
    <font>
      <sz val="10"/>
      <color rgb="FF000000"/>
      <name val="宋体"/>
      <family val="2"/>
      <scheme val="major"/>
    </font>
    <font>
      <sz val="9"/>
      <name val="宋体"/>
      <family val="3"/>
      <charset val="134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10"/>
      <color theme="1"/>
      <name val="Microsoft YaHei"/>
      <family val="2"/>
      <charset val="134"/>
    </font>
    <font>
      <sz val="11"/>
      <color rgb="FF006100"/>
      <name val="Microsoft YaHei"/>
      <family val="2"/>
      <charset val="134"/>
    </font>
    <font>
      <sz val="11"/>
      <color rgb="FF9C0006"/>
      <name val="Microsoft YaHei"/>
      <family val="2"/>
      <charset val="134"/>
    </font>
    <font>
      <sz val="10"/>
      <color theme="0"/>
      <name val="Microsoft YaHei"/>
      <family val="2"/>
      <charset val="134"/>
    </font>
    <font>
      <sz val="11"/>
      <color rgb="FF242424"/>
      <name val="Microsoft YaHei"/>
      <family val="2"/>
      <charset val="134"/>
    </font>
    <font>
      <sz val="11"/>
      <color rgb="FFFF0000"/>
      <name val="Microsoft YaHei"/>
      <family val="2"/>
      <charset val="134"/>
    </font>
    <font>
      <b/>
      <sz val="10"/>
      <color rgb="FFFF0000"/>
      <name val="宋体"/>
      <family val="2"/>
      <scheme val="major"/>
    </font>
    <font>
      <b/>
      <sz val="11"/>
      <color theme="0"/>
      <name val="宋体"/>
      <family val="2"/>
      <charset val="134"/>
      <scheme val="minor"/>
    </font>
    <font>
      <sz val="10"/>
      <color rgb="FF000000"/>
      <name val="微软雅黑"/>
      <family val="2"/>
    </font>
    <font>
      <sz val="10"/>
      <color theme="0"/>
      <name val="Times New Roman"/>
      <family val="1"/>
    </font>
    <font>
      <sz val="10"/>
      <color theme="1"/>
      <name val="Times New Roman"/>
      <family val="1"/>
    </font>
  </fonts>
  <fills count="9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7CDED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CCFF"/>
        <bgColor indexed="64"/>
      </patternFill>
    </fill>
    <fill>
      <patternFill patternType="solid">
        <fgColor rgb="FFFCD4F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9D9D9"/>
        <bgColor rgb="FFD9D9D9"/>
      </patternFill>
    </fill>
  </fills>
  <borders count="5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theme="4" tint="-0.249977111117893"/>
      </top>
      <bottom style="thin">
        <color theme="4" tint="0.79989013336588644"/>
      </bottom>
      <diagonal/>
    </border>
    <border>
      <left/>
      <right/>
      <top style="thin">
        <color theme="4" tint="-0.249977111117893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88402966399123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rgb="FF00B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B050"/>
      </top>
      <bottom style="thin">
        <color indexed="64"/>
      </bottom>
      <diagonal/>
    </border>
    <border>
      <left/>
      <right style="thin">
        <color indexed="64"/>
      </right>
      <top style="medium">
        <color rgb="FF00B050"/>
      </top>
      <bottom style="thin">
        <color indexed="64"/>
      </bottom>
      <diagonal/>
    </border>
    <border>
      <left/>
      <right style="thin">
        <color indexed="64"/>
      </right>
      <top style="thin">
        <color theme="4" tint="-0.249977111117893"/>
      </top>
      <bottom/>
      <diagonal/>
    </border>
    <border>
      <left/>
      <right/>
      <top/>
      <bottom style="medium">
        <color theme="4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-0.249977111117893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93">
    <xf numFmtId="0" fontId="0" fillId="0" borderId="0"/>
    <xf numFmtId="43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32" fillId="29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6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1">
      <alignment horizontal="center" vertical="center"/>
    </xf>
    <xf numFmtId="0" fontId="32" fillId="36" borderId="1">
      <alignment horizontal="center" vertical="center"/>
    </xf>
    <xf numFmtId="0" fontId="14" fillId="0" borderId="1">
      <alignment horizontal="right" vertical="center"/>
    </xf>
    <xf numFmtId="0" fontId="14" fillId="0" borderId="1">
      <alignment horizontal="right" vertical="center"/>
    </xf>
    <xf numFmtId="0" fontId="14" fillId="0" borderId="1">
      <alignment horizontal="center" vertical="center"/>
    </xf>
    <xf numFmtId="0" fontId="15" fillId="0" borderId="0"/>
    <xf numFmtId="0" fontId="16" fillId="0" borderId="0"/>
    <xf numFmtId="0" fontId="15" fillId="0" borderId="0"/>
    <xf numFmtId="0" fontId="32" fillId="0" borderId="0"/>
    <xf numFmtId="0" fontId="32" fillId="0" borderId="0"/>
    <xf numFmtId="0" fontId="32" fillId="0" borderId="0"/>
    <xf numFmtId="0" fontId="32" fillId="0" borderId="0">
      <alignment vertical="center"/>
    </xf>
    <xf numFmtId="0" fontId="32" fillId="36" borderId="1">
      <alignment horizontal="left" vertical="center"/>
    </xf>
    <xf numFmtId="0" fontId="32" fillId="36" borderId="1">
      <alignment horizontal="left" vertical="center"/>
    </xf>
    <xf numFmtId="0" fontId="32" fillId="36" borderId="1">
      <alignment horizontal="left" vertical="center"/>
    </xf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178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17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32" fillId="0" borderId="0"/>
    <xf numFmtId="0" fontId="32" fillId="0" borderId="0">
      <alignment vertical="center"/>
    </xf>
    <xf numFmtId="0" fontId="32" fillId="0" borderId="0"/>
    <xf numFmtId="0" fontId="32" fillId="0" borderId="0"/>
    <xf numFmtId="0" fontId="15" fillId="0" borderId="0"/>
    <xf numFmtId="0" fontId="6" fillId="0" borderId="0"/>
    <xf numFmtId="0" fontId="32" fillId="0" borderId="0">
      <alignment vertical="center"/>
    </xf>
    <xf numFmtId="0" fontId="32" fillId="0" borderId="0">
      <alignment vertical="center"/>
    </xf>
    <xf numFmtId="0" fontId="19" fillId="0" borderId="0"/>
    <xf numFmtId="0" fontId="19" fillId="0" borderId="0"/>
    <xf numFmtId="0" fontId="20" fillId="0" borderId="0">
      <alignment vertical="center"/>
    </xf>
    <xf numFmtId="0" fontId="32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0" fillId="0" borderId="0">
      <alignment vertical="top"/>
    </xf>
    <xf numFmtId="0" fontId="20" fillId="0" borderId="0">
      <alignment vertical="top"/>
    </xf>
    <xf numFmtId="0" fontId="32" fillId="0" borderId="0"/>
    <xf numFmtId="0" fontId="20" fillId="0" borderId="0"/>
    <xf numFmtId="0" fontId="32" fillId="0" borderId="0"/>
    <xf numFmtId="0" fontId="32" fillId="0" borderId="0"/>
    <xf numFmtId="0" fontId="19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/>
    <xf numFmtId="0" fontId="11" fillId="0" borderId="11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9" borderId="8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32" fillId="16" borderId="5" applyNumberFormat="0" applyFont="0" applyAlignment="0" applyProtection="0">
      <alignment vertical="center"/>
    </xf>
    <xf numFmtId="0" fontId="32" fillId="16" borderId="5" applyNumberFormat="0" applyFont="0" applyAlignment="0" applyProtection="0">
      <alignment vertical="center"/>
    </xf>
    <xf numFmtId="9" fontId="15" fillId="0" borderId="0" applyFont="0" applyFill="0" applyBorder="0" applyAlignment="0" applyProtection="0"/>
    <xf numFmtId="0" fontId="24" fillId="23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8" borderId="6" applyNumberFormat="0" applyAlignment="0" applyProtection="0">
      <alignment vertical="center"/>
    </xf>
    <xf numFmtId="179" fontId="32" fillId="0" borderId="0" applyFont="0" applyFill="0" applyBorder="0" applyAlignment="0" applyProtection="0"/>
    <xf numFmtId="0" fontId="28" fillId="17" borderId="6" applyNumberFormat="0" applyAlignment="0" applyProtection="0">
      <alignment vertical="center"/>
    </xf>
    <xf numFmtId="0" fontId="29" fillId="18" borderId="7" applyNumberFormat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4" fillId="0" borderId="0"/>
    <xf numFmtId="0" fontId="3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11" applyNumberFormat="0" applyFill="0" applyAlignment="0" applyProtection="0"/>
    <xf numFmtId="0" fontId="13" fillId="0" borderId="0" applyNumberFormat="0" applyFill="0" applyBorder="0" applyAlignment="0" applyProtection="0"/>
    <xf numFmtId="0" fontId="17" fillId="44" borderId="0" applyNumberFormat="0" applyBorder="0" applyAlignment="0" applyProtection="0"/>
    <xf numFmtId="0" fontId="35" fillId="0" borderId="0">
      <alignment vertical="center"/>
    </xf>
    <xf numFmtId="0" fontId="43" fillId="45" borderId="0" applyNumberFormat="0" applyBorder="0" applyAlignment="0" applyProtection="0"/>
    <xf numFmtId="176" fontId="15" fillId="0" borderId="0" applyFont="0" applyFill="0" applyBorder="0" applyAlignment="0" applyProtection="0"/>
    <xf numFmtId="176" fontId="15" fillId="0" borderId="0" applyFont="0" applyFill="0" applyBorder="0" applyAlignment="0" applyProtection="0"/>
    <xf numFmtId="0" fontId="38" fillId="0" borderId="0">
      <alignment vertical="center"/>
    </xf>
    <xf numFmtId="0" fontId="48" fillId="0" borderId="0">
      <alignment vertical="center"/>
    </xf>
    <xf numFmtId="176" fontId="15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177" fontId="41" fillId="0" borderId="0" applyFont="0" applyFill="0" applyBorder="0" applyAlignment="0" applyProtection="0"/>
    <xf numFmtId="9" fontId="41" fillId="0" borderId="0" applyFont="0" applyFill="0" applyBorder="0" applyAlignment="0" applyProtection="0"/>
    <xf numFmtId="0" fontId="15" fillId="0" borderId="0"/>
    <xf numFmtId="0" fontId="55" fillId="0" borderId="0">
      <alignment vertical="center"/>
    </xf>
    <xf numFmtId="9" fontId="5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12" fillId="0" borderId="12" applyNumberFormat="0" applyFill="0" applyAlignment="0" applyProtection="0"/>
    <xf numFmtId="0" fontId="13" fillId="0" borderId="26" applyNumberFormat="0" applyFill="0" applyAlignment="0" applyProtection="0"/>
    <xf numFmtId="0" fontId="18" fillId="45" borderId="0" applyNumberFormat="0" applyBorder="0" applyAlignment="0" applyProtection="0"/>
    <xf numFmtId="0" fontId="30" fillId="49" borderId="0" applyNumberFormat="0" applyBorder="0" applyAlignment="0" applyProtection="0"/>
    <xf numFmtId="0" fontId="28" fillId="50" borderId="6" applyNumberFormat="0" applyAlignment="0" applyProtection="0"/>
    <xf numFmtId="0" fontId="29" fillId="51" borderId="7" applyNumberFormat="0" applyAlignment="0" applyProtection="0"/>
    <xf numFmtId="0" fontId="27" fillId="51" borderId="6" applyNumberFormat="0" applyAlignment="0" applyProtection="0"/>
    <xf numFmtId="0" fontId="31" fillId="0" borderId="9" applyNumberFormat="0" applyFill="0" applyAlignment="0" applyProtection="0"/>
    <xf numFmtId="0" fontId="22" fillId="52" borderId="8" applyNumberFormat="0" applyAlignment="0" applyProtection="0"/>
    <xf numFmtId="0" fontId="26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54" borderId="0" applyNumberFormat="0" applyBorder="0" applyAlignment="0" applyProtection="0"/>
    <xf numFmtId="0" fontId="3" fillId="55" borderId="0" applyNumberFormat="0" applyBorder="0" applyAlignment="0" applyProtection="0"/>
    <xf numFmtId="0" fontId="3" fillId="56" borderId="0" applyNumberFormat="0" applyBorder="0" applyAlignment="0" applyProtection="0"/>
    <xf numFmtId="0" fontId="3" fillId="57" borderId="0" applyNumberFormat="0" applyBorder="0" applyAlignment="0" applyProtection="0"/>
    <xf numFmtId="0" fontId="24" fillId="58" borderId="0" applyNumberFormat="0" applyBorder="0" applyAlignment="0" applyProtection="0"/>
    <xf numFmtId="0" fontId="3" fillId="59" borderId="0" applyNumberFormat="0" applyBorder="0" applyAlignment="0" applyProtection="0"/>
    <xf numFmtId="0" fontId="3" fillId="60" borderId="0" applyNumberFormat="0" applyBorder="0" applyAlignment="0" applyProtection="0"/>
    <xf numFmtId="0" fontId="3" fillId="61" borderId="0" applyNumberFormat="0" applyBorder="0" applyAlignment="0" applyProtection="0"/>
    <xf numFmtId="0" fontId="24" fillId="62" borderId="0" applyNumberFormat="0" applyBorder="0" applyAlignment="0" applyProtection="0"/>
    <xf numFmtId="0" fontId="3" fillId="63" borderId="0" applyNumberFormat="0" applyBorder="0" applyAlignment="0" applyProtection="0"/>
    <xf numFmtId="0" fontId="3" fillId="64" borderId="0" applyNumberFormat="0" applyBorder="0" applyAlignment="0" applyProtection="0"/>
    <xf numFmtId="0" fontId="3" fillId="65" borderId="0" applyNumberFormat="0" applyBorder="0" applyAlignment="0" applyProtection="0"/>
    <xf numFmtId="0" fontId="24" fillId="66" borderId="0" applyNumberFormat="0" applyBorder="0" applyAlignment="0" applyProtection="0"/>
    <xf numFmtId="0" fontId="3" fillId="67" borderId="0" applyNumberFormat="0" applyBorder="0" applyAlignment="0" applyProtection="0"/>
    <xf numFmtId="0" fontId="3" fillId="68" borderId="0" applyNumberFormat="0" applyBorder="0" applyAlignment="0" applyProtection="0"/>
    <xf numFmtId="0" fontId="3" fillId="69" borderId="0" applyNumberFormat="0" applyBorder="0" applyAlignment="0" applyProtection="0"/>
    <xf numFmtId="0" fontId="24" fillId="70" borderId="0" applyNumberFormat="0" applyBorder="0" applyAlignment="0" applyProtection="0"/>
    <xf numFmtId="0" fontId="3" fillId="71" borderId="0" applyNumberFormat="0" applyBorder="0" applyAlignment="0" applyProtection="0"/>
    <xf numFmtId="0" fontId="3" fillId="72" borderId="0" applyNumberFormat="0" applyBorder="0" applyAlignment="0" applyProtection="0"/>
    <xf numFmtId="0" fontId="3" fillId="73" borderId="0" applyNumberFormat="0" applyBorder="0" applyAlignment="0" applyProtection="0"/>
    <xf numFmtId="0" fontId="24" fillId="74" borderId="0" applyNumberFormat="0" applyBorder="0" applyAlignment="0" applyProtection="0"/>
    <xf numFmtId="0" fontId="3" fillId="75" borderId="0" applyNumberFormat="0" applyBorder="0" applyAlignment="0" applyProtection="0"/>
    <xf numFmtId="0" fontId="3" fillId="76" borderId="0" applyNumberFormat="0" applyBorder="0" applyAlignment="0" applyProtection="0"/>
    <xf numFmtId="0" fontId="3" fillId="77" borderId="0" applyNumberFormat="0" applyBorder="0" applyAlignment="0" applyProtection="0"/>
    <xf numFmtId="0" fontId="3" fillId="0" borderId="0"/>
    <xf numFmtId="0" fontId="3" fillId="53" borderId="5" applyNumberFormat="0" applyFont="0" applyAlignment="0" applyProtection="0"/>
    <xf numFmtId="0" fontId="57" fillId="0" borderId="0">
      <alignment vertical="center"/>
    </xf>
    <xf numFmtId="0" fontId="2" fillId="0" borderId="0"/>
  </cellStyleXfs>
  <cellXfs count="290">
    <xf numFmtId="0" fontId="0" fillId="0" borderId="0" xfId="0"/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80" fontId="7" fillId="0" borderId="0" xfId="2" applyNumberFormat="1" applyFont="1" applyFill="1" applyAlignment="1">
      <alignment horizontal="center"/>
    </xf>
    <xf numFmtId="43" fontId="7" fillId="0" borderId="0" xfId="1" applyFont="1" applyAlignment="1">
      <alignment horizontal="center"/>
    </xf>
    <xf numFmtId="9" fontId="7" fillId="0" borderId="0" xfId="2" applyFont="1" applyAlignment="1">
      <alignment horizontal="center"/>
    </xf>
    <xf numFmtId="0" fontId="9" fillId="3" borderId="3" xfId="0" applyFont="1" applyFill="1" applyBorder="1" applyAlignment="1">
      <alignment horizontal="center" vertical="center"/>
    </xf>
    <xf numFmtId="0" fontId="7" fillId="37" borderId="0" xfId="0" applyFont="1" applyFill="1" applyAlignment="1">
      <alignment horizontal="center"/>
    </xf>
    <xf numFmtId="43" fontId="8" fillId="2" borderId="4" xfId="1" applyFont="1" applyFill="1" applyBorder="1" applyAlignment="1">
      <alignment horizontal="center" wrapText="1"/>
    </xf>
    <xf numFmtId="0" fontId="9" fillId="37" borderId="4" xfId="0" applyFont="1" applyFill="1" applyBorder="1" applyAlignment="1">
      <alignment horizontal="center" vertical="center"/>
    </xf>
    <xf numFmtId="0" fontId="9" fillId="37" borderId="4" xfId="0" applyFont="1" applyFill="1" applyBorder="1" applyAlignment="1">
      <alignment horizontal="left" vertical="center"/>
    </xf>
    <xf numFmtId="0" fontId="9" fillId="7" borderId="0" xfId="0" applyFont="1" applyFill="1" applyAlignment="1">
      <alignment horizontal="center" vertical="top"/>
    </xf>
    <xf numFmtId="0" fontId="8" fillId="0" borderId="0" xfId="0" applyFont="1" applyAlignment="1">
      <alignment horizontal="center"/>
    </xf>
    <xf numFmtId="0" fontId="9" fillId="38" borderId="14" xfId="0" applyFont="1" applyFill="1" applyBorder="1" applyAlignment="1">
      <alignment horizontal="center"/>
    </xf>
    <xf numFmtId="10" fontId="7" fillId="39" borderId="0" xfId="2" applyNumberFormat="1" applyFont="1" applyFill="1" applyBorder="1" applyAlignment="1">
      <alignment horizontal="center"/>
    </xf>
    <xf numFmtId="0" fontId="23" fillId="0" borderId="0" xfId="0" applyFont="1"/>
    <xf numFmtId="0" fontId="36" fillId="41" borderId="17" xfId="0" applyFont="1" applyFill="1" applyBorder="1" applyAlignment="1">
      <alignment horizontal="center" vertical="center" wrapText="1"/>
    </xf>
    <xf numFmtId="0" fontId="11" fillId="0" borderId="11" xfId="136"/>
    <xf numFmtId="0" fontId="39" fillId="0" borderId="0" xfId="137" applyFont="1"/>
    <xf numFmtId="0" fontId="23" fillId="0" borderId="15" xfId="0" applyFont="1" applyBorder="1" applyAlignment="1">
      <alignment horizontal="left" indent="3"/>
    </xf>
    <xf numFmtId="0" fontId="0" fillId="43" borderId="16" xfId="0" applyFill="1" applyBorder="1"/>
    <xf numFmtId="0" fontId="36" fillId="41" borderId="0" xfId="0" applyFont="1" applyFill="1" applyAlignment="1">
      <alignment horizontal="center" vertical="center" wrapText="1"/>
    </xf>
    <xf numFmtId="0" fontId="35" fillId="0" borderId="0" xfId="139">
      <alignment vertical="center"/>
    </xf>
    <xf numFmtId="0" fontId="42" fillId="46" borderId="19" xfId="139" applyFont="1" applyFill="1" applyBorder="1" applyAlignment="1">
      <alignment horizontal="center" vertical="center" wrapText="1"/>
    </xf>
    <xf numFmtId="0" fontId="35" fillId="2" borderId="19" xfId="139" applyFill="1" applyBorder="1">
      <alignment vertical="center"/>
    </xf>
    <xf numFmtId="0" fontId="42" fillId="46" borderId="20" xfId="139" applyFont="1" applyFill="1" applyBorder="1" applyAlignment="1">
      <alignment horizontal="center" vertical="center" wrapText="1"/>
    </xf>
    <xf numFmtId="0" fontId="42" fillId="46" borderId="21" xfId="139" applyFont="1" applyFill="1" applyBorder="1" applyAlignment="1">
      <alignment horizontal="center" vertical="center" wrapText="1"/>
    </xf>
    <xf numFmtId="0" fontId="42" fillId="46" borderId="2" xfId="139" applyFont="1" applyFill="1" applyBorder="1" applyAlignment="1">
      <alignment horizontal="center" vertical="center" wrapText="1"/>
    </xf>
    <xf numFmtId="0" fontId="9" fillId="38" borderId="0" xfId="0" applyFont="1" applyFill="1" applyAlignment="1">
      <alignment horizontal="center"/>
    </xf>
    <xf numFmtId="0" fontId="0" fillId="43" borderId="0" xfId="0" applyFill="1"/>
    <xf numFmtId="0" fontId="7" fillId="16" borderId="0" xfId="0" applyFont="1" applyFill="1" applyAlignment="1">
      <alignment horizontal="center" vertical="center"/>
    </xf>
    <xf numFmtId="43" fontId="8" fillId="0" borderId="15" xfId="1" applyFont="1" applyBorder="1" applyAlignment="1">
      <alignment horizontal="center"/>
    </xf>
    <xf numFmtId="0" fontId="9" fillId="37" borderId="4" xfId="0" applyFont="1" applyFill="1" applyBorder="1" applyAlignment="1">
      <alignment horizontal="left" vertical="center" wrapText="1"/>
    </xf>
    <xf numFmtId="9" fontId="7" fillId="0" borderId="0" xfId="2" applyFont="1" applyAlignment="1">
      <alignment horizontal="center" vertical="center"/>
    </xf>
    <xf numFmtId="43" fontId="7" fillId="0" borderId="0" xfId="1" applyFont="1" applyAlignment="1">
      <alignment horizontal="center" vertical="center"/>
    </xf>
    <xf numFmtId="0" fontId="7" fillId="37" borderId="0" xfId="0" applyFont="1" applyFill="1" applyAlignment="1">
      <alignment horizontal="center" vertical="center"/>
    </xf>
    <xf numFmtId="0" fontId="9" fillId="38" borderId="14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180" fontId="7" fillId="0" borderId="0" xfId="2" applyNumberFormat="1" applyFont="1" applyFill="1" applyAlignment="1">
      <alignment horizontal="center" vertical="center"/>
    </xf>
    <xf numFmtId="10" fontId="7" fillId="39" borderId="0" xfId="2" applyNumberFormat="1" applyFont="1" applyFill="1" applyAlignment="1">
      <alignment horizontal="center"/>
    </xf>
    <xf numFmtId="9" fontId="7" fillId="0" borderId="0" xfId="2" applyFont="1" applyAlignment="1">
      <alignment horizontal="left"/>
    </xf>
    <xf numFmtId="10" fontId="7" fillId="39" borderId="0" xfId="2" applyNumberFormat="1" applyFont="1" applyFill="1" applyBorder="1" applyAlignment="1">
      <alignment horizontal="left"/>
    </xf>
    <xf numFmtId="10" fontId="7" fillId="39" borderId="0" xfId="2" applyNumberFormat="1" applyFont="1" applyFill="1" applyAlignment="1">
      <alignment horizontal="left"/>
    </xf>
    <xf numFmtId="180" fontId="7" fillId="0" borderId="0" xfId="2" applyNumberFormat="1" applyFont="1" applyFill="1" applyAlignment="1">
      <alignment horizontal="left"/>
    </xf>
    <xf numFmtId="181" fontId="7" fillId="0" borderId="0" xfId="1" applyNumberFormat="1" applyFont="1" applyAlignment="1">
      <alignment horizontal="center"/>
    </xf>
    <xf numFmtId="181" fontId="7" fillId="0" borderId="0" xfId="1" applyNumberFormat="1" applyFont="1" applyFill="1" applyAlignment="1">
      <alignment horizontal="center"/>
    </xf>
    <xf numFmtId="0" fontId="50" fillId="0" borderId="0" xfId="0" applyFont="1" applyAlignment="1">
      <alignment horizontal="center"/>
    </xf>
    <xf numFmtId="0" fontId="50" fillId="0" borderId="0" xfId="0" applyFont="1" applyAlignment="1">
      <alignment horizontal="center" vertical="center"/>
    </xf>
    <xf numFmtId="9" fontId="50" fillId="0" borderId="0" xfId="2" applyFont="1" applyAlignment="1">
      <alignment horizontal="center"/>
    </xf>
    <xf numFmtId="43" fontId="50" fillId="0" borderId="0" xfId="1" applyFont="1" applyAlignment="1">
      <alignment horizontal="center"/>
    </xf>
    <xf numFmtId="0" fontId="51" fillId="37" borderId="4" xfId="0" applyFont="1" applyFill="1" applyBorder="1" applyAlignment="1">
      <alignment horizontal="center" vertical="center"/>
    </xf>
    <xf numFmtId="0" fontId="51" fillId="37" borderId="4" xfId="0" applyFont="1" applyFill="1" applyBorder="1" applyAlignment="1">
      <alignment horizontal="left" vertical="center"/>
    </xf>
    <xf numFmtId="0" fontId="51" fillId="37" borderId="4" xfId="0" applyFont="1" applyFill="1" applyBorder="1" applyAlignment="1">
      <alignment horizontal="center" vertical="center" wrapText="1"/>
    </xf>
    <xf numFmtId="0" fontId="51" fillId="7" borderId="0" xfId="0" applyFont="1" applyFill="1" applyAlignment="1">
      <alignment horizontal="center" vertical="top"/>
    </xf>
    <xf numFmtId="0" fontId="50" fillId="37" borderId="0" xfId="0" applyFont="1" applyFill="1" applyAlignment="1">
      <alignment horizontal="center"/>
    </xf>
    <xf numFmtId="0" fontId="52" fillId="0" borderId="0" xfId="0" applyFont="1" applyAlignment="1">
      <alignment horizontal="center"/>
    </xf>
    <xf numFmtId="0" fontId="50" fillId="0" borderId="0" xfId="0" applyFont="1" applyAlignment="1">
      <alignment horizontal="left"/>
    </xf>
    <xf numFmtId="43" fontId="52" fillId="0" borderId="15" xfId="1" applyFont="1" applyBorder="1" applyAlignment="1">
      <alignment horizontal="center"/>
    </xf>
    <xf numFmtId="0" fontId="51" fillId="38" borderId="0" xfId="0" applyFont="1" applyFill="1" applyAlignment="1">
      <alignment horizontal="center"/>
    </xf>
    <xf numFmtId="10" fontId="50" fillId="39" borderId="0" xfId="2" applyNumberFormat="1" applyFont="1" applyFill="1" applyAlignment="1">
      <alignment horizontal="center"/>
    </xf>
    <xf numFmtId="180" fontId="50" fillId="0" borderId="0" xfId="2" applyNumberFormat="1" applyFont="1" applyFill="1" applyAlignment="1">
      <alignment horizontal="center"/>
    </xf>
    <xf numFmtId="0" fontId="7" fillId="0" borderId="18" xfId="0" applyFont="1" applyBorder="1" applyAlignment="1">
      <alignment horizontal="center"/>
    </xf>
    <xf numFmtId="9" fontId="7" fillId="0" borderId="0" xfId="2" applyFont="1" applyAlignment="1">
      <alignment horizontal="left" vertical="center"/>
    </xf>
    <xf numFmtId="9" fontId="10" fillId="3" borderId="0" xfId="2" applyFont="1" applyFill="1" applyAlignment="1">
      <alignment horizontal="left" vertical="center"/>
    </xf>
    <xf numFmtId="180" fontId="7" fillId="0" borderId="0" xfId="2" applyNumberFormat="1" applyFont="1" applyFill="1" applyAlignment="1">
      <alignment horizontal="left" vertical="center"/>
    </xf>
    <xf numFmtId="0" fontId="9" fillId="37" borderId="25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/>
    </xf>
    <xf numFmtId="0" fontId="0" fillId="2" borderId="0" xfId="0" applyFill="1"/>
    <xf numFmtId="43" fontId="47" fillId="0" borderId="15" xfId="1" applyFont="1" applyFill="1" applyBorder="1" applyAlignment="1">
      <alignment horizontal="center"/>
    </xf>
    <xf numFmtId="0" fontId="0" fillId="80" borderId="28" xfId="0" applyFill="1" applyBorder="1"/>
    <xf numFmtId="0" fontId="0" fillId="0" borderId="28" xfId="0" applyBorder="1"/>
    <xf numFmtId="183" fontId="8" fillId="0" borderId="0" xfId="0" applyNumberFormat="1" applyFont="1" applyAlignment="1">
      <alignment horizontal="center"/>
    </xf>
    <xf numFmtId="43" fontId="50" fillId="0" borderId="0" xfId="0" applyNumberFormat="1" applyFont="1" applyAlignment="1">
      <alignment horizontal="center"/>
    </xf>
    <xf numFmtId="0" fontId="22" fillId="79" borderId="30" xfId="0" applyFont="1" applyFill="1" applyBorder="1"/>
    <xf numFmtId="0" fontId="22" fillId="79" borderId="28" xfId="0" applyFont="1" applyFill="1" applyBorder="1"/>
    <xf numFmtId="0" fontId="22" fillId="79" borderId="27" xfId="0" applyFont="1" applyFill="1" applyBorder="1"/>
    <xf numFmtId="0" fontId="51" fillId="37" borderId="0" xfId="0" applyFont="1" applyFill="1" applyAlignment="1">
      <alignment horizontal="center" vertical="top"/>
    </xf>
    <xf numFmtId="0" fontId="9" fillId="37" borderId="0" xfId="0" applyFont="1" applyFill="1" applyAlignment="1">
      <alignment horizontal="center" vertical="top"/>
    </xf>
    <xf numFmtId="43" fontId="47" fillId="0" borderId="0" xfId="0" applyNumberFormat="1" applyFont="1" applyAlignment="1">
      <alignment horizontal="center"/>
    </xf>
    <xf numFmtId="0" fontId="9" fillId="3" borderId="4" xfId="0" applyFont="1" applyFill="1" applyBorder="1" applyAlignment="1">
      <alignment horizontal="center" vertical="center"/>
    </xf>
    <xf numFmtId="43" fontId="8" fillId="0" borderId="15" xfId="1" applyFont="1" applyFill="1" applyBorder="1" applyAlignment="1">
      <alignment horizontal="center"/>
    </xf>
    <xf numFmtId="182" fontId="8" fillId="0" borderId="0" xfId="1" applyNumberFormat="1" applyFont="1" applyAlignment="1">
      <alignment horizontal="center"/>
    </xf>
    <xf numFmtId="182" fontId="8" fillId="0" borderId="15" xfId="1" applyNumberFormat="1" applyFont="1" applyBorder="1" applyAlignment="1">
      <alignment horizontal="center"/>
    </xf>
    <xf numFmtId="0" fontId="8" fillId="8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horizontal="left" vertical="top"/>
    </xf>
    <xf numFmtId="9" fontId="7" fillId="0" borderId="0" xfId="2" applyFont="1" applyAlignment="1">
      <alignment horizontal="left" vertical="top"/>
    </xf>
    <xf numFmtId="9" fontId="50" fillId="0" borderId="0" xfId="2" applyFont="1" applyAlignment="1">
      <alignment horizontal="center" vertical="top"/>
    </xf>
    <xf numFmtId="0" fontId="9" fillId="37" borderId="4" xfId="0" applyFont="1" applyFill="1" applyBorder="1" applyAlignment="1">
      <alignment horizontal="center" vertical="top"/>
    </xf>
    <xf numFmtId="0" fontId="9" fillId="37" borderId="4" xfId="0" applyFont="1" applyFill="1" applyBorder="1" applyAlignment="1">
      <alignment horizontal="left" vertical="top"/>
    </xf>
    <xf numFmtId="0" fontId="9" fillId="37" borderId="4" xfId="0" applyFont="1" applyFill="1" applyBorder="1" applyAlignment="1">
      <alignment horizontal="left" vertical="top" wrapText="1"/>
    </xf>
    <xf numFmtId="0" fontId="9" fillId="38" borderId="14" xfId="0" applyFont="1" applyFill="1" applyBorder="1" applyAlignment="1">
      <alignment horizontal="center" vertical="top"/>
    </xf>
    <xf numFmtId="0" fontId="7" fillId="81" borderId="0" xfId="0" applyFont="1" applyFill="1" applyAlignment="1">
      <alignment horizontal="center" vertical="top"/>
    </xf>
    <xf numFmtId="0" fontId="7" fillId="0" borderId="0" xfId="0" applyFont="1" applyAlignment="1">
      <alignment horizontal="left" vertical="top" wrapText="1"/>
    </xf>
    <xf numFmtId="0" fontId="50" fillId="0" borderId="0" xfId="0" applyFont="1" applyAlignment="1">
      <alignment horizontal="center" vertical="top"/>
    </xf>
    <xf numFmtId="0" fontId="9" fillId="38" borderId="0" xfId="0" applyFont="1" applyFill="1" applyAlignment="1">
      <alignment horizontal="center" vertical="top"/>
    </xf>
    <xf numFmtId="0" fontId="49" fillId="0" borderId="0" xfId="0" applyFont="1" applyAlignment="1">
      <alignment horizontal="left" vertical="top"/>
    </xf>
    <xf numFmtId="0" fontId="49" fillId="0" borderId="0" xfId="0" applyFont="1" applyAlignment="1">
      <alignment horizontal="left" vertical="top" wrapText="1"/>
    </xf>
    <xf numFmtId="0" fontId="8" fillId="5" borderId="0" xfId="0" applyFont="1" applyFill="1" applyAlignment="1">
      <alignment horizontal="center"/>
    </xf>
    <xf numFmtId="0" fontId="59" fillId="0" borderId="0" xfId="0" applyFont="1" applyAlignment="1">
      <alignment horizontal="left" wrapText="1"/>
    </xf>
    <xf numFmtId="182" fontId="7" fillId="0" borderId="0" xfId="1" applyNumberFormat="1" applyFont="1" applyAlignment="1">
      <alignment horizontal="center" vertical="center"/>
    </xf>
    <xf numFmtId="182" fontId="60" fillId="81" borderId="0" xfId="1" applyNumberFormat="1" applyFont="1" applyFill="1" applyAlignment="1">
      <alignment horizontal="center" vertical="center"/>
    </xf>
    <xf numFmtId="43" fontId="53" fillId="7" borderId="0" xfId="1" applyFont="1" applyFill="1" applyBorder="1" applyAlignment="1">
      <alignment horizontal="center" vertical="top"/>
    </xf>
    <xf numFmtId="43" fontId="52" fillId="0" borderId="0" xfId="1" applyFont="1" applyBorder="1" applyAlignment="1">
      <alignment horizontal="center"/>
    </xf>
    <xf numFmtId="0" fontId="50" fillId="2" borderId="0" xfId="0" applyFont="1" applyFill="1" applyAlignment="1">
      <alignment horizontal="center"/>
    </xf>
    <xf numFmtId="43" fontId="46" fillId="7" borderId="0" xfId="1" applyFont="1" applyFill="1" applyBorder="1" applyAlignment="1">
      <alignment horizontal="center" vertical="center"/>
    </xf>
    <xf numFmtId="43" fontId="8" fillId="0" borderId="0" xfId="1" applyFont="1" applyBorder="1" applyAlignment="1">
      <alignment horizontal="center"/>
    </xf>
    <xf numFmtId="43" fontId="46" fillId="7" borderId="0" xfId="1" applyFont="1" applyFill="1" applyBorder="1" applyAlignment="1">
      <alignment horizontal="center" vertical="top"/>
    </xf>
    <xf numFmtId="43" fontId="7" fillId="0" borderId="0" xfId="0" applyNumberFormat="1" applyFont="1" applyAlignment="1">
      <alignment horizontal="center"/>
    </xf>
    <xf numFmtId="43" fontId="8" fillId="0" borderId="0" xfId="1" applyFont="1" applyFill="1" applyBorder="1" applyAlignment="1">
      <alignment horizontal="center"/>
    </xf>
    <xf numFmtId="43" fontId="8" fillId="0" borderId="0" xfId="1" applyFont="1" applyFill="1" applyAlignment="1">
      <alignment horizontal="center"/>
    </xf>
    <xf numFmtId="184" fontId="8" fillId="0" borderId="0" xfId="0" applyNumberFormat="1" applyFont="1" applyAlignment="1">
      <alignment horizontal="center"/>
    </xf>
    <xf numFmtId="0" fontId="47" fillId="83" borderId="0" xfId="0" applyFont="1" applyFill="1" applyAlignment="1">
      <alignment horizontal="center"/>
    </xf>
    <xf numFmtId="0" fontId="36" fillId="7" borderId="17" xfId="0" applyFont="1" applyFill="1" applyBorder="1" applyAlignment="1">
      <alignment horizontal="center" vertical="center" wrapText="1"/>
    </xf>
    <xf numFmtId="0" fontId="36" fillId="7" borderId="0" xfId="0" applyFont="1" applyFill="1" applyAlignment="1">
      <alignment horizontal="center" vertical="center" wrapText="1"/>
    </xf>
    <xf numFmtId="0" fontId="7" fillId="82" borderId="0" xfId="0" applyFont="1" applyFill="1" applyAlignment="1">
      <alignment horizontal="left"/>
    </xf>
    <xf numFmtId="180" fontId="60" fillId="0" borderId="0" xfId="2" applyNumberFormat="1" applyFont="1" applyFill="1" applyAlignment="1">
      <alignment horizontal="center" vertical="center"/>
    </xf>
    <xf numFmtId="0" fontId="60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8" fillId="84" borderId="0" xfId="0" applyFont="1" applyFill="1" applyAlignment="1">
      <alignment horizontal="center"/>
    </xf>
    <xf numFmtId="0" fontId="38" fillId="0" borderId="0" xfId="0" applyFont="1"/>
    <xf numFmtId="0" fontId="7" fillId="0" borderId="33" xfId="0" applyFont="1" applyBorder="1" applyAlignment="1">
      <alignment horizontal="center"/>
    </xf>
    <xf numFmtId="0" fontId="7" fillId="0" borderId="34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9" fillId="85" borderId="36" xfId="0" applyFont="1" applyFill="1" applyBorder="1" applyAlignment="1">
      <alignment horizontal="center" vertical="top"/>
    </xf>
    <xf numFmtId="0" fontId="9" fillId="85" borderId="37" xfId="0" applyFont="1" applyFill="1" applyBorder="1" applyAlignment="1">
      <alignment horizontal="center" vertical="top"/>
    </xf>
    <xf numFmtId="0" fontId="9" fillId="86" borderId="36" xfId="0" applyFont="1" applyFill="1" applyBorder="1" applyAlignment="1">
      <alignment horizontal="center" vertical="top"/>
    </xf>
    <xf numFmtId="0" fontId="9" fillId="86" borderId="37" xfId="0" applyFont="1" applyFill="1" applyBorder="1" applyAlignment="1">
      <alignment horizontal="center" vertical="top"/>
    </xf>
    <xf numFmtId="0" fontId="9" fillId="7" borderId="36" xfId="0" applyFont="1" applyFill="1" applyBorder="1" applyAlignment="1">
      <alignment horizontal="center" vertical="top"/>
    </xf>
    <xf numFmtId="0" fontId="9" fillId="7" borderId="37" xfId="0" applyFont="1" applyFill="1" applyBorder="1" applyAlignment="1">
      <alignment horizontal="center" vertical="top"/>
    </xf>
    <xf numFmtId="0" fontId="9" fillId="7" borderId="38" xfId="0" applyFont="1" applyFill="1" applyBorder="1" applyAlignment="1">
      <alignment horizontal="center" vertical="top"/>
    </xf>
    <xf numFmtId="2" fontId="8" fillId="0" borderId="0" xfId="0" applyNumberFormat="1" applyFont="1" applyAlignment="1">
      <alignment horizontal="center"/>
    </xf>
    <xf numFmtId="0" fontId="9" fillId="7" borderId="0" xfId="0" applyFont="1" applyFill="1" applyAlignment="1">
      <alignment horizontal="left" vertical="top"/>
    </xf>
    <xf numFmtId="0" fontId="7" fillId="87" borderId="0" xfId="0" applyFont="1" applyFill="1" applyAlignment="1">
      <alignment horizontal="center"/>
    </xf>
    <xf numFmtId="0" fontId="8" fillId="0" borderId="0" xfId="1" applyNumberFormat="1" applyFont="1" applyAlignment="1">
      <alignment horizontal="center"/>
    </xf>
    <xf numFmtId="0" fontId="8" fillId="0" borderId="15" xfId="1" applyNumberFormat="1" applyFont="1" applyBorder="1" applyAlignment="1">
      <alignment horizontal="center"/>
    </xf>
    <xf numFmtId="43" fontId="8" fillId="0" borderId="0" xfId="0" applyNumberFormat="1" applyFont="1" applyAlignment="1">
      <alignment horizontal="center"/>
    </xf>
    <xf numFmtId="43" fontId="47" fillId="0" borderId="15" xfId="0" applyNumberFormat="1" applyFont="1" applyBorder="1" applyAlignment="1">
      <alignment horizontal="center"/>
    </xf>
    <xf numFmtId="0" fontId="7" fillId="78" borderId="0" xfId="0" applyFont="1" applyFill="1" applyAlignment="1">
      <alignment horizontal="left"/>
    </xf>
    <xf numFmtId="0" fontId="0" fillId="0" borderId="0" xfId="0" quotePrefix="1"/>
    <xf numFmtId="0" fontId="54" fillId="0" borderId="0" xfId="0" applyFont="1"/>
    <xf numFmtId="0" fontId="62" fillId="37" borderId="40" xfId="0" applyFont="1" applyFill="1" applyBorder="1" applyAlignment="1">
      <alignment horizontal="left" vertical="center"/>
    </xf>
    <xf numFmtId="0" fontId="62" fillId="37" borderId="40" xfId="0" applyFont="1" applyFill="1" applyBorder="1" applyAlignment="1">
      <alignment horizontal="center" vertical="center"/>
    </xf>
    <xf numFmtId="0" fontId="62" fillId="37" borderId="40" xfId="0" applyFont="1" applyFill="1" applyBorder="1" applyAlignment="1">
      <alignment horizontal="left" vertical="center" wrapText="1"/>
    </xf>
    <xf numFmtId="43" fontId="10" fillId="2" borderId="40" xfId="1" applyFont="1" applyFill="1" applyBorder="1" applyAlignment="1">
      <alignment horizontal="center" wrapText="1"/>
    </xf>
    <xf numFmtId="0" fontId="62" fillId="7" borderId="41" xfId="0" applyFont="1" applyFill="1" applyBorder="1" applyAlignment="1">
      <alignment horizontal="left" vertical="top"/>
    </xf>
    <xf numFmtId="0" fontId="7" fillId="78" borderId="0" xfId="0" applyFont="1" applyFill="1" applyAlignment="1">
      <alignment horizontal="center" vertical="center"/>
    </xf>
    <xf numFmtId="0" fontId="7" fillId="78" borderId="0" xfId="0" applyFont="1" applyFill="1" applyAlignment="1">
      <alignment horizontal="center"/>
    </xf>
    <xf numFmtId="0" fontId="8" fillId="78" borderId="0" xfId="0" applyFont="1" applyFill="1" applyAlignment="1">
      <alignment horizontal="center"/>
    </xf>
    <xf numFmtId="0" fontId="8" fillId="83" borderId="0" xfId="0" applyFont="1" applyFill="1" applyAlignment="1">
      <alignment horizontal="center"/>
    </xf>
    <xf numFmtId="0" fontId="64" fillId="0" borderId="0" xfId="0" applyFont="1" applyAlignment="1">
      <alignment horizontal="center"/>
    </xf>
    <xf numFmtId="0" fontId="50" fillId="88" borderId="0" xfId="0" applyFont="1" applyFill="1" applyAlignment="1">
      <alignment horizontal="center"/>
    </xf>
    <xf numFmtId="0" fontId="8" fillId="87" borderId="0" xfId="0" applyFont="1" applyFill="1" applyAlignment="1">
      <alignment horizontal="center"/>
    </xf>
    <xf numFmtId="0" fontId="8" fillId="89" borderId="0" xfId="0" applyFont="1" applyFill="1" applyAlignment="1">
      <alignment horizontal="center"/>
    </xf>
    <xf numFmtId="0" fontId="8" fillId="23" borderId="0" xfId="0" applyFont="1" applyFill="1" applyAlignment="1">
      <alignment horizontal="center"/>
    </xf>
    <xf numFmtId="0" fontId="66" fillId="2" borderId="0" xfId="0" applyFont="1" applyFill="1" applyAlignment="1">
      <alignment horizontal="left"/>
    </xf>
    <xf numFmtId="0" fontId="66" fillId="0" borderId="0" xfId="0" applyFont="1"/>
    <xf numFmtId="0" fontId="66" fillId="0" borderId="0" xfId="0" applyFont="1" applyAlignment="1">
      <alignment horizontal="left"/>
    </xf>
    <xf numFmtId="1" fontId="66" fillId="0" borderId="0" xfId="0" applyNumberFormat="1" applyFont="1"/>
    <xf numFmtId="0" fontId="67" fillId="43" borderId="16" xfId="0" applyFont="1" applyFill="1" applyBorder="1" applyAlignment="1">
      <alignment wrapText="1"/>
    </xf>
    <xf numFmtId="0" fontId="67" fillId="43" borderId="16" xfId="0" applyFont="1" applyFill="1" applyBorder="1" applyAlignment="1">
      <alignment horizontal="center" vertical="center"/>
    </xf>
    <xf numFmtId="0" fontId="67" fillId="43" borderId="39" xfId="0" applyFont="1" applyFill="1" applyBorder="1" applyAlignment="1">
      <alignment horizontal="left"/>
    </xf>
    <xf numFmtId="1" fontId="67" fillId="43" borderId="39" xfId="0" applyNumberFormat="1" applyFont="1" applyFill="1" applyBorder="1" applyAlignment="1">
      <alignment horizontal="center" vertical="center"/>
    </xf>
    <xf numFmtId="0" fontId="67" fillId="43" borderId="16" xfId="0" applyFont="1" applyFill="1" applyBorder="1"/>
    <xf numFmtId="2" fontId="66" fillId="0" borderId="0" xfId="0" applyNumberFormat="1" applyFont="1" applyAlignment="1">
      <alignment horizontal="center"/>
    </xf>
    <xf numFmtId="1" fontId="66" fillId="0" borderId="0" xfId="0" applyNumberFormat="1" applyFont="1" applyAlignment="1">
      <alignment horizontal="center"/>
    </xf>
    <xf numFmtId="2" fontId="67" fillId="43" borderId="39" xfId="0" applyNumberFormat="1" applyFont="1" applyFill="1" applyBorder="1" applyAlignment="1">
      <alignment horizontal="center"/>
    </xf>
    <xf numFmtId="1" fontId="67" fillId="43" borderId="39" xfId="0" applyNumberFormat="1" applyFont="1" applyFill="1" applyBorder="1" applyAlignment="1">
      <alignment horizontal="center"/>
    </xf>
    <xf numFmtId="0" fontId="66" fillId="2" borderId="0" xfId="0" applyFont="1" applyFill="1"/>
    <xf numFmtId="0" fontId="68" fillId="5" borderId="24" xfId="139" applyFont="1" applyFill="1" applyBorder="1" applyAlignment="1">
      <alignment horizontal="center" vertical="center"/>
    </xf>
    <xf numFmtId="0" fontId="68" fillId="5" borderId="23" xfId="139" applyFont="1" applyFill="1" applyBorder="1">
      <alignment vertical="center"/>
    </xf>
    <xf numFmtId="9" fontId="68" fillId="5" borderId="22" xfId="139" applyNumberFormat="1" applyFont="1" applyFill="1" applyBorder="1">
      <alignment vertical="center"/>
    </xf>
    <xf numFmtId="0" fontId="68" fillId="0" borderId="0" xfId="0" applyFont="1" applyAlignment="1">
      <alignment horizontal="center" vertical="center"/>
    </xf>
    <xf numFmtId="0" fontId="71" fillId="37" borderId="4" xfId="0" applyFont="1" applyFill="1" applyBorder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2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7" fillId="2" borderId="0" xfId="0" applyFont="1" applyFill="1" applyAlignment="1">
      <alignment horizontal="left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center"/>
    </xf>
    <xf numFmtId="0" fontId="73" fillId="0" borderId="0" xfId="0" applyFont="1" applyAlignment="1">
      <alignment horizontal="center" vertical="center"/>
    </xf>
    <xf numFmtId="10" fontId="7" fillId="2" borderId="0" xfId="2" applyNumberFormat="1" applyFont="1" applyFill="1" applyAlignment="1">
      <alignment horizontal="left"/>
    </xf>
    <xf numFmtId="9" fontId="1" fillId="0" borderId="0" xfId="2" applyFont="1"/>
    <xf numFmtId="0" fontId="1" fillId="0" borderId="15" xfId="0" applyFont="1" applyBorder="1" applyAlignment="1">
      <alignment horizontal="left" indent="3"/>
    </xf>
    <xf numFmtId="0" fontId="1" fillId="0" borderId="2" xfId="0" applyFont="1" applyBorder="1" applyAlignment="1">
      <alignment horizontal="left" indent="3"/>
    </xf>
    <xf numFmtId="0" fontId="1" fillId="0" borderId="0" xfId="0" applyFont="1" applyAlignment="1">
      <alignment horizontal="left" indent="3"/>
    </xf>
    <xf numFmtId="0" fontId="1" fillId="43" borderId="0" xfId="0" applyFont="1" applyFill="1"/>
    <xf numFmtId="0" fontId="1" fillId="80" borderId="32" xfId="0" applyFont="1" applyFill="1" applyBorder="1"/>
    <xf numFmtId="0" fontId="67" fillId="0" borderId="0" xfId="0" applyFont="1"/>
    <xf numFmtId="0" fontId="67" fillId="0" borderId="16" xfId="0" applyFont="1" applyBorder="1"/>
    <xf numFmtId="0" fontId="67" fillId="43" borderId="39" xfId="0" applyFont="1" applyFill="1" applyBorder="1"/>
    <xf numFmtId="43" fontId="46" fillId="7" borderId="42" xfId="1" applyFont="1" applyFill="1" applyBorder="1" applyAlignment="1">
      <alignment horizontal="center" vertical="center"/>
    </xf>
    <xf numFmtId="10" fontId="7" fillId="39" borderId="43" xfId="2" applyNumberFormat="1" applyFont="1" applyFill="1" applyBorder="1" applyAlignment="1">
      <alignment horizontal="left"/>
    </xf>
    <xf numFmtId="183" fontId="52" fillId="8" borderId="43" xfId="0" applyNumberFormat="1" applyFont="1" applyFill="1" applyBorder="1" applyAlignment="1">
      <alignment horizontal="center"/>
    </xf>
    <xf numFmtId="182" fontId="60" fillId="0" borderId="44" xfId="1" applyNumberFormat="1" applyFont="1" applyBorder="1" applyAlignment="1">
      <alignment horizontal="center"/>
    </xf>
    <xf numFmtId="182" fontId="60" fillId="0" borderId="45" xfId="1" applyNumberFormat="1" applyFont="1" applyBorder="1" applyAlignment="1">
      <alignment horizontal="center"/>
    </xf>
    <xf numFmtId="182" fontId="60" fillId="0" borderId="46" xfId="1" applyNumberFormat="1" applyFont="1" applyBorder="1" applyAlignment="1">
      <alignment horizontal="center"/>
    </xf>
    <xf numFmtId="182" fontId="60" fillId="0" borderId="43" xfId="1" applyNumberFormat="1" applyFont="1" applyBorder="1" applyAlignment="1">
      <alignment horizontal="center"/>
    </xf>
    <xf numFmtId="0" fontId="52" fillId="8" borderId="43" xfId="0" applyFont="1" applyFill="1" applyBorder="1" applyAlignment="1">
      <alignment horizontal="center"/>
    </xf>
    <xf numFmtId="43" fontId="53" fillId="7" borderId="42" xfId="1" applyFont="1" applyFill="1" applyBorder="1" applyAlignment="1">
      <alignment horizontal="center" vertical="top"/>
    </xf>
    <xf numFmtId="0" fontId="61" fillId="8" borderId="43" xfId="0" applyFont="1" applyFill="1" applyBorder="1" applyAlignment="1">
      <alignment horizontal="center"/>
    </xf>
    <xf numFmtId="43" fontId="46" fillId="7" borderId="42" xfId="1" applyFont="1" applyFill="1" applyBorder="1" applyAlignment="1">
      <alignment horizontal="center" vertical="top"/>
    </xf>
    <xf numFmtId="43" fontId="46" fillId="7" borderId="42" xfId="1" applyFont="1" applyFill="1" applyBorder="1" applyAlignment="1">
      <alignment horizontal="left" vertical="top"/>
    </xf>
    <xf numFmtId="0" fontId="8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left" indent="3"/>
    </xf>
    <xf numFmtId="0" fontId="52" fillId="8" borderId="49" xfId="0" applyFont="1" applyFill="1" applyBorder="1" applyAlignment="1">
      <alignment horizontal="center"/>
    </xf>
    <xf numFmtId="0" fontId="52" fillId="8" borderId="44" xfId="0" applyFont="1" applyFill="1" applyBorder="1" applyAlignment="1">
      <alignment horizontal="center"/>
    </xf>
    <xf numFmtId="0" fontId="52" fillId="8" borderId="50" xfId="0" applyFont="1" applyFill="1" applyBorder="1" applyAlignment="1">
      <alignment horizontal="center"/>
    </xf>
    <xf numFmtId="0" fontId="52" fillId="8" borderId="46" xfId="0" applyFont="1" applyFill="1" applyBorder="1" applyAlignment="1">
      <alignment horizontal="center"/>
    </xf>
    <xf numFmtId="43" fontId="46" fillId="48" borderId="42" xfId="1" applyFont="1" applyFill="1" applyBorder="1" applyAlignment="1">
      <alignment horizontal="center" vertical="top"/>
    </xf>
    <xf numFmtId="0" fontId="0" fillId="0" borderId="43" xfId="0" applyBorder="1"/>
    <xf numFmtId="0" fontId="0" fillId="2" borderId="43" xfId="0" applyFill="1" applyBorder="1"/>
    <xf numFmtId="0" fontId="0" fillId="0" borderId="44" xfId="0" applyBorder="1"/>
    <xf numFmtId="0" fontId="26" fillId="0" borderId="43" xfId="0" applyFont="1" applyBorder="1"/>
    <xf numFmtId="0" fontId="1" fillId="0" borderId="43" xfId="0" applyFont="1" applyBorder="1"/>
    <xf numFmtId="0" fontId="1" fillId="2" borderId="43" xfId="0" applyFont="1" applyFill="1" applyBorder="1"/>
    <xf numFmtId="0" fontId="0" fillId="2" borderId="44" xfId="0" applyFill="1" applyBorder="1"/>
    <xf numFmtId="0" fontId="1" fillId="2" borderId="44" xfId="0" applyFont="1" applyFill="1" applyBorder="1"/>
    <xf numFmtId="0" fontId="68" fillId="47" borderId="46" xfId="139" applyFont="1" applyFill="1" applyBorder="1" applyAlignment="1">
      <alignment horizontal="center" vertical="center"/>
    </xf>
    <xf numFmtId="0" fontId="68" fillId="47" borderId="43" xfId="139" applyFont="1" applyFill="1" applyBorder="1">
      <alignment vertical="center"/>
    </xf>
    <xf numFmtId="9" fontId="68" fillId="47" borderId="44" xfId="139" applyNumberFormat="1" applyFont="1" applyFill="1" applyBorder="1">
      <alignment vertical="center"/>
    </xf>
    <xf numFmtId="0" fontId="68" fillId="5" borderId="42" xfId="139" applyFont="1" applyFill="1" applyBorder="1" applyAlignment="1">
      <alignment horizontal="center" vertical="center"/>
    </xf>
    <xf numFmtId="0" fontId="68" fillId="5" borderId="48" xfId="139" applyFont="1" applyFill="1" applyBorder="1">
      <alignment vertical="center"/>
    </xf>
    <xf numFmtId="9" fontId="68" fillId="5" borderId="51" xfId="139" applyNumberFormat="1" applyFont="1" applyFill="1" applyBorder="1">
      <alignment vertical="center"/>
    </xf>
    <xf numFmtId="0" fontId="68" fillId="0" borderId="46" xfId="139" applyFont="1" applyBorder="1" applyAlignment="1">
      <alignment horizontal="center" vertical="center"/>
    </xf>
    <xf numFmtId="0" fontId="68" fillId="0" borderId="43" xfId="139" applyFont="1" applyBorder="1">
      <alignment vertical="center"/>
    </xf>
    <xf numFmtId="9" fontId="68" fillId="0" borderId="44" xfId="139" applyNumberFormat="1" applyFont="1" applyBorder="1">
      <alignment vertical="center"/>
    </xf>
    <xf numFmtId="0" fontId="69" fillId="44" borderId="46" xfId="138" applyFont="1" applyBorder="1" applyAlignment="1">
      <alignment horizontal="center" vertical="center" wrapText="1"/>
    </xf>
    <xf numFmtId="0" fontId="69" fillId="44" borderId="43" xfId="138" applyFont="1" applyBorder="1" applyAlignment="1">
      <alignment vertical="center" wrapText="1"/>
    </xf>
    <xf numFmtId="0" fontId="69" fillId="44" borderId="43" xfId="138" applyFont="1" applyBorder="1" applyAlignment="1">
      <alignment vertical="center"/>
    </xf>
    <xf numFmtId="9" fontId="69" fillId="44" borderId="44" xfId="138" applyNumberFormat="1" applyFont="1" applyBorder="1" applyAlignment="1">
      <alignment vertical="center"/>
    </xf>
    <xf numFmtId="0" fontId="70" fillId="45" borderId="42" xfId="140" applyFont="1" applyBorder="1" applyAlignment="1">
      <alignment horizontal="center" vertical="center" wrapText="1"/>
    </xf>
    <xf numFmtId="0" fontId="70" fillId="45" borderId="48" xfId="140" applyFont="1" applyBorder="1" applyAlignment="1">
      <alignment vertical="center" wrapText="1"/>
    </xf>
    <xf numFmtId="0" fontId="70" fillId="45" borderId="48" xfId="140" applyFont="1" applyBorder="1" applyAlignment="1">
      <alignment vertical="center"/>
    </xf>
    <xf numFmtId="9" fontId="70" fillId="45" borderId="51" xfId="140" applyNumberFormat="1" applyFont="1" applyBorder="1" applyAlignment="1">
      <alignment vertical="center"/>
    </xf>
    <xf numFmtId="0" fontId="35" fillId="0" borderId="46" xfId="139" applyBorder="1">
      <alignment vertical="center"/>
    </xf>
    <xf numFmtId="0" fontId="35" fillId="0" borderId="44" xfId="139" applyBorder="1" applyAlignment="1">
      <alignment vertical="center" wrapText="1"/>
    </xf>
    <xf numFmtId="0" fontId="35" fillId="0" borderId="44" xfId="139" applyBorder="1">
      <alignment vertical="center"/>
    </xf>
    <xf numFmtId="0" fontId="35" fillId="0" borderId="42" xfId="139" applyBorder="1">
      <alignment vertical="center"/>
    </xf>
    <xf numFmtId="0" fontId="35" fillId="0" borderId="51" xfId="139" applyBorder="1">
      <alignment vertical="center"/>
    </xf>
    <xf numFmtId="0" fontId="35" fillId="0" borderId="45" xfId="139" applyBorder="1">
      <alignment vertical="center"/>
    </xf>
    <xf numFmtId="0" fontId="35" fillId="2" borderId="45" xfId="139" applyFill="1" applyBorder="1">
      <alignment vertical="center"/>
    </xf>
    <xf numFmtId="0" fontId="35" fillId="0" borderId="47" xfId="139" applyBorder="1">
      <alignment vertical="center"/>
    </xf>
    <xf numFmtId="0" fontId="35" fillId="2" borderId="47" xfId="139" applyFill="1" applyBorder="1">
      <alignment vertical="center"/>
    </xf>
    <xf numFmtId="0" fontId="37" fillId="42" borderId="43" xfId="0" applyFont="1" applyFill="1" applyBorder="1" applyAlignment="1">
      <alignment horizontal="center" vertical="center" wrapText="1"/>
    </xf>
    <xf numFmtId="0" fontId="54" fillId="0" borderId="44" xfId="155" applyFont="1" applyFill="1" applyBorder="1" applyAlignment="1">
      <alignment horizontal="center" vertical="center" wrapText="1"/>
    </xf>
    <xf numFmtId="0" fontId="37" fillId="0" borderId="43" xfId="0" applyFont="1" applyBorder="1" applyAlignment="1">
      <alignment horizontal="center" vertical="center" wrapText="1"/>
    </xf>
    <xf numFmtId="0" fontId="17" fillId="44" borderId="43" xfId="138" applyBorder="1" applyAlignment="1">
      <alignment horizontal="center" vertical="center" wrapText="1"/>
    </xf>
    <xf numFmtId="0" fontId="37" fillId="40" borderId="46" xfId="0" applyFont="1" applyFill="1" applyBorder="1" applyAlignment="1">
      <alignment horizontal="center" vertical="center" wrapText="1"/>
    </xf>
    <xf numFmtId="0" fontId="18" fillId="45" borderId="43" xfId="155" applyBorder="1" applyAlignment="1">
      <alignment horizontal="center" vertical="center" wrapText="1"/>
    </xf>
    <xf numFmtId="0" fontId="37" fillId="42" borderId="46" xfId="0" applyFont="1" applyFill="1" applyBorder="1" applyAlignment="1">
      <alignment horizontal="center" vertical="center" wrapText="1"/>
    </xf>
    <xf numFmtId="0" fontId="44" fillId="0" borderId="43" xfId="0" applyFont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183" fontId="52" fillId="8" borderId="0" xfId="0" applyNumberFormat="1" applyFont="1" applyFill="1" applyAlignment="1">
      <alignment horizontal="center"/>
    </xf>
    <xf numFmtId="43" fontId="47" fillId="0" borderId="0" xfId="1" applyFont="1" applyFill="1" applyBorder="1" applyAlignment="1">
      <alignment horizontal="center"/>
    </xf>
    <xf numFmtId="182" fontId="60" fillId="0" borderId="0" xfId="1" applyNumberFormat="1" applyFont="1" applyBorder="1" applyAlignment="1">
      <alignment horizontal="center"/>
    </xf>
    <xf numFmtId="0" fontId="7" fillId="0" borderId="43" xfId="0" applyFont="1" applyBorder="1" applyAlignment="1">
      <alignment horizontal="left"/>
    </xf>
    <xf numFmtId="0" fontId="75" fillId="79" borderId="29" xfId="0" applyFont="1" applyFill="1" applyBorder="1"/>
    <xf numFmtId="0" fontId="75" fillId="79" borderId="28" xfId="0" applyFont="1" applyFill="1" applyBorder="1"/>
    <xf numFmtId="0" fontId="75" fillId="79" borderId="31" xfId="0" applyFont="1" applyFill="1" applyBorder="1"/>
    <xf numFmtId="0" fontId="75" fillId="79" borderId="30" xfId="0" applyFont="1" applyFill="1" applyBorder="1"/>
    <xf numFmtId="0" fontId="76" fillId="90" borderId="0" xfId="0" applyFont="1" applyFill="1"/>
    <xf numFmtId="0" fontId="76" fillId="0" borderId="0" xfId="0" applyFont="1"/>
    <xf numFmtId="3" fontId="66" fillId="0" borderId="0" xfId="0" applyNumberFormat="1" applyFont="1"/>
    <xf numFmtId="0" fontId="7" fillId="83" borderId="0" xfId="0" applyFont="1" applyFill="1" applyAlignment="1">
      <alignment horizontal="center"/>
    </xf>
    <xf numFmtId="0" fontId="56" fillId="0" borderId="0" xfId="0" applyFont="1"/>
    <xf numFmtId="0" fontId="22" fillId="79" borderId="0" xfId="0" applyFont="1" applyFill="1"/>
    <xf numFmtId="0" fontId="0" fillId="11" borderId="28" xfId="0" applyFill="1" applyBorder="1"/>
    <xf numFmtId="0" fontId="56" fillId="11" borderId="28" xfId="0" applyFont="1" applyFill="1" applyBorder="1"/>
    <xf numFmtId="43" fontId="8" fillId="2" borderId="4" xfId="1" applyFont="1" applyFill="1" applyBorder="1" applyAlignment="1">
      <alignment horizontal="center" vertical="center" wrapText="1"/>
    </xf>
    <xf numFmtId="0" fontId="9" fillId="7" borderId="0" xfId="0" applyFont="1" applyFill="1" applyAlignment="1">
      <alignment horizontal="center" vertical="center"/>
    </xf>
    <xf numFmtId="0" fontId="59" fillId="0" borderId="0" xfId="0" applyFont="1" applyAlignment="1">
      <alignment horizontal="left"/>
    </xf>
    <xf numFmtId="0" fontId="50" fillId="24" borderId="0" xfId="0" applyFont="1" applyFill="1" applyAlignment="1">
      <alignment horizontal="center"/>
    </xf>
    <xf numFmtId="0" fontId="7" fillId="16" borderId="0" xfId="0" applyFont="1" applyFill="1" applyAlignment="1">
      <alignment horizontal="center"/>
    </xf>
    <xf numFmtId="0" fontId="7" fillId="2" borderId="0" xfId="0" applyFont="1" applyFill="1" applyAlignment="1">
      <alignment horizontal="center" vertical="center"/>
    </xf>
    <xf numFmtId="180" fontId="7" fillId="0" borderId="0" xfId="2" applyNumberFormat="1" applyFont="1" applyAlignment="1">
      <alignment horizontal="center"/>
    </xf>
    <xf numFmtId="180" fontId="50" fillId="0" borderId="0" xfId="2" applyNumberFormat="1" applyFont="1" applyAlignment="1">
      <alignment horizontal="center"/>
    </xf>
    <xf numFmtId="43" fontId="46" fillId="48" borderId="0" xfId="1" applyFont="1" applyFill="1" applyAlignment="1">
      <alignment horizontal="center" vertical="top"/>
    </xf>
    <xf numFmtId="43" fontId="8" fillId="0" borderId="0" xfId="1" applyFont="1" applyAlignment="1">
      <alignment horizontal="center"/>
    </xf>
    <xf numFmtId="10" fontId="7" fillId="83" borderId="0" xfId="2" applyNumberFormat="1" applyFont="1" applyFill="1" applyAlignment="1">
      <alignment horizontal="left"/>
    </xf>
    <xf numFmtId="180" fontId="7" fillId="0" borderId="0" xfId="2" applyNumberFormat="1" applyFont="1" applyAlignment="1">
      <alignment horizontal="left"/>
    </xf>
    <xf numFmtId="43" fontId="46" fillId="7" borderId="0" xfId="1" applyFont="1" applyFill="1" applyAlignment="1">
      <alignment horizontal="center" vertical="top"/>
    </xf>
    <xf numFmtId="0" fontId="77" fillId="38" borderId="0" xfId="0" applyFont="1" applyFill="1" applyAlignment="1">
      <alignment horizontal="center"/>
    </xf>
    <xf numFmtId="0" fontId="78" fillId="0" borderId="0" xfId="0" applyFont="1" applyAlignment="1">
      <alignment horizontal="left"/>
    </xf>
    <xf numFmtId="0" fontId="0" fillId="5" borderId="0" xfId="0" applyFill="1"/>
    <xf numFmtId="0" fontId="66" fillId="0" borderId="0" xfId="0" pivotButton="1" applyFont="1"/>
    <xf numFmtId="2" fontId="66" fillId="0" borderId="0" xfId="0" applyNumberFormat="1" applyFont="1"/>
    <xf numFmtId="0" fontId="66" fillId="0" borderId="0" xfId="0" applyNumberFormat="1" applyFont="1"/>
  </cellXfs>
  <cellStyles count="193">
    <cellStyle name="20% - 着色 1" xfId="166" builtinId="30" customBuiltin="1"/>
    <cellStyle name="20% - 着色 1 2" xfId="3" xr:uid="{00000000-0005-0000-0000-000031000000}"/>
    <cellStyle name="20% - 着色 1 2 2" xfId="4" xr:uid="{00000000-0005-0000-0000-000032000000}"/>
    <cellStyle name="20% - 着色 2" xfId="170" builtinId="34" customBuiltin="1"/>
    <cellStyle name="20% - 着色 2 2" xfId="5" xr:uid="{00000000-0005-0000-0000-000033000000}"/>
    <cellStyle name="20% - 着色 2 2 2" xfId="6" xr:uid="{00000000-0005-0000-0000-000034000000}"/>
    <cellStyle name="20% - 着色 3" xfId="174" builtinId="38" customBuiltin="1"/>
    <cellStyle name="20% - 着色 3 2" xfId="7" xr:uid="{00000000-0005-0000-0000-000035000000}"/>
    <cellStyle name="20% - 着色 3 2 2" xfId="8" xr:uid="{00000000-0005-0000-0000-000036000000}"/>
    <cellStyle name="20% - 着色 4" xfId="178" builtinId="42" customBuiltin="1"/>
    <cellStyle name="20% - 着色 4 2" xfId="9" xr:uid="{00000000-0005-0000-0000-000037000000}"/>
    <cellStyle name="20% - 着色 4 2 2" xfId="10" xr:uid="{00000000-0005-0000-0000-000038000000}"/>
    <cellStyle name="20% - 着色 5" xfId="182" builtinId="46" customBuiltin="1"/>
    <cellStyle name="20% - 着色 5 2" xfId="11" xr:uid="{00000000-0005-0000-0000-000039000000}"/>
    <cellStyle name="20% - 着色 5 2 2" xfId="12" xr:uid="{00000000-0005-0000-0000-00003A000000}"/>
    <cellStyle name="20% - 着色 6" xfId="186" builtinId="50" customBuiltin="1"/>
    <cellStyle name="20% - 着色 6 2" xfId="13" xr:uid="{00000000-0005-0000-0000-00003B000000}"/>
    <cellStyle name="20% - 着色 6 2 2" xfId="14" xr:uid="{00000000-0005-0000-0000-00003C000000}"/>
    <cellStyle name="40% - 着色 1" xfId="167" builtinId="31" customBuiltin="1"/>
    <cellStyle name="40% - 着色 1 2" xfId="15" xr:uid="{00000000-0005-0000-0000-00003D000000}"/>
    <cellStyle name="40% - 着色 1 2 2" xfId="16" xr:uid="{00000000-0005-0000-0000-00003E000000}"/>
    <cellStyle name="40% - 着色 2" xfId="171" builtinId="35" customBuiltin="1"/>
    <cellStyle name="40% - 着色 2 2" xfId="17" xr:uid="{00000000-0005-0000-0000-00003F000000}"/>
    <cellStyle name="40% - 着色 2 2 2" xfId="18" xr:uid="{00000000-0005-0000-0000-000040000000}"/>
    <cellStyle name="40% - 着色 3" xfId="175" builtinId="39" customBuiltin="1"/>
    <cellStyle name="40% - 着色 3 2" xfId="19" xr:uid="{00000000-0005-0000-0000-000041000000}"/>
    <cellStyle name="40% - 着色 3 2 2" xfId="20" xr:uid="{00000000-0005-0000-0000-000042000000}"/>
    <cellStyle name="40% - 着色 4" xfId="179" builtinId="43" customBuiltin="1"/>
    <cellStyle name="40% - 着色 4 2" xfId="21" xr:uid="{00000000-0005-0000-0000-000043000000}"/>
    <cellStyle name="40% - 着色 4 2 2" xfId="22" xr:uid="{00000000-0005-0000-0000-000044000000}"/>
    <cellStyle name="40% - 着色 5" xfId="183" builtinId="47" customBuiltin="1"/>
    <cellStyle name="40% - 着色 5 2" xfId="23" xr:uid="{00000000-0005-0000-0000-000045000000}"/>
    <cellStyle name="40% - 着色 5 2 2" xfId="24" xr:uid="{00000000-0005-0000-0000-000046000000}"/>
    <cellStyle name="40% - 着色 6" xfId="187" builtinId="51" customBuiltin="1"/>
    <cellStyle name="40% - 着色 6 2" xfId="25" xr:uid="{00000000-0005-0000-0000-000047000000}"/>
    <cellStyle name="40% - 着色 6 2 2" xfId="26" xr:uid="{00000000-0005-0000-0000-000048000000}"/>
    <cellStyle name="60% - 着色 1" xfId="168" builtinId="32" customBuiltin="1"/>
    <cellStyle name="60% - 着色 1 2" xfId="27" xr:uid="{00000000-0005-0000-0000-000049000000}"/>
    <cellStyle name="60% - 着色 1 2 2" xfId="28" xr:uid="{00000000-0005-0000-0000-00004A000000}"/>
    <cellStyle name="60% - 着色 2" xfId="172" builtinId="36" customBuiltin="1"/>
    <cellStyle name="60% - 着色 2 2" xfId="29" xr:uid="{00000000-0005-0000-0000-00004B000000}"/>
    <cellStyle name="60% - 着色 2 2 2" xfId="30" xr:uid="{00000000-0005-0000-0000-00004C000000}"/>
    <cellStyle name="60% - 着色 3" xfId="176" builtinId="40" customBuiltin="1"/>
    <cellStyle name="60% - 着色 3 2" xfId="31" xr:uid="{00000000-0005-0000-0000-00004D000000}"/>
    <cellStyle name="60% - 着色 3 2 2" xfId="32" xr:uid="{00000000-0005-0000-0000-00004E000000}"/>
    <cellStyle name="60% - 着色 4" xfId="180" builtinId="44" customBuiltin="1"/>
    <cellStyle name="60% - 着色 4 2" xfId="33" xr:uid="{00000000-0005-0000-0000-00004F000000}"/>
    <cellStyle name="60% - 着色 4 2 2" xfId="34" xr:uid="{00000000-0005-0000-0000-000050000000}"/>
    <cellStyle name="60% - 着色 5" xfId="184" builtinId="48" customBuiltin="1"/>
    <cellStyle name="60% - 着色 5 2" xfId="35" xr:uid="{00000000-0005-0000-0000-000051000000}"/>
    <cellStyle name="60% - 着色 5 2 2" xfId="36" xr:uid="{00000000-0005-0000-0000-000052000000}"/>
    <cellStyle name="60% - 着色 6" xfId="188" builtinId="52" customBuiltin="1"/>
    <cellStyle name="60% - 着色 6 2" xfId="37" xr:uid="{00000000-0005-0000-0000-000053000000}"/>
    <cellStyle name="60% - 着色 6 2 2" xfId="38" xr:uid="{00000000-0005-0000-0000-000054000000}"/>
    <cellStyle name="Bad 2" xfId="140" xr:uid="{F8F465E0-8759-466D-BE3C-DC20529BA1F2}"/>
    <cellStyle name="Column Name - IBM Cognos" xfId="39" xr:uid="{00000000-0005-0000-0000-000055000000}"/>
    <cellStyle name="Column Name - IBM Cognos 2" xfId="40" xr:uid="{00000000-0005-0000-0000-000056000000}"/>
    <cellStyle name="Comma" xfId="1" xr:uid="{00000000-0005-0000-0000-000057000000}"/>
    <cellStyle name="Comma 16" xfId="142" xr:uid="{9DF7A29A-9AAE-445A-B1E4-42ACDB9E4C6B}"/>
    <cellStyle name="Comma 2" xfId="141" xr:uid="{85DDB11E-FA24-4B26-814C-361FD6D4F639}"/>
    <cellStyle name="Comma 3" xfId="147" xr:uid="{E92C4D16-3FD8-4756-8CB1-02FBB7DF1F12}"/>
    <cellStyle name="Comma 4" xfId="145" xr:uid="{A80C5ABD-89E5-41AA-9658-B72C0E72426E}"/>
    <cellStyle name="Measure - IBM Cognos" xfId="41" xr:uid="{00000000-0005-0000-0000-000058000000}"/>
    <cellStyle name="Measure - IBM Cognos 2" xfId="42" xr:uid="{00000000-0005-0000-0000-000059000000}"/>
    <cellStyle name="Measure Name - IBM Cognos" xfId="43" xr:uid="{00000000-0005-0000-0000-00005A000000}"/>
    <cellStyle name="Normal 10" xfId="192" xr:uid="{3FA2837A-07BB-4FE1-BB1F-B71E0C82EC79}"/>
    <cellStyle name="Normal 10 14" xfId="131" xr:uid="{FCCB5FC5-2E22-48FA-A895-CFBC1954A196}"/>
    <cellStyle name="Normal 2" xfId="44" xr:uid="{00000000-0005-0000-0000-00005C000000}"/>
    <cellStyle name="Normal 2 2" xfId="45" xr:uid="{00000000-0005-0000-0000-00005D000000}"/>
    <cellStyle name="Normal 2 2 2" xfId="130" xr:uid="{DB5F23AD-7AD2-4157-B834-7894885FF907}"/>
    <cellStyle name="Normal 2 3" xfId="46" xr:uid="{00000000-0005-0000-0000-00005E000000}"/>
    <cellStyle name="Normal 3" xfId="47" xr:uid="{00000000-0005-0000-0000-00005F000000}"/>
    <cellStyle name="Normal 3 2" xfId="48" xr:uid="{00000000-0005-0000-0000-000060000000}"/>
    <cellStyle name="Normal 3 3" xfId="49" xr:uid="{00000000-0005-0000-0000-000061000000}"/>
    <cellStyle name="Normal 3 4" xfId="149" xr:uid="{64651070-86B8-4270-8E70-99B591896783}"/>
    <cellStyle name="Normal 32 2" xfId="132" xr:uid="{9D56A83B-D172-4F17-8290-D17960FD42C3}"/>
    <cellStyle name="Normal 4" xfId="50" xr:uid="{00000000-0005-0000-0000-000062000000}"/>
    <cellStyle name="Normal 42" xfId="134" xr:uid="{08E97FAF-7B41-4F2A-8B2B-70ED8273FE49}"/>
    <cellStyle name="Normal 48" xfId="143" xr:uid="{EC163127-6AD0-46D6-92FC-65FA7B909861}"/>
    <cellStyle name="Normal 5" xfId="139" xr:uid="{599032DC-7366-4EE3-9381-81B56E64917E}"/>
    <cellStyle name="Normal 50" xfId="133" xr:uid="{9FBBCE64-49CA-49BD-B627-3FEEE7E74D44}"/>
    <cellStyle name="Normal 53" xfId="135" xr:uid="{607D2E96-E231-457F-BB84-792C1E99A668}"/>
    <cellStyle name="Normal 6" xfId="144" xr:uid="{7A48F31A-2C40-4746-8B69-D4C49E3A8C9C}"/>
    <cellStyle name="Normal 7" xfId="150" xr:uid="{FAE4CA3F-40BC-4333-9D3E-C369350196AC}"/>
    <cellStyle name="Normal 8" xfId="189" xr:uid="{004279C1-BCC7-4F36-9F4C-31E73C768F63}"/>
    <cellStyle name="Normal 9" xfId="191" xr:uid="{AD08C258-11EF-4204-AFD4-73F20B48D4EC}"/>
    <cellStyle name="Note 2" xfId="190" xr:uid="{083922FE-E6C9-42A5-A853-FF94EFBD6516}"/>
    <cellStyle name="Percent" xfId="2" xr:uid="{00000000-0005-0000-0000-000064000000}"/>
    <cellStyle name="Percent 17" xfId="146" xr:uid="{AC82AFFC-3917-4C26-8D4A-D9E0A448947C}"/>
    <cellStyle name="Percent 2" xfId="148" xr:uid="{3EE53E2A-DE56-4BBA-BEC0-FC3806D61DF9}"/>
    <cellStyle name="Percent 3" xfId="151" xr:uid="{DAD4D0E4-28EA-44F5-A226-E97C11067C44}"/>
    <cellStyle name="Row Name - IBM Cognos" xfId="51" xr:uid="{00000000-0005-0000-0000-000065000000}"/>
    <cellStyle name="Row Name - IBM Cognos 2" xfId="52" xr:uid="{00000000-0005-0000-0000-000066000000}"/>
    <cellStyle name="Row Name - IBM Cognos 3" xfId="53" xr:uid="{00000000-0005-0000-0000-000067000000}"/>
    <cellStyle name="百分比 2" xfId="115" xr:uid="{00000000-0005-0000-0000-0000A5000000}"/>
    <cellStyle name="标题" xfId="152" builtinId="15" customBuiltin="1"/>
    <cellStyle name="标题 1" xfId="136" builtinId="16" customBuiltin="1"/>
    <cellStyle name="标题 1 2" xfId="106" xr:uid="{00000000-0005-0000-0000-00009C000000}"/>
    <cellStyle name="标题 2" xfId="153" builtinId="17" customBuiltin="1"/>
    <cellStyle name="标题 2 2" xfId="107" xr:uid="{00000000-0005-0000-0000-00009D000000}"/>
    <cellStyle name="标题 3" xfId="154" builtinId="18" customBuiltin="1"/>
    <cellStyle name="标题 3 2" xfId="108" xr:uid="{00000000-0005-0000-0000-00009E000000}"/>
    <cellStyle name="标题 4" xfId="137" builtinId="19" customBuiltin="1"/>
    <cellStyle name="标题 4 2" xfId="109" xr:uid="{00000000-0005-0000-0000-00009F000000}"/>
    <cellStyle name="标题 5" xfId="110" xr:uid="{00000000-0005-0000-0000-0000A0000000}"/>
    <cellStyle name="差" xfId="155" builtinId="27" customBuiltin="1"/>
    <cellStyle name="差 2" xfId="79" xr:uid="{00000000-0005-0000-0000-000081000000}"/>
    <cellStyle name="常规" xfId="0" builtinId="0"/>
    <cellStyle name="常规 10" xfId="80" xr:uid="{00000000-0005-0000-0000-000082000000}"/>
    <cellStyle name="常规 10 11 2 2" xfId="81" xr:uid="{00000000-0005-0000-0000-000083000000}"/>
    <cellStyle name="常规 11" xfId="82" xr:uid="{00000000-0005-0000-0000-000084000000}"/>
    <cellStyle name="常规 12" xfId="83" xr:uid="{00000000-0005-0000-0000-000085000000}"/>
    <cellStyle name="常规 13" xfId="84" xr:uid="{00000000-0005-0000-0000-000086000000}"/>
    <cellStyle name="常规 14" xfId="85" xr:uid="{00000000-0005-0000-0000-000087000000}"/>
    <cellStyle name="常规 2" xfId="86" xr:uid="{00000000-0005-0000-0000-000088000000}"/>
    <cellStyle name="常规 2 2" xfId="87" xr:uid="{00000000-0005-0000-0000-000089000000}"/>
    <cellStyle name="常规 2 2 2" xfId="88" xr:uid="{00000000-0005-0000-0000-00008A000000}"/>
    <cellStyle name="常规 2 3" xfId="89" xr:uid="{00000000-0005-0000-0000-00008B000000}"/>
    <cellStyle name="常规 2 3 10 2 3" xfId="90" xr:uid="{00000000-0005-0000-0000-00008C000000}"/>
    <cellStyle name="常规 28" xfId="91" xr:uid="{00000000-0005-0000-0000-00008D000000}"/>
    <cellStyle name="常规 3" xfId="92" xr:uid="{00000000-0005-0000-0000-00008E000000}"/>
    <cellStyle name="常规 3 2" xfId="93" xr:uid="{00000000-0005-0000-0000-00008F000000}"/>
    <cellStyle name="常规 3 2 2" xfId="94" xr:uid="{00000000-0005-0000-0000-000090000000}"/>
    <cellStyle name="常规 3 3" xfId="95" xr:uid="{00000000-0005-0000-0000-000091000000}"/>
    <cellStyle name="常规 4" xfId="96" xr:uid="{00000000-0005-0000-0000-000092000000}"/>
    <cellStyle name="常规 4 2" xfId="97" xr:uid="{00000000-0005-0000-0000-000093000000}"/>
    <cellStyle name="常规 5" xfId="98" xr:uid="{00000000-0005-0000-0000-000094000000}"/>
    <cellStyle name="常规 5 2 2" xfId="99" xr:uid="{00000000-0005-0000-0000-000095000000}"/>
    <cellStyle name="常规 6" xfId="100" xr:uid="{00000000-0005-0000-0000-000096000000}"/>
    <cellStyle name="常规 6 2" xfId="101" xr:uid="{00000000-0005-0000-0000-000097000000}"/>
    <cellStyle name="常规 7" xfId="102" xr:uid="{00000000-0005-0000-0000-000098000000}"/>
    <cellStyle name="常规 8" xfId="103" xr:uid="{00000000-0005-0000-0000-000099000000}"/>
    <cellStyle name="常规 8 2" xfId="104" xr:uid="{00000000-0005-0000-0000-00009A000000}"/>
    <cellStyle name="常规 9" xfId="105" xr:uid="{00000000-0005-0000-0000-00009B000000}"/>
    <cellStyle name="好" xfId="138" builtinId="26" customBuiltin="1"/>
    <cellStyle name="好 2" xfId="78" xr:uid="{00000000-0005-0000-0000-000080000000}"/>
    <cellStyle name="汇总" xfId="164" builtinId="25" customBuiltin="1"/>
    <cellStyle name="汇总 2" xfId="112" xr:uid="{00000000-0005-0000-0000-0000A2000000}"/>
    <cellStyle name="货币 2" xfId="125" xr:uid="{00000000-0005-0000-0000-0000AF000000}"/>
    <cellStyle name="计算" xfId="159" builtinId="22" customBuiltin="1"/>
    <cellStyle name="计算 2" xfId="124" xr:uid="{00000000-0005-0000-0000-0000AE000000}"/>
    <cellStyle name="检查单元格" xfId="161" builtinId="23" customBuiltin="1"/>
    <cellStyle name="检查单元格 2" xfId="111" xr:uid="{00000000-0005-0000-0000-0000A1000000}"/>
    <cellStyle name="解释性文本" xfId="163" builtinId="53" customBuiltin="1"/>
    <cellStyle name="解释性文本 2" xfId="122" xr:uid="{00000000-0005-0000-0000-0000AC000000}"/>
    <cellStyle name="警告文本" xfId="162" builtinId="11" customBuiltin="1"/>
    <cellStyle name="警告文本 2" xfId="123" xr:uid="{00000000-0005-0000-0000-0000AD000000}"/>
    <cellStyle name="链接单元格" xfId="160" builtinId="24" customBuiltin="1"/>
    <cellStyle name="链接单元格 2" xfId="129" xr:uid="{00000000-0005-0000-0000-0000B3000000}"/>
    <cellStyle name="千位分隔 2" xfId="54" xr:uid="{00000000-0005-0000-0000-000068000000}"/>
    <cellStyle name="千位分隔 2 2" xfId="55" xr:uid="{00000000-0005-0000-0000-000069000000}"/>
    <cellStyle name="千位分隔 2 2 2" xfId="56" xr:uid="{00000000-0005-0000-0000-00006A000000}"/>
    <cellStyle name="千位分隔 2 2 2 2" xfId="57" xr:uid="{00000000-0005-0000-0000-00006B000000}"/>
    <cellStyle name="千位分隔 2 2 3" xfId="58" xr:uid="{00000000-0005-0000-0000-00006C000000}"/>
    <cellStyle name="千位分隔 2 2 4" xfId="59" xr:uid="{00000000-0005-0000-0000-00006D000000}"/>
    <cellStyle name="千位分隔 2 3" xfId="60" xr:uid="{00000000-0005-0000-0000-00006E000000}"/>
    <cellStyle name="千位分隔 2 3 2" xfId="61" xr:uid="{00000000-0005-0000-0000-00006F000000}"/>
    <cellStyle name="千位分隔 2 4" xfId="62" xr:uid="{00000000-0005-0000-0000-000070000000}"/>
    <cellStyle name="千位分隔 2 5" xfId="63" xr:uid="{00000000-0005-0000-0000-000071000000}"/>
    <cellStyle name="千位分隔 3" xfId="64" xr:uid="{00000000-0005-0000-0000-000072000000}"/>
    <cellStyle name="千位分隔 3 2" xfId="65" xr:uid="{00000000-0005-0000-0000-000073000000}"/>
    <cellStyle name="千位分隔 3 2 2" xfId="66" xr:uid="{00000000-0005-0000-0000-000074000000}"/>
    <cellStyle name="千位分隔 3 3" xfId="67" xr:uid="{00000000-0005-0000-0000-000075000000}"/>
    <cellStyle name="千位分隔 3 4" xfId="68" xr:uid="{00000000-0005-0000-0000-000076000000}"/>
    <cellStyle name="千位分隔 4" xfId="69" xr:uid="{00000000-0005-0000-0000-000077000000}"/>
    <cellStyle name="千位分隔 4 2" xfId="70" xr:uid="{00000000-0005-0000-0000-000078000000}"/>
    <cellStyle name="千位分隔 4 2 2" xfId="71" xr:uid="{00000000-0005-0000-0000-000079000000}"/>
    <cellStyle name="千位分隔 4 3" xfId="72" xr:uid="{00000000-0005-0000-0000-00007A000000}"/>
    <cellStyle name="千位分隔 5" xfId="73" xr:uid="{00000000-0005-0000-0000-00007B000000}"/>
    <cellStyle name="千位分隔 6" xfId="74" xr:uid="{00000000-0005-0000-0000-00007C000000}"/>
    <cellStyle name="千位分隔 6 2" xfId="75" xr:uid="{00000000-0005-0000-0000-00007D000000}"/>
    <cellStyle name="千位分隔 7" xfId="76" xr:uid="{00000000-0005-0000-0000-00007E000000}"/>
    <cellStyle name="千位分隔 8" xfId="77" xr:uid="{00000000-0005-0000-0000-00007F000000}"/>
    <cellStyle name="适中" xfId="156" builtinId="28" customBuiltin="1"/>
    <cellStyle name="适中 2" xfId="128" xr:uid="{00000000-0005-0000-0000-0000B2000000}"/>
    <cellStyle name="输出" xfId="158" builtinId="21" customBuiltin="1"/>
    <cellStyle name="输出 2" xfId="127" xr:uid="{00000000-0005-0000-0000-0000B1000000}"/>
    <cellStyle name="输入" xfId="157" builtinId="20" customBuiltin="1"/>
    <cellStyle name="输入 2" xfId="126" xr:uid="{00000000-0005-0000-0000-0000B0000000}"/>
    <cellStyle name="着色 1" xfId="165" builtinId="29" customBuiltin="1"/>
    <cellStyle name="着色 1 2" xfId="116" xr:uid="{00000000-0005-0000-0000-0000A6000000}"/>
    <cellStyle name="着色 2" xfId="169" builtinId="33" customBuiltin="1"/>
    <cellStyle name="着色 2 2" xfId="117" xr:uid="{00000000-0005-0000-0000-0000A7000000}"/>
    <cellStyle name="着色 3" xfId="173" builtinId="37" customBuiltin="1"/>
    <cellStyle name="着色 3 2" xfId="118" xr:uid="{00000000-0005-0000-0000-0000A8000000}"/>
    <cellStyle name="着色 4" xfId="177" builtinId="41" customBuiltin="1"/>
    <cellStyle name="着色 4 2" xfId="119" xr:uid="{00000000-0005-0000-0000-0000A9000000}"/>
    <cellStyle name="着色 5" xfId="181" builtinId="45" customBuiltin="1"/>
    <cellStyle name="着色 5 2" xfId="120" xr:uid="{00000000-0005-0000-0000-0000AA000000}"/>
    <cellStyle name="着色 6" xfId="185" builtinId="49" customBuiltin="1"/>
    <cellStyle name="着色 6 2" xfId="121" xr:uid="{00000000-0005-0000-0000-0000AB000000}"/>
    <cellStyle name="注释 2" xfId="113" xr:uid="{00000000-0005-0000-0000-0000A3000000}"/>
    <cellStyle name="注释 2 2" xfId="114" xr:uid="{00000000-0005-0000-0000-0000A4000000}"/>
  </cellStyles>
  <dxfs count="9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numFmt numFmtId="2" formatCode="0.00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numFmt numFmtId="2" formatCode="0.00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numFmt numFmtId="2" formatCode="0.00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numFmt numFmtId="1" formatCode="0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numFmt numFmtId="2" formatCode="0.00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numFmt numFmtId="0" formatCode="General"/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numFmt numFmtId="35" formatCode="_ * #,##0.00_ ;_ * \-#,##0.00_ ;_ * &quot;-&quot;??_ ;_ @_ "/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numFmt numFmtId="14" formatCode="0.00%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/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4" tint="-0.249977111117893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numFmt numFmtId="0" formatCode="General"/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numFmt numFmtId="35" formatCode="_ * #,##0.00_ ;_ * \-#,##0.00_ ;_ * &quot;-&quot;??_ ;_ @_ "/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numFmt numFmtId="14" formatCode="0.00%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/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4" tint="-0.249977111117893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scheme val="major"/>
      </font>
      <numFmt numFmtId="0" formatCode="General"/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numFmt numFmtId="35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numFmt numFmtId="35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family val="2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 Light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numFmt numFmtId="14" formatCode="0.00%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none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Microsoft YaHei"/>
        <scheme val="major"/>
      </font>
      <fill>
        <patternFill patternType="none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Light"/>
        <scheme val="major"/>
      </font>
      <fill>
        <patternFill patternType="none"/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宋体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 Light"/>
        <scheme val="major"/>
      </font>
      <fill>
        <patternFill patternType="solid">
          <fgColor indexed="64"/>
          <bgColor theme="4" tint="-0.249977111117893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numFmt numFmtId="0" formatCode="General"/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5" formatCode="_ * #,##0.00_ ;_ * \-#,##0.00_ ;_ * &quot;-&quot;??_ ;_ @_ "/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numFmt numFmtId="14" formatCode="0.00%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/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4" tint="-0.249977111117893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numFmt numFmtId="0" formatCode="General"/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5" formatCode="_ * #,##0.00_ ;_ * \-#,##0.00_ ;_ * &quot;-&quot;??_ ;_ @_ "/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numFmt numFmtId="14" formatCode="0.00%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>
          <fgColor indexed="64"/>
          <bgColor theme="8" tint="0.5999938962981048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/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/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8" tint="0.39997558519241921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4" tint="-0.249977111117893"/>
        </patternFill>
      </fill>
      <alignment horizontal="center" vertical="top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medium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E366A"/>
        <name val="Calibri"/>
        <family val="3"/>
        <charset val="134"/>
        <scheme val="minor"/>
      </font>
      <fill>
        <patternFill patternType="solid">
          <fgColor indexed="64"/>
          <bgColor rgb="FF7CDED7"/>
        </patternFill>
      </fill>
      <alignment horizontal="center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medium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E366A"/>
        <name val="Calibri"/>
        <family val="3"/>
        <charset val="134"/>
        <scheme val="minor"/>
      </font>
      <fill>
        <patternFill patternType="solid">
          <fgColor indexed="64"/>
          <bgColor rgb="FF7CDED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name val="Microsoft YaHei"/>
      </font>
      <numFmt numFmtId="13" formatCode="0%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name val="Microsoft YaHei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Microsoft YaHei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Microsoft YaHei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Microsoft YaHei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1E366A"/>
        <name val="Calibri"/>
        <family val="3"/>
        <charset val="134"/>
        <scheme val="minor"/>
      </font>
      <fill>
        <patternFill patternType="solid">
          <fgColor indexed="64"/>
          <bgColor rgb="FF7CDED7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charset val="134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numFmt numFmtId="0" formatCode="General"/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4" formatCode="0.00%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/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family val="1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4" tint="-0.249977111117893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numFmt numFmtId="0" formatCode="General"/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numFmt numFmtId="35" formatCode="_ * #,##0.00_ ;_ * \-#,##0.00_ ;_ * &quot;-&quot;??_ ;_ @_ "/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numFmt numFmtId="14" formatCode="0.00%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/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4" tint="-0.249977111117893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numFmt numFmtId="0" formatCode="General"/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5" formatCode="_ * #,##0.00_ ;_ * \-#,##0.00_ ;_ * &quot;-&quot;??_ ;_ @_ "/>
      <fill>
        <patternFill patternType="none"/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numFmt numFmtId="14" formatCode="0.00%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/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4" tint="-0.249977111117893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numFmt numFmtId="0" formatCode="General"/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4" formatCode="0.00%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/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4" tint="-0.249977111117893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numFmt numFmtId="0" formatCode="General"/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4" formatCode="0.00%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theme="8" tint="0.59999389629810485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theme="8" tint="0.59999389629810485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/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/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4" tint="-0.249977111117893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numFmt numFmtId="0" formatCode="General"/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numFmt numFmtId="14" formatCode="0.00%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/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4" tint="-0.249977111117893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numFmt numFmtId="0" formatCode="General"/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4" formatCode="0.00%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/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4" tint="-0.249977111117893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numFmt numFmtId="0" formatCode="General"/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numFmt numFmtId="14" formatCode="0.00%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/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4" tint="-0.249977111117893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numFmt numFmtId="0" formatCode="General"/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numFmt numFmtId="14" formatCode="0.00%"/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solid">
          <fgColor indexed="64"/>
          <bgColor theme="8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/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4" tint="-0.249977111117893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numFmt numFmtId="0" formatCode="General"/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35" formatCode="_ * #,##0.00_ ;_ * \-#,##0.00_ ;_ * &quot;-&quot;??_ ;_ @_ 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charset val="134"/>
        <scheme val="none"/>
      </font>
      <fill>
        <patternFill patternType="solid">
          <fgColor indexed="64"/>
          <bgColor theme="9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14" formatCode="0.00%"/>
      <fill>
        <patternFill patternType="solid">
          <fgColor indexed="64"/>
          <bgColor theme="7" tint="0.79998168889431442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>
          <fgColor indexed="64"/>
          <bgColor theme="8" tint="0.59999389629810485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numFmt numFmtId="0" formatCode="General"/>
      <fill>
        <patternFill patternType="solid">
          <fgColor indexed="64"/>
          <bgColor rgb="FFFFFFCC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imes New Roman"/>
        <charset val="134"/>
        <scheme val="none"/>
      </font>
      <fill>
        <patternFill patternType="none"/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8" tint="0.3999755851924192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charset val="134"/>
        <scheme val="none"/>
      </font>
      <fill>
        <patternFill patternType="none"/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Times New Roman"/>
        <charset val="134"/>
        <scheme val="none"/>
      </font>
      <fill>
        <patternFill patternType="solid">
          <fgColor indexed="64"/>
          <bgColor theme="4" tint="-0.249977111117893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微软雅黑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微软雅黑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微软雅黑"/>
        <family val="2"/>
        <scheme val="none"/>
      </font>
      <fill>
        <patternFill patternType="solid">
          <fgColor rgb="FFD9D9D9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微软雅黑"/>
        <family val="2"/>
        <scheme val="none"/>
      </font>
      <numFmt numFmtId="182" formatCode="_ * #,##0.0_ ;_ * \-#,##0.0_ ;_ * &quot;-&quot;??_ ;_ @_ "/>
      <fill>
        <patternFill patternType="solid">
          <fgColor rgb="FFD9D9D9"/>
          <bgColor rgb="FFD9D9D9"/>
        </patternFill>
      </fill>
      <border diagonalUp="0" diagonalDown="0" outline="0">
        <left/>
        <right/>
        <top/>
        <bottom style="thin">
          <color theme="4" tint="0.39997558519241921"/>
        </bottom>
      </border>
    </dxf>
    <dxf>
      <border outline="0">
        <top style="thin">
          <color theme="9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微软雅黑"/>
        <family val="2"/>
        <scheme val="none"/>
      </font>
      <fill>
        <patternFill patternType="solid">
          <fgColor rgb="FFD9D9D9"/>
          <bgColor rgb="FFD9D9D9"/>
        </patternFill>
      </fill>
    </dxf>
    <dxf>
      <border outline="0">
        <bottom style="thin">
          <color theme="9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numFmt numFmtId="2" formatCode="0.00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numFmt numFmtId="1" formatCode="0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numFmt numFmtId="2" formatCode="0.00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numFmt numFmtId="2" formatCode="0.00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numFmt numFmtId="2" formatCode="0.00"/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  <dxf>
      <font>
        <name val="Aptos"/>
      </font>
    </dxf>
  </dxfs>
  <tableStyles count="0" defaultTableStyle="TableStyleMedium2" defaultPivotStyle="PivotStyleLight16"/>
  <colors>
    <mruColors>
      <color rgb="FFFFCCFF"/>
      <color rgb="FFFF66CC"/>
      <color rgb="FFFF7C80"/>
      <color rgb="FFFFFFCC"/>
      <color rgb="FFCC99FF"/>
      <color rgb="FFFCD4F9"/>
      <color rgb="FFF8CBAD"/>
      <color rgb="FFFFFF00"/>
      <color rgb="FF9966FF"/>
      <color rgb="FFCA68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2.xml"/><Relationship Id="rId39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1.xml"/><Relationship Id="rId33" Type="http://schemas.microsoft.com/office/2017/06/relationships/rdRichValueStructure" Target="richData/rdrichvaluestructure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06/relationships/rdRichValue" Target="richData/rdrichvalue.xml"/><Relationship Id="rId37" Type="http://schemas.openxmlformats.org/officeDocument/2006/relationships/customXml" Target="../customXml/item1.xml"/><Relationship Id="rId40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onnections" Target="connections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Relationship Id="rId35" Type="http://schemas.microsoft.com/office/2017/10/relationships/person" Target="persons/person.xml"/></Relationships>
</file>

<file path=xl/documenttasks/documenttask1.xml><?xml version="1.0" encoding="utf-8"?>
<Tasks xmlns="http://schemas.microsoft.com/office/tasks/2019/documenttasks">
  <Task id="{918C8A87-F78B-464D-96CB-E476B2A8D66A}">
    <Anchor>
      <Comment id="{2B922C6E-D28A-45CD-BE48-7CE2E9C4126E}"/>
    </Anchor>
    <History>
      <Event time="2025-09-16T08:36:53.86" id="{69FFDF04-FDF2-4A93-88C2-9EBD5D085F61}">
        <Attribution userId="S::sbeaufrere@sunpowerglobal.com::1c5d2d27-21c1-451a-ae7c-4d318adb8859" userName="Steven Beaufrere" userProvider="AD"/>
        <Anchor>
          <Comment id="{2B922C6E-D28A-45CD-BE48-7CE2E9C4126E}"/>
        </Anchor>
        <Create/>
      </Event>
      <Event time="2025-09-16T08:36:53.86" id="{94AF1C3A-D737-4189-B784-E0E275DC7A46}">
        <Attribution userId="S::sbeaufrere@sunpowerglobal.com::1c5d2d27-21c1-451a-ae7c-4d318adb8859" userName="Steven Beaufrere" userProvider="AD"/>
        <Anchor>
          <Comment id="{2B922C6E-D28A-45CD-BE48-7CE2E9C4126E}"/>
        </Anchor>
        <Assign userId="S::alefresne@sunpowerglobal.com::54066967-07f3-48a5-82f8-e591abb221f3" userName="Antoine Lefresne" userProvider="AD"/>
      </Event>
      <Event time="2025-09-16T08:36:53.86" id="{CF0CA10F-98F5-45F8-BEE1-E6393867E966}">
        <Attribution userId="S::sbeaufrere@sunpowerglobal.com::1c5d2d27-21c1-451a-ae7c-4d318adb8859" userName="Steven Beaufrere" userProvider="AD"/>
        <Anchor>
          <Comment id="{2B922C6E-D28A-45CD-BE48-7CE2E9C4126E}"/>
        </Anchor>
        <SetTitle title="@Antoine Lefresne peux tu confirmer si beosin de 500 CFP"/>
      </Event>
      <Event time="2026-03-17T10:51:46.81" id="{C9A12193-0374-45B2-B311-828FF09F2BC5}">
        <Attribution userId="S::jb.guillaume@tcl.com::1d4ad0f0-8226-472f-980c-464c8a4841ac" userName="Jean-Baptiste Guillaum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CB017473-1CA4-48A8-9282-0406ACB72638}">
    <Anchor>
      <Comment id="{79B2CD4E-2DA3-4D46-9527-6BCC52E9C9F4}"/>
    </Anchor>
    <History>
      <Event time="2026-03-25T09:22:26.16" id="{12F4E476-29A4-4CD9-AAFA-2DC769EB1BC2}">
        <Attribution userId="S::sven.braunstein@tcl.com::6cc806c7-c45b-461c-a33f-00e297dd614a" userName="Sven Braunstein" userProvider="AD"/>
        <Anchor>
          <Comment id="{79B2CD4E-2DA3-4D46-9527-6BCC52E9C9F4}"/>
        </Anchor>
        <Create/>
      </Event>
      <Event time="2026-03-25T09:22:26.16" id="{DA7DE022-D0CD-4C34-93DA-8699FD427AA5}">
        <Attribution userId="S::sven.braunstein@tcl.com::6cc806c7-c45b-461c-a33f-00e297dd614a" userName="Sven Braunstein" userProvider="AD"/>
        <Anchor>
          <Comment id="{79B2CD4E-2DA3-4D46-9527-6BCC52E9C9F4}"/>
        </Anchor>
        <Assign userId="S::andreas.kauls@tcl.com::6a4c8046-2949-4ffa-b8ff-851ea4fef7a6" userName="Andreas Kauls" userProvider="AD"/>
      </Event>
      <Event time="2026-03-25T09:22:26.16" id="{AFAEA6D1-E480-475F-888A-92ECDEEC478F}">
        <Attribution userId="S::sven.braunstein@tcl.com::6cc806c7-c45b-461c-a33f-00e297dd614a" userName="Sven Braunstein" userProvider="AD"/>
        <Anchor>
          <Comment id="{79B2CD4E-2DA3-4D46-9527-6BCC52E9C9F4}"/>
        </Anchor>
        <SetTitle title="@Andreas Kauls Is it correct that you used 2 different Entities for Kühn?"/>
      </Event>
    </History>
  </Task>
</Tasks>
</file>

<file path=xl/documenttasks/documenttask3.xml><?xml version="1.0" encoding="utf-8"?>
<Tasks xmlns="http://schemas.microsoft.com/office/tasks/2019/documenttasks">
  <Task id="{9B952CC7-4593-49BB-ACA8-387B88222C95}">
    <Anchor>
      <Comment id="{CAF2BE62-7E70-4A92-AAAE-2AC5D87BBAE9}"/>
    </Anchor>
    <History>
      <Event time="2026-03-25T09:22:26.16" id="{12F4E476-29A4-4CD9-AAFA-2DC769EB1BC2}">
        <Attribution userId="S::sven.braunstein@tcl.com::6cc806c7-c45b-461c-a33f-00e297dd614a" userName="Sven Braunstein" userProvider="AD"/>
        <Anchor>
          <Comment id="{CAF2BE62-7E70-4A92-AAAE-2AC5D87BBAE9}"/>
        </Anchor>
        <Create/>
      </Event>
      <Event time="2026-03-25T09:22:26.16" id="{DA7DE022-D0CD-4C34-93DA-8699FD427AA5}">
        <Attribution userId="S::sven.braunstein@tcl.com::6cc806c7-c45b-461c-a33f-00e297dd614a" userName="Sven Braunstein" userProvider="AD"/>
        <Anchor>
          <Comment id="{CAF2BE62-7E70-4A92-AAAE-2AC5D87BBAE9}"/>
        </Anchor>
        <Assign userId="S::andreas.kauls@tcl.com::6a4c8046-2949-4ffa-b8ff-851ea4fef7a6" userName="Andreas Kauls" userProvider="AD"/>
      </Event>
      <Event time="2026-03-25T09:22:26.16" id="{AFAEA6D1-E480-475F-888A-92ECDEEC478F}">
        <Attribution userId="S::sven.braunstein@tcl.com::6cc806c7-c45b-461c-a33f-00e297dd614a" userName="Sven Braunstein" userProvider="AD"/>
        <Anchor>
          <Comment id="{CAF2BE62-7E70-4A92-AAAE-2AC5D87BBAE9}"/>
        </Anchor>
        <SetTitle title="@Andreas Kauls Is it correct that you used 2 different Entities for Kühn?"/>
      </Event>
    </History>
  </Task>
</Tasks>
</file>

<file path=xl/documenttasks/documenttask4.xml><?xml version="1.0" encoding="utf-8"?>
<Tasks xmlns="http://schemas.microsoft.com/office/tasks/2019/documenttasks">
  <Task id="{9C161F97-9F02-4943-AF5B-F508000E5779}">
    <Anchor>
      <Comment id="{1B89BF32-7C1E-4838-8776-61B20B62A132}"/>
    </Anchor>
    <History>
      <Event time="2025-09-16T08:36:53.86" id="{69FFDF04-FDF2-4A93-88C2-9EBD5D085F61}">
        <Attribution userId="S::sbeaufrere@sunpowerglobal.com::1c5d2d27-21c1-451a-ae7c-4d318adb8859" userName="Steven Beaufrere" userProvider="AD"/>
        <Anchor>
          <Comment id="{1B89BF32-7C1E-4838-8776-61B20B62A132}"/>
        </Anchor>
        <Create/>
      </Event>
      <Event time="2025-09-16T08:36:53.86" id="{94AF1C3A-D737-4189-B784-E0E275DC7A46}">
        <Attribution userId="S::sbeaufrere@sunpowerglobal.com::1c5d2d27-21c1-451a-ae7c-4d318adb8859" userName="Steven Beaufrere" userProvider="AD"/>
        <Anchor>
          <Comment id="{1B89BF32-7C1E-4838-8776-61B20B62A132}"/>
        </Anchor>
        <Assign userId="S::alefresne@sunpowerglobal.com::54066967-07f3-48a5-82f8-e591abb221f3" userName="Antoine Lefresne" userProvider="AD"/>
      </Event>
      <Event time="2025-09-16T08:36:53.86" id="{CF0CA10F-98F5-45F8-BEE1-E6393867E966}">
        <Attribution userId="S::sbeaufrere@sunpowerglobal.com::1c5d2d27-21c1-451a-ae7c-4d318adb8859" userName="Steven Beaufrere" userProvider="AD"/>
        <Anchor>
          <Comment id="{1B89BF32-7C1E-4838-8776-61B20B62A132}"/>
        </Anchor>
        <SetTitle title="@Antoine Lefresne peux tu confirmer si beosin de 500 CFP"/>
      </Event>
      <Event time="2026-03-17T10:51:46.81" id="{C9A12193-0374-45B2-B311-828FF09F2BC5}">
        <Attribution userId="S::jb.guillaume@tcl.com::1d4ad0f0-8226-472f-980c-464c8a4841ac" userName="Jean-Baptiste Guillaum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533400</xdr:colOff>
      <xdr:row>1</xdr:row>
      <xdr:rowOff>19050</xdr:rowOff>
    </xdr:from>
    <xdr:to>
      <xdr:col>41</xdr:col>
      <xdr:colOff>581025</xdr:colOff>
      <xdr:row>21</xdr:row>
      <xdr:rowOff>161925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9EBA3B02-95CC-809D-A610-5BB631F43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63625" y="190500"/>
          <a:ext cx="15135225" cy="4533900"/>
        </a:xfrm>
        <a:prstGeom prst="rect">
          <a:avLst/>
        </a:prstGeom>
      </xdr:spPr>
    </xdr:pic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ualizzazione1" id="{D995A9F3-F412-4C3B-977B-E85D505C5AA9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ualizzazione1" id="{658828EC-DE10-4E8E-9A30-C717EF0088B7}">
    <nsvFilter filterId="{F34BDD97-465E-4E0D-9E27-F2404DC1594D}" ref="A5:V32" tableId="11">
      <columnFilter colId="2" id="{7F4AAF2A-8A9F-4571-ABC9-64CF1867CBAD}">
        <filter colId="2">
          <x:filters>
            <x:filter val="Ignazio Sasanelli"/>
          </x:filters>
        </filter>
      </columnFilter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rleen Hu 胡斯雅" id="{8E074E4E-878C-C548-B4E9-CD3C262F8FBD}" userId="husiya@tcl.com" providerId="PeoplePicker"/>
  <person displayName="Andreas Kauls" id="{40BE5369-AA75-4D77-88A0-0715CA8F856C}" userId="andreas.kauls@tcl.com" providerId="PeoplePicker"/>
  <person displayName="Matthias Doering" id="{2E179275-DCA3-4CA4-AF86-D61B2FCB650C}" userId="matthias.doering@tcl.com" providerId="PeoplePicker"/>
  <person displayName="Antoine Lefresne" id="{4CE57772-7276-4A89-B164-7180FA87FB25}" userId="alefresne@sunpowerglobal.com" providerId="PeoplePicker"/>
  <person displayName="Adam Wolf" id="{16E08012-FE48-E547-90B5-8321D8F7B613}" userId="S::adam.wolf@tcl.com::1c66b8dc-b20d-416d-9c9d-f53edc4b04a8" providerId="AD"/>
  <person displayName="Regis Devis" id="{2396CA0B-DDA2-4EFE-B196-29186AB719F1}" userId="S::regis.devis@tcl.com::176709bc-ddb5-49c4-9759-5a9ab3ee2b50" providerId="AD"/>
  <person displayName="Sven Braunstein" id="{D5E0D02A-F15F-489E-AE78-08987EC9D1DB}" userId="S::sven.braunstein@tcl.com::6cc806c7-c45b-461c-a33f-00e297dd614a" providerId="AD"/>
  <person displayName="Ignazio SASANELLI" id="{6F02DAB5-5213-457E-ABE1-D64BCE82525D}" userId="S::ignazio.sasanelli@tcl.com::b7625112-bab5-481f-af5a-ea25c52654f8" providerId="AD"/>
  <person displayName="Steven Beaufrere" id="{2B8BE072-8D0D-4FDC-8864-58B5467EC83C}" userId="S::sbeaufrere@sunpowerglobal.com::1c5d2d27-21c1-451a-ae7c-4d318adb885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CL" refreshedDate="46292.904838425929" createdVersion="8" refreshedVersion="8" minRefreshableVersion="3" recordCount="547" xr:uid="{9EEB4A31-DCB5-48D1-80FA-7F9725DD12C0}">
  <cacheSource type="worksheet">
    <worksheetSource name="Conso_FCST"/>
  </cacheSource>
  <cacheFields count="27">
    <cacheField name="Country" numFmtId="0">
      <sharedItems containsBlank="1" containsMixedTypes="1" containsNumber="1" minValue="0.1" maxValue="0.1"/>
    </cacheField>
    <cacheField name="Customer name" numFmtId="0">
      <sharedItems containsBlank="1" count="297">
        <s v="Solarmarkt"/>
        <s v="Solexis"/>
        <s v="Wien Energie"/>
        <s v="ECOSTAL SPRL"/>
        <s v="bvba BeliVert"/>
        <s v="SOLARPRO BVBA"/>
        <s v="SOLARPRO"/>
        <s v="Reno.Energy SA"/>
        <s v="RENA SOLAR &amp; CHARGE"/>
        <s v="Neopower"/>
        <s v="ENR Lux"/>
        <s v="MR group"/>
        <s v="SOLAR DEPOT SARL."/>
        <s v="New customer"/>
        <s v="Mobis"/>
        <s v="Dracoudis"/>
        <s v="Spark Invest"/>
        <s v="Solsol"/>
        <s v="Krannich"/>
        <s v="Richardson"/>
        <s v="Voltaneo"/>
        <s v="NED"/>
        <s v="ISOSSUN"/>
        <s v="Courant Naturel"/>
        <s v="Lamazouade"/>
        <s v="Ecostal"/>
        <s v="APPROSUD ENVIRONNEMENT"/>
        <s v="LARIVIERE"/>
        <s v="New Customer / Balance of others customers FR"/>
        <s v="divers"/>
        <s v="Dubecq et Fils Sarl"/>
        <s v="Maisolia"/>
        <s v="VIVARAIS ENERGIES SARL"/>
        <s v="REXEL FRANCE SAS"/>
        <s v="JR ENERGIE Conseil"/>
        <s v="Baka LLC"/>
        <s v="Schur GmbH"/>
        <s v="solar-activ-GmbH"/>
        <s v="Wieser Elektro GmbH"/>
        <s v="Wohnico GmbH"/>
        <s v="Beck Elektrotechnik GmbH"/>
        <s v="Betterliving GmbH"/>
        <s v="retec MERZ GmbH"/>
        <s v="Hauser Solartechnik GmbH"/>
        <s v="Holzbau Deuerling"/>
        <s v="iKratos Solar- und Energietechnik GmbH"/>
        <s v="MAK Solarsysteme Photovoltaik, Inh. Marius Kraus"/>
        <s v="nrg4.eco GmbH"/>
        <s v="ÖKO-HAUS GmbH"/>
        <s v="Die Energieschmiede GmbH"/>
        <s v="EnSolar GmbH"/>
        <s v="Galicium Solar GmbH"/>
        <s v="Energy3000"/>
        <s v="pvXchange"/>
        <s v="Rexel"/>
        <s v="Solakon"/>
        <s v="Pfalzwerke"/>
        <s v="Badenova"/>
        <s v="Helmut Herbert GmbH &amp; Co"/>
        <s v="Martin Walz Elektro + Solartechnik GmbH &amp; Co. KG"/>
        <s v="Müller GmbH"/>
        <s v="ProSyS Erneuerbare Energien UG"/>
        <s v="Schlotz Gebäude- und Energiesysteme, Inh. Markus Schlotz"/>
        <s v="Solar Fabrik"/>
        <s v="Elza Elektrotechnik GmbH"/>
        <s v="Grotepass GmbH"/>
        <s v="KühnSolar GmbH"/>
        <s v="Lebherz und Partner"/>
        <s v="MMS GmbH"/>
        <s v="MR Pauer Agrardienst &amp; Service GmbH"/>
        <s v="Pletzinger Haustechnik GmbH"/>
        <s v="Powertrust GmbH"/>
        <s v="Energy4tomorrow"/>
        <s v="Energie-Spar-Centrum Altenwahlingen e.K."/>
        <s v="BSS Solar Systeme GmbH &amp; Co. KG"/>
        <s v="Bysolar Hans-Jürgen Brikey GmbH"/>
        <s v="Ecosolar e.K."/>
        <s v="EGU"/>
        <s v="Elektrotechnik Thomas Richter"/>
        <s v="Sunera"/>
        <s v="ReGeTech GmbH"/>
        <s v="RGT GmbH"/>
        <s v="Blitzplank GmbH"/>
        <s v="Elektro Ecker GmbH &amp; Co. KG"/>
        <s v="Elektro Wachter GmbH"/>
        <s v="Elektrotechnik Forstner GmbH &amp; Co.KG"/>
        <s v="Elektrotechnik Peter Hartmann, Inh. Peter Hartmann"/>
        <s v="Bauer Energietechnik e.K."/>
        <s v="S.A.T. SONNEN- &amp; ALTERNATIVTECHNIK GMBH &amp; CO. KG"/>
        <s v="SEN Solare Energiesysteme GmbH"/>
        <s v="SOATEK"/>
        <s v="SolarEnergieNetzwerk UG (haftungsbeschränkt)"/>
        <s v="Solarwerkstatt Lemgo GmbH"/>
        <s v="SUNWORKERS GmbH &amp; Co. KG"/>
        <s v="alb-elektric Huber Freileitungs- und Kabelbau GmbH"/>
        <s v="BC Perigramma"/>
        <s v="Fast Forward"/>
        <s v="Solaraxis"/>
        <s v="Gatiba"/>
        <s v="New Customer / Balance of others customers IT"/>
        <s v="Energia Italia"/>
        <s v="Veesla"/>
        <s v="Elmitra"/>
        <s v="Baltsolar"/>
        <s v="New Customer / Balance of others customers BNL"/>
        <s v="Natec Sunenergy B.V."/>
        <s v="SO Products B.V."/>
        <s v="VDH Solar Groothandel B.V."/>
        <s v="Nordic Sun Danmark A/S"/>
        <s v="Rexel Sweden"/>
        <s v="Site Services A/S"/>
        <s v="Nova Solar "/>
        <s v="Solar DK"/>
        <s v="Sunny Future AB"/>
        <s v="Pareto Alternative investments"/>
        <s v="New Customer / Balance of others customers NO"/>
        <s v="Eko-On"/>
        <s v="Procarte"/>
        <s v="Inplag"/>
        <s v="Greto"/>
        <s v="Energynat"/>
        <s v="OEM Energy"/>
        <s v="CRC Energy"/>
        <s v="Wiren"/>
        <s v="Spectrum Solar"/>
        <s v="Eventus Energy"/>
        <s v="Innovagrid"/>
        <s v="Balance of Customers"/>
        <s v="Suministros Orduña S.L."/>
        <s v="Auna"/>
        <s v="Coelca"/>
        <s v="Global Renovables"/>
        <s v="Segui clima (Auna)"/>
        <s v="Yomatec"/>
        <s v="ESR"/>
        <s v="Almacen Fotovoltaico"/>
        <s v="LM Eight Solar Renewables Energies S.L."/>
        <s v="New Customer / Balance of others customers ES"/>
        <s v="AES Limited"/>
        <s v="Oxford Solar PV"/>
        <s v="NEw Customer / Balance of others customers UK"/>
        <s v="Project Solar UK Ltd"/>
        <s v="Savent Solar Limited"/>
        <s v="Simple solar (SW) Ltd"/>
        <s v="Western Counties Roofing Ltd"/>
        <s v="UK Greentech"/>
        <s v="The Little Green Energy Company Limited"/>
        <s v="TB Electrics &amp; Home Improvements Ltd"/>
        <s v="Sun Sparks Limited"/>
        <s v="Stratford Energy Solutions"/>
        <s v="Solen Energy UK Limited"/>
        <s v="Solarsense uk ltd"/>
        <s v="Smith Bros"/>
        <s v="Failte Solar"/>
        <s v="Evo Energy"/>
        <s v="Eco NRG Ltd."/>
        <s v="Eco Greenenergy Solutions Ltd"/>
        <s v="Ceiba Renewables Limited"/>
        <s v="Bimble Solar Limited"/>
        <s v="Failte Solar Ireland "/>
        <s v="Failte Solar UK"/>
        <s v="FES Support Services"/>
        <s v="Naked Solar Limited"/>
        <s v="Mole Energy Ltd"/>
        <s v="Links Electrical "/>
        <s v="Inspire Green"/>
        <s v="Westwood Energy"/>
        <s v="In2gr8ted Solutions Ltd"/>
        <s v="Guernsey - Little Green"/>
        <s v="Greenshop Solar Ltd"/>
        <s v="Greenscape Energy"/>
        <s v="Geo Green Power Ltd"/>
        <s v="MBI"/>
        <s v="Solcellespesialisten AS" u="1"/>
        <s v="Geo Green Power" u="1"/>
        <s v="Collison Electrical Services" u="1"/>
        <s v="Aztec Solar" u="1"/>
        <s v="Infinity Energy Services Ltd" u="1"/>
        <s v="Forever Green Energy" u="1"/>
        <s v="Zonnepaneel Kampioen B.V" u="1"/>
        <m u="1"/>
        <s v="Magserveis" u="1"/>
        <s v="Saltoki" u="1"/>
        <s v="Orduña" u="1"/>
        <s v="New Customer /Balanace of others Customers ES" u="1"/>
        <s v="GC Gruppe" u="1"/>
        <s v="Sachsenenergie" u="1"/>
        <s v="EFG Gruppe" u="1"/>
        <s v="Yuma" u="1"/>
        <s v="Evercon" u="1"/>
        <s v="Energize" u="1"/>
        <s v="Solaar Energie Netzwerk" u="1"/>
        <s v="SAT" u="1"/>
        <s v="RGT" u="1"/>
        <s v="Pletzinger Haustechnik" u="1"/>
        <s v="Grotepass" u="1"/>
        <s v="Energie Spar Centrum" u="1"/>
        <s v="EcoSolar" u="1"/>
        <s v="BySolar" u="1"/>
        <s v="BSS Solar" u="1"/>
        <s v="MMS" u="1"/>
        <s v="Sunworkers" u="1"/>
        <s v="Kühn Solar" u="1"/>
        <s v="Cool 4 You" u="1"/>
        <s v="Solar One" u="1"/>
        <s v="Solar Group" u="1"/>
        <s v="Chorus Marketing and Distribution SRL" u="1"/>
        <s v="Arabesque" u="1"/>
        <s v="e-acumulatori" u="1"/>
        <s v="Baywa" u="1"/>
        <s v="JAB" u="1"/>
        <s v="Avintia" u="1"/>
        <s v="Solarsense uk" u="1"/>
        <s v="Machtelinckx" u="1"/>
        <s v="Eco Technics" u="1"/>
        <s v="Cule Promet" u="1"/>
        <s v="CEZ" u="1"/>
        <s v="Agile Europe" u="1"/>
        <s v="New Customer / Balance of others customers" u="1"/>
        <s v="CAP ECO ENERGIE" u="1"/>
        <s v="SonnenPlan GmbH" u="1"/>
        <s v="WELUMA GmbH" u="1"/>
        <s v="Udo Deppe Energietechnik GmbH" u="1"/>
        <s v="SunVista RE GmbH" u="1"/>
        <s v="Sonnenstrom GmbH &amp; Co. KG" u="1"/>
        <s v="Lebherz und Partner GmbH" u="1"/>
        <s v="Bergisch Land Energietechnik GmbH" u="1"/>
        <s v="Energiesysteme Tölzer Land" u="1"/>
        <s v="E-Tec Solutions" u="1"/>
        <s v="Green Effect" u="1"/>
        <s v="ALEMPOWER SRL" u="1"/>
        <s v="cieb" u="1"/>
        <s v="ENERGIA ITALIA S.R.L SOCIETA' BENEFIT" u="1"/>
        <s v="COMET S.P.A." u="1"/>
        <s v="TECNO-LARIO S.P.A." u="1"/>
        <s v="SOLARIT S.R.L. UNIPERSONALE" u="1"/>
        <s v="test energia" u="1"/>
        <s v="VOLTANEO ITALIA S.R.L." u="1"/>
        <s v="Reenpro" u="1"/>
        <s v="UAB Elmitra" u="1"/>
        <s v="Zonnefabriek bv" u="1"/>
        <s v="Pebble Green Energy Products BV" u="1"/>
        <s v="BAM Modulaire- en Energieconcepten bv" u="1"/>
        <s v="1KOMMA5 DANMARK A/S" u="1"/>
        <s v="Pro Solar ApS" u="1"/>
        <s v="ProCarte " u="1"/>
        <s v="Emiternet" u="1"/>
        <s v="Veltol Energy" u="1"/>
        <s v="Amelis Install" u="1"/>
        <s v="Astra Electric" u="1"/>
        <s v="Simtel Team" u="1"/>
        <s v="Chorus Research Engineering Distribution srl" u="1"/>
        <s v="GEN &amp; IUL TRADING SRL" u="1"/>
        <s v="Perpetum Energy" u="1"/>
        <s v="UBORA AUTOCONSUMO S.L." u="1"/>
        <s v="VOLTAIC RENOVABLES SLU" u="1"/>
        <s v="Ruano" u="1"/>
        <s v="SOLARTRADEX SL" u="1"/>
        <s v="XOLARY COMUNIDAD ENERGÉTICA SL" u="1"/>
        <s v="ADRATEK SOLUCIONES ENERGÉTICAS SL" u="1"/>
        <s v="Ecogal Energías Renovables, S.L." u="1"/>
        <s v="ELECTRICIDAD EUFON, S.A." u="1"/>
        <s v="EUROCLIMA MADRID SL" u="1"/>
        <s v="GREEN EFFICIENT SOLUTIONS, S.L." u="1"/>
        <s v="Project Better Energy Ltd" u="1"/>
        <s v="EEL GreenTech" u="1"/>
        <s v="Techfor Energy Ltd" u="1"/>
        <s v="Unisolar" u="1"/>
        <s v="SENERCO ENERGY SERVICES, S.L." u="1"/>
        <s v="INSOLAC RENOVABLES SL" u="1"/>
        <s v="Konery Energy, S.L.U." u="1"/>
        <s v="Jesus Aceituno Lopez" u="1"/>
        <s v="Fessa Solar SL" u="1"/>
        <s v="EL SOL ES GRATIS SL" u="1"/>
        <s v="CerO2 Energía y Eficiencia, S.L." u="1"/>
        <s v="Quantum Servicios Energeticos SL" u="1"/>
        <s v="RAÚL GARCIA PEÑA" u="1"/>
        <s v="SIALSOL INVERSIONS SOSTENIBLES, SL" u="1"/>
        <s v="SINDETEC TECHNOLOGY DEVELOPMENT" u="1"/>
        <s v="Ertec Lda" u="1"/>
        <s v="Dawsongroup TCS Ibérica, S.L." u="1"/>
        <s v="INSTALACIONES SOLAR ENER RESIDENCIAL S.L." u="1"/>
        <s v="KAYLON ENERGIAS RENOVABLES SL" u="1"/>
        <s v="MZE " u="1"/>
        <s v="Tiszta Energiak" u="1"/>
        <s v="EnergyNAT Sp. z.o.o" u="1"/>
        <s v="AOT Elektrotechnik GmbH" u="1"/>
        <s v="Solcellespecialisten" u="1"/>
        <s v="P&amp;Q" u="1"/>
        <s v="Enervigo" u="1"/>
        <s v="Sunlike" u="1"/>
        <s v="Romstal IMEX" u="1"/>
        <s v="Wiren Romania" u="1"/>
        <s v="Coo4U" u="1"/>
        <s v="Acciona" u="1"/>
        <s v="E2PRO" u="1"/>
        <s v="Iftech" u="1"/>
      </sharedItems>
    </cacheField>
    <cacheField name="RSM" numFmtId="0">
      <sharedItems containsBlank="1"/>
    </cacheField>
    <cacheField name="Product Line" numFmtId="0">
      <sharedItems containsBlank="1" count="21">
        <s v="TCL_C2_Series"/>
        <s v="SPR_P7"/>
        <s v="TCL_T_Class"/>
        <s v="SPR_BC"/>
        <s v="ESS_TCL_CI"/>
        <s v="TCL_T5_Pro"/>
        <s v="ESS_SPR_Gen2"/>
        <s v="SPR_M_Class"/>
        <s v="TCL_S_Class"/>
        <s v="TCL_E_Class"/>
        <s v="SPR_P_Class"/>
        <s v="Heat_Pump"/>
        <s v="SPR_MAX_P6"/>
        <s v="ESS_TCL_Res"/>
        <m u="1"/>
        <s v="ESS_CI" u="1"/>
        <s v="ESS_Gen2" u="1"/>
        <s v="BTP_Gen2" u="1"/>
        <s v="SPR_M_Class_Plus" u="1"/>
        <s v="exclude" u="1"/>
        <s v="BTP_Gen1" u="1"/>
      </sharedItems>
    </cacheField>
    <cacheField name="Model name" numFmtId="0">
      <sharedItems count="77">
        <s v="HSM-BE54-JD485/490"/>
        <s v="P7-BLK-2mm-460"/>
        <s v="HSM-ND54-DR500"/>
        <s v="P7-BLK-P-510"/>
        <s v="HSM-ND66-GK725"/>
        <s v="HSM-ND48-DR450"/>
        <s v="SPR-BE54-HD490/495"/>
        <s v="BlueArk W10-125K-261"/>
        <s v="P7-BLK-2mm-455"/>
        <s v="HSM-NT60-GH 580/585"/>
        <s v="BlueArk X5-50K-100"/>
        <s v="HSM-NT48-HH 465/470-Black"/>
        <s v="HSM-BE54-HD485/490"/>
        <s v="HSM-NT66-GH 640/645"/>
        <s v="HSM-ND48-DR455"/>
        <s v="HSM-ND54-DR505"/>
        <s v="HSM-ND66-GR625"/>
        <s v="HSM-ND66-GR620"/>
        <s v="P7-BLK-P-515"/>
        <s v="HSM-BD66-GR650/655"/>
        <s v="HSM-NT48-JH 470/475 CFP-White"/>
        <s v="HSM-ND48-DR455-CFP"/>
        <s v="HSM-NT48-GH 470/475 CFP-White "/>
        <s v="1P 6KW 1*5KWH"/>
        <s v="HSM-ND48-DR450-CFP"/>
        <s v="HSM-ND54-DR500-CFP"/>
        <s v="3P 13KW 2*5KWH"/>
        <s v="3P 10KW 2*5KWH"/>
        <s v="HSM-NT66-GH 645/650 CFP"/>
        <s v="HSM-BE54-JD485/490-CFP"/>
        <s v="addtl 5KWH BAT"/>
        <s v="1P 8KW 1*5KWH"/>
        <s v="1P 10KW 1*5KWH"/>
        <s v="P7-COM-S CFP"/>
        <s v="P7-COM-S"/>
        <s v="SPR-BE66-GD595/600"/>
        <s v="P7-BLK-P-500 no production"/>
        <s v="SPR-BD54-DC 490/495"/>
        <s v="P7-BLK-2mm-450"/>
        <s v="HSM-NT48-HH 465/470 - T5_Pro_S_Black"/>
        <s v="HSM-ND66-GR630"/>
        <s v="HSM-ND66-GK730"/>
        <s v="HSM-NT48-JH 465/470 - T5_Pro_S_White"/>
        <s v="TCL-MR465DT182-58NS"/>
        <s v="HSM-BD54-DA465"/>
        <s v="SPR-BE54-DC485"/>
        <s v="SPR-NT48-HH 465/470 - P_Class RES BLK"/>
        <s v="HSM-ND48-DR445"/>
        <s v="SPR-NT60-GH 580/585 - P_Class COM"/>
        <s v="SPR-BE54-DC480"/>
        <s v="1P 6kW 2*5kWh"/>
        <s v="TCL-MR470DT182-58NS"/>
        <s v="HSM-GKA-NM720"/>
        <s v="HSM-NT48-JH 470/475-White"/>
        <s v="HB12SP0"/>
        <s v="SPR_MAX_P6"/>
        <s v="BlueArk X1-10kW-TP 1*8kWh"/>
        <s v="HSM-NT66-GH 640/645 - T5_Pro_L_PP"/>
        <s v="TCL-MG720DT210-68NS"/>
        <s v="BlueArk X1-5kW-SP 1*8kWh"/>
        <s v="BlueArk X1-15kW-TP 1*8kWh"/>
        <s v="1P 10kW 2*5kWh"/>
        <s v="HSM-NT66-GL 735/740"/>
        <s v="1P 5KW 2*5KWH"/>
        <s v="HSM-ND54-DR505-CFP"/>
        <s v="SPR-BD54-DC490/495"/>
        <s v="HSM-BE54-DD485/490"/>
        <s v="HSM-NT48-HH 475/480-Black"/>
        <s v="TCL-MR460DT182-58NS no production" u="1"/>
        <s v="HSM-NT66-GL 735/740 - T5_Pro_XL_PP" u="1"/>
        <s v="HSM-NT60-GH 580/585 - T5_Pro_M" u="1"/>
        <s v="HSM-NT48-JH 470/475 - T5_Pro_S_White" u="1"/>
        <s v="HSM-NT48-JH 470/475 CFP - T5_Pro_S_White_CFP" u="1"/>
        <s v="BlueArk X1 15K-TP  1*8kWh" u="1"/>
        <s v="HSM-BE54-HD485/490-CFP" u="1"/>
        <s v="BlueArk X1--SP" u="1"/>
        <s v="BlueArk X1--TP" u="1"/>
      </sharedItems>
    </cacheField>
    <cacheField name="Stage" numFmtId="0">
      <sharedItems containsBlank="1" count="11">
        <s v="2 - Initial offer"/>
        <s v="5 - Finalize contract"/>
        <s v="7 - Booked"/>
        <s v="3 - Negotiation"/>
        <s v="4 - BAFO"/>
        <s v="6 - Won"/>
        <s v="1 - Lead qualification"/>
        <s v="6 - Finalize contract"/>
        <m/>
        <s v="4 - Negotiation" u="1"/>
        <s v="TCL_T5_Pro" u="1"/>
      </sharedItems>
    </cacheField>
    <cacheField name="Comments (Deal Breaker, spec/requirements, etc)" numFmtId="0">
      <sharedItems containsBlank="1" containsMixedTypes="1" containsNumber="1" containsInteger="1" minValue="465" maxValue="475"/>
    </cacheField>
    <cacheField name="Supply Chain" numFmtId="9">
      <sharedItems containsBlank="1"/>
    </cacheField>
    <cacheField name="26M04" numFmtId="0">
      <sharedItems containsString="0" containsBlank="1" containsNumber="1" minValue="0" maxValue="250"/>
    </cacheField>
    <cacheField name="26M05" numFmtId="0">
      <sharedItems containsBlank="1" containsMixedTypes="1" containsNumber="1" minValue="0" maxValue="250"/>
    </cacheField>
    <cacheField name="26M06" numFmtId="0">
      <sharedItems containsBlank="1" containsMixedTypes="1" containsNumber="1" minValue="0" maxValue="400"/>
    </cacheField>
    <cacheField name="26M07" numFmtId="0">
      <sharedItems containsString="0" containsBlank="1" containsNumber="1" minValue="0" maxValue="600"/>
    </cacheField>
    <cacheField name="26M08" numFmtId="0">
      <sharedItems containsString="0" containsBlank="1" containsNumber="1" minValue="0" maxValue="300"/>
    </cacheField>
    <cacheField name="26M09" numFmtId="0">
      <sharedItems containsString="0" containsBlank="1" containsNumber="1" minValue="0" maxValue="600"/>
    </cacheField>
    <cacheField name="26M10" numFmtId="0">
      <sharedItems containsString="0" containsBlank="1" containsNumber="1" minValue="0" maxValue="500"/>
    </cacheField>
    <cacheField name="26M11" numFmtId="0">
      <sharedItems containsString="0" containsBlank="1" containsNumber="1" minValue="0" maxValue="600"/>
    </cacheField>
    <cacheField name="26M12" numFmtId="0">
      <sharedItems containsString="0" containsBlank="1" containsNumber="1" minValue="0" maxValue="700"/>
    </cacheField>
    <cacheField name="27M01" numFmtId="0">
      <sharedItems containsString="0" containsBlank="1" containsNumber="1" containsInteger="1" minValue="3" maxValue="10"/>
    </cacheField>
    <cacheField name="27M02" numFmtId="0">
      <sharedItems containsString="0" containsBlank="1" containsNumber="1" containsInteger="1" minValue="3" maxValue="10"/>
    </cacheField>
    <cacheField name="27M03" numFmtId="0">
      <sharedItems containsString="0" containsBlank="1" containsNumber="1" containsInteger="1" minValue="4" maxValue="10"/>
    </cacheField>
    <cacheField name="27M04" numFmtId="0">
      <sharedItems containsString="0" containsBlank="1" containsNumber="1" containsInteger="1" minValue="4" maxValue="10"/>
    </cacheField>
    <cacheField name="27M05" numFmtId="0">
      <sharedItems containsString="0" containsBlank="1" containsNumber="1" containsInteger="1" minValue="4" maxValue="10"/>
    </cacheField>
    <cacheField name="27M06" numFmtId="0">
      <sharedItems containsString="0" containsBlank="1" containsNumber="1" containsInteger="1" minValue="4" maxValue="10"/>
    </cacheField>
    <cacheField name="Product Category" numFmtId="0">
      <sharedItems count="4">
        <s v="PV"/>
        <s v="ESS"/>
        <s v="HP"/>
        <s v="#N/A" u="1"/>
      </sharedItems>
    </cacheField>
    <cacheField name="Region" numFmtId="0">
      <sharedItems count="9">
        <e v="#N/A"/>
        <s v="DACH Region"/>
        <s v="Benelux Region"/>
        <s v="Southern Europe Region"/>
        <s v="Central and Eastern Europe Region"/>
        <s v="France and Switzerland Region"/>
        <s v="Italy Region"/>
        <s v="Nordics Region"/>
        <s v="UK Region"/>
      </sharedItems>
    </cacheField>
    <cacheField name="Sales Team" numFmtId="0">
      <sharedItems count="12">
        <e v="#N/A"/>
        <s v="Germany"/>
        <s v="BeNeLux"/>
        <s v="Southern Europe Region"/>
        <s v="C&amp;E EU"/>
        <s v="France"/>
        <s v="Italy"/>
        <s v="Nordics"/>
        <s v="Spain"/>
        <s v="UK"/>
        <s v="Emerging_Markets" u="1"/>
        <s v="Central and Eastern Europe Region" u="1"/>
      </sharedItems>
    </cacheField>
    <cacheField name="Product Con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CL" refreshedDate="46292.904841898147" createdVersion="8" refreshedVersion="8" minRefreshableVersion="3" recordCount="548" xr:uid="{32E17C5E-570A-45AB-AA86-1C5B774A96E7}">
  <cacheSource type="worksheet">
    <worksheetSource ref="A1:V1048576" sheet="Conso"/>
  </cacheSource>
  <cacheFields count="22">
    <cacheField name="Country" numFmtId="0">
      <sharedItems containsBlank="1" containsMixedTypes="1" containsNumber="1" minValue="0.1" maxValue="0.1" count="25">
        <m/>
        <n v="0.1"/>
        <s v="Austria"/>
        <s v="Belgium"/>
        <s v="Bulgaria"/>
        <s v="Croatia"/>
        <s v="Cyprus"/>
        <s v="Czech Republic"/>
        <s v="France"/>
        <s v="Georgia"/>
        <s v="Germany"/>
        <s v="Greece"/>
        <s v="Hungary"/>
        <s v="Italy"/>
        <s v="Kosovo"/>
        <s v="Lithuania"/>
        <s v="Netherlands"/>
        <s v="Nordic"/>
        <s v="North Macedonia"/>
        <s v="Poland"/>
        <s v="Romania"/>
        <s v="Serbia"/>
        <s v="Spain"/>
        <s v="UK"/>
        <s v="Ukraine"/>
      </sharedItems>
    </cacheField>
    <cacheField name="Customer name" numFmtId="0">
      <sharedItems containsBlank="1"/>
    </cacheField>
    <cacheField name="RSM" numFmtId="0">
      <sharedItems containsBlank="1"/>
    </cacheField>
    <cacheField name="Product Line" numFmtId="0">
      <sharedItems containsBlank="1" count="15">
        <s v="TCL_C2_Series"/>
        <s v="SPR_P7"/>
        <s v="TCL_T_Class"/>
        <s v="SPR_BC"/>
        <s v="ESS_TCL_CI"/>
        <s v="TCL_T5_Pro"/>
        <s v="ESS_SPR_Gen2"/>
        <s v="SPR_M_Class"/>
        <s v="TCL_S_Class"/>
        <s v="TCL_E_Class"/>
        <s v="SPR_P_Class"/>
        <s v="Heat_Pump"/>
        <s v="SPR_MAX_P6"/>
        <s v="ESS_TCL_Res"/>
        <m/>
      </sharedItems>
    </cacheField>
    <cacheField name="Model name" numFmtId="0">
      <sharedItems containsBlank="1" count="92">
        <s v="HSM-BE54-JD485/490"/>
        <s v="P7-BLK-2mm-460"/>
        <s v="HSM-ND54-DR500"/>
        <s v="P7-BLK-P-510"/>
        <s v="HSM-ND66-GK725"/>
        <s v="HSM-ND48-DR450"/>
        <s v="SPR-BE54-HD490/495"/>
        <s v="BlueArk W10-125K-261"/>
        <s v="P7-BLK-2mm-455"/>
        <s v="HSM-NT60-GH 580/585"/>
        <s v="BlueArk X5-50K-100"/>
        <s v="HSM-NT48-HH 465/470-Black"/>
        <s v="HSM-BE54-HD485/490"/>
        <s v="HSM-NT66-GH 640/645"/>
        <s v="HSM-ND48-DR455"/>
        <s v="HSM-ND54-DR505"/>
        <s v="HSM-ND66-GR625"/>
        <s v="HSM-ND66-GR620"/>
        <s v="P7-BLK-P-515"/>
        <s v="HSM-BD66-GR650/655"/>
        <s v="HSM-NT48-JH 470/475 CFP-White"/>
        <s v="HSM-ND48-DR455-CFP"/>
        <s v="HSM-NT48-GH 470/475 CFP-White "/>
        <s v="1P 6KW 1*5KWH"/>
        <s v="HSM-ND48-DR450-CFP"/>
        <s v="HSM-ND54-DR500-CFP"/>
        <s v="3P 13KW 2*5KWH"/>
        <s v="3P 10KW 2*5KWH"/>
        <s v="HSM-NT66-GH 645/650 CFP"/>
        <s v="HSM-BE54-JD485/490-CFP"/>
        <s v="addtl 5KWH BAT"/>
        <s v="1P 8KW 1*5KWH"/>
        <s v="1P 10KW 1*5KWH"/>
        <s v="P7-COM-S CFP"/>
        <s v="P7-COM-S"/>
        <s v="SPR-BE66-GD595/600"/>
        <s v="P7-BLK-P-500 no production"/>
        <s v="SPR-BD54-DC 490/495"/>
        <s v="P7-BLK-2mm-450"/>
        <s v="HSM-NT48-HH 465/470 - T5_Pro_S_Black"/>
        <s v="HSM-ND66-GR630"/>
        <s v="HSM-ND66-GK730"/>
        <s v="HSM-NT48-JH 465/470 - T5_Pro_S_White"/>
        <s v="TCL-MR465DT182-58NS"/>
        <s v="HSM-BD54-DA465"/>
        <s v="SPR-BE54-DC485"/>
        <s v="SPR-NT48-HH 465/470 - P_Class RES BLK"/>
        <s v="HSM-ND48-DR445"/>
        <s v="SPR-NT60-GH 580/585 - P_Class COM"/>
        <s v="SPR-BE54-DC480"/>
        <s v="1P 6kW 2*5kWh"/>
        <s v="TCL-MR470DT182-58NS"/>
        <s v="HSM-GKA-NM720"/>
        <s v="HSM-NT48-JH 470/475-White"/>
        <s v="HB12SP0"/>
        <s v="SPR_MAX_P6"/>
        <s v="BlueArk X1-10kW-TP 1*8kWh"/>
        <s v="HSM-NT66-GH 640/645 - T5_Pro_L_PP"/>
        <s v="TCL-MG720DT210-68NS"/>
        <s v="BlueArk X1-5kW-SP 1*8kWh"/>
        <s v="BlueArk X1-15kW-TP 1*8kWh"/>
        <s v="1P 10kW 2*5kWh"/>
        <s v="HSM-NT66-GL 735/740"/>
        <s v="1P 5KW 2*5KWH"/>
        <s v="HSM-ND54-DR505-CFP"/>
        <s v="SPR-BD54-DC490/495"/>
        <s v="HSM-BE54-DD485/490"/>
        <s v="HSM-NT48-HH 475/480-Black"/>
        <m/>
        <s v="TCL-MR460DT182-58NS no production" u="1"/>
        <s v="HSM-NT66-GL 735/740 - T5_Pro_XL_PP" u="1"/>
        <s v="HSM-NT60-GH 580/585 - T5_Pro_M" u="1"/>
        <s v="HSM-NT48-JH 470/475 - T5_Pro_S_White" u="1"/>
        <s v="HSM-NT48-JH 470/475 CFP - T5_Pro_S_White_CFP" u="1"/>
        <s v="BlueArk X1 15K-TP  1*8kWh" u="1"/>
        <s v="HSM-BE54-HD485/490-CFP" u="1"/>
        <s v="BlueArk X1--SP" u="1"/>
        <s v="BlueArk X1--TP" u="1"/>
        <s v="HSM-NT66-GH 645/650 CFP - T5_Pro_L_PP_CFP" u="1"/>
        <s v="HSM-BE54-HD495/500" u="1"/>
        <s v="TCL-MR510DT182-64NS no production" u="1"/>
        <s v="SPR-BE54-HD495/500" u="1"/>
        <s v="HSM-NT48-HH 460/465 - T5_Pro_S_Black" u="1"/>
        <s v="HSM-NT66-GH 645/650 - T5_Pro_L_PP" u="1"/>
        <s v="HSM-NT48-JH 465/470 CFP - T5_Pro_S_White_CFP" u="1"/>
        <s v="P7-BLK-P-500" u="1"/>
        <s v="HSM-BE54-HD495/500-CFP" u="1"/>
        <s v="TCL-MR460DT182-58NS" u="1"/>
        <s v="HSM-NT66-GL 740/745 - T5_Pro_XL_PP" u="1"/>
        <s v="TCL-MR510DT182-64NS" u="1"/>
        <s v="HB063SD0" u="1"/>
        <s v="HB08SD0" u="1"/>
      </sharedItems>
    </cacheField>
    <cacheField name="Stage" numFmtId="0">
      <sharedItems containsBlank="1" count="11">
        <s v="2 - Initial offer"/>
        <s v="5 - Finalize contract"/>
        <s v="7 - Booked"/>
        <s v="3 - Negotiation"/>
        <s v="4 - BAFO"/>
        <s v="6 - Won"/>
        <s v="1 - Lead qualification"/>
        <s v="6 - Finalize contract"/>
        <m/>
        <s v="4 - Negotiation" u="1"/>
        <s v="TCL_T5_Pro" u="1"/>
      </sharedItems>
    </cacheField>
    <cacheField name="Comments (Deal Breaker, spec/requirements, etc)" numFmtId="0">
      <sharedItems containsBlank="1" containsMixedTypes="1" containsNumber="1" containsInteger="1" minValue="465" maxValue="475"/>
    </cacheField>
    <cacheField name="Supply Chain" numFmtId="0">
      <sharedItems containsBlank="1"/>
    </cacheField>
    <cacheField name="26M04" numFmtId="0">
      <sharedItems containsString="0" containsBlank="1" containsNumber="1" minValue="0" maxValue="250"/>
    </cacheField>
    <cacheField name="26M05" numFmtId="0">
      <sharedItems containsBlank="1" containsMixedTypes="1" containsNumber="1" minValue="0" maxValue="250"/>
    </cacheField>
    <cacheField name="26M06" numFmtId="0">
      <sharedItems containsBlank="1" containsMixedTypes="1" containsNumber="1" minValue="0" maxValue="400"/>
    </cacheField>
    <cacheField name="26M07" numFmtId="0">
      <sharedItems containsString="0" containsBlank="1" containsNumber="1" minValue="0" maxValue="600"/>
    </cacheField>
    <cacheField name="26M08" numFmtId="0">
      <sharedItems containsString="0" containsBlank="1" containsNumber="1" minValue="0" maxValue="300"/>
    </cacheField>
    <cacheField name="26M09" numFmtId="0">
      <sharedItems containsString="0" containsBlank="1" containsNumber="1" minValue="0" maxValue="600"/>
    </cacheField>
    <cacheField name="26M10" numFmtId="0">
      <sharedItems containsString="0" containsBlank="1" containsNumber="1" minValue="0" maxValue="500"/>
    </cacheField>
    <cacheField name="26M11" numFmtId="0">
      <sharedItems containsString="0" containsBlank="1" containsNumber="1" minValue="0" maxValue="600"/>
    </cacheField>
    <cacheField name="26M12" numFmtId="0">
      <sharedItems containsString="0" containsBlank="1" containsNumber="1" minValue="0" maxValue="700"/>
    </cacheField>
    <cacheField name="27M01" numFmtId="0">
      <sharedItems containsString="0" containsBlank="1" containsNumber="1" containsInteger="1" minValue="3" maxValue="10"/>
    </cacheField>
    <cacheField name="27M02" numFmtId="0">
      <sharedItems containsString="0" containsBlank="1" containsNumber="1" containsInteger="1" minValue="3" maxValue="10"/>
    </cacheField>
    <cacheField name="27M03" numFmtId="0">
      <sharedItems containsString="0" containsBlank="1" containsNumber="1" containsInteger="1" minValue="4" maxValue="10"/>
    </cacheField>
    <cacheField name="27M04" numFmtId="0">
      <sharedItems containsString="0" containsBlank="1" containsNumber="1" containsInteger="1" minValue="4" maxValue="10"/>
    </cacheField>
    <cacheField name="27M05" numFmtId="0">
      <sharedItems containsString="0" containsBlank="1" containsNumber="1" containsInteger="1" minValue="4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7">
  <r>
    <m/>
    <x v="0"/>
    <s v="Manu"/>
    <x v="0"/>
    <x v="0"/>
    <x v="0"/>
    <s v="Amarenco // CFP, 470W, CFP PPE2 V1&lt;550 // "/>
    <s v="EU"/>
    <m/>
    <m/>
    <m/>
    <m/>
    <m/>
    <m/>
    <m/>
    <m/>
    <n v="0.4"/>
    <m/>
    <m/>
    <m/>
    <m/>
    <m/>
    <m/>
    <x v="0"/>
    <x v="0"/>
    <x v="0"/>
    <s v="HSM-BE54-JD"/>
  </r>
  <r>
    <m/>
    <x v="0"/>
    <s v="Manu"/>
    <x v="1"/>
    <x v="1"/>
    <x v="1"/>
    <m/>
    <s v="EU"/>
    <n v="0.2"/>
    <n v="0"/>
    <n v="0.2"/>
    <n v="0.4"/>
    <n v="0.4"/>
    <n v="0.4"/>
    <n v="0.1"/>
    <n v="0.1"/>
    <n v="0.1"/>
    <m/>
    <m/>
    <m/>
    <m/>
    <m/>
    <m/>
    <x v="0"/>
    <x v="0"/>
    <x v="0"/>
    <s v="P7 RES BLK 2.0"/>
  </r>
  <r>
    <m/>
    <x v="0"/>
    <s v="Manu"/>
    <x v="2"/>
    <x v="2"/>
    <x v="1"/>
    <m/>
    <s v="EU"/>
    <m/>
    <m/>
    <m/>
    <n v="1.3"/>
    <n v="1.3"/>
    <n v="1.3"/>
    <n v="0.1"/>
    <n v="0.1"/>
    <n v="0.1"/>
    <m/>
    <m/>
    <m/>
    <m/>
    <m/>
    <m/>
    <x v="0"/>
    <x v="0"/>
    <x v="0"/>
    <s v="HSM-ND54-DR"/>
  </r>
  <r>
    <m/>
    <x v="1"/>
    <s v="Manu"/>
    <x v="1"/>
    <x v="3"/>
    <x v="1"/>
    <m/>
    <s v="EU"/>
    <n v="0.2"/>
    <n v="0"/>
    <n v="0.2"/>
    <n v="0.4"/>
    <n v="0.4"/>
    <n v="0.4"/>
    <n v="0.4"/>
    <n v="0.4"/>
    <n v="0.4"/>
    <m/>
    <m/>
    <m/>
    <m/>
    <m/>
    <m/>
    <x v="0"/>
    <x v="0"/>
    <x v="0"/>
    <s v="P7 RES BLK-P"/>
  </r>
  <r>
    <m/>
    <x v="1"/>
    <s v="Manu"/>
    <x v="2"/>
    <x v="2"/>
    <x v="1"/>
    <m/>
    <s v="EU"/>
    <m/>
    <m/>
    <m/>
    <n v="1.3"/>
    <n v="1.3"/>
    <n v="1.3"/>
    <n v="0.4"/>
    <n v="0.4"/>
    <n v="0.4"/>
    <m/>
    <m/>
    <m/>
    <m/>
    <m/>
    <m/>
    <x v="0"/>
    <x v="0"/>
    <x v="0"/>
    <s v="HSM-ND54-DR"/>
  </r>
  <r>
    <n v="0.1"/>
    <x v="1"/>
    <s v="Manu"/>
    <x v="0"/>
    <x v="0"/>
    <x v="0"/>
    <s v="Amarenco // CFP, 470W, CFP PPE2 V1&lt;550 // "/>
    <s v="EU"/>
    <m/>
    <m/>
    <m/>
    <m/>
    <m/>
    <m/>
    <m/>
    <m/>
    <n v="0.4"/>
    <m/>
    <m/>
    <m/>
    <m/>
    <m/>
    <m/>
    <x v="0"/>
    <x v="0"/>
    <x v="0"/>
    <s v="HSM-BE54-JD"/>
  </r>
  <r>
    <s v="Austria"/>
    <x v="2"/>
    <m/>
    <x v="2"/>
    <x v="4"/>
    <x v="0"/>
    <m/>
    <s v="EU"/>
    <m/>
    <m/>
    <m/>
    <m/>
    <m/>
    <m/>
    <m/>
    <m/>
    <m/>
    <m/>
    <m/>
    <m/>
    <m/>
    <m/>
    <m/>
    <x v="0"/>
    <x v="1"/>
    <x v="1"/>
    <s v="HSM-ND66-GK"/>
  </r>
  <r>
    <s v="Belgium"/>
    <x v="3"/>
    <s v="Romain"/>
    <x v="2"/>
    <x v="5"/>
    <x v="2"/>
    <s v="BOOKED"/>
    <s v="Offshore"/>
    <m/>
    <n v="0.84"/>
    <n v="0.84"/>
    <n v="0.84"/>
    <n v="0.84"/>
    <m/>
    <m/>
    <m/>
    <m/>
    <m/>
    <m/>
    <m/>
    <m/>
    <m/>
    <m/>
    <x v="0"/>
    <x v="2"/>
    <x v="2"/>
    <s v="HSM-ND48-DR"/>
  </r>
  <r>
    <s v="Belgium"/>
    <x v="4"/>
    <m/>
    <x v="3"/>
    <x v="6"/>
    <x v="3"/>
    <m/>
    <s v="EU"/>
    <m/>
    <m/>
    <m/>
    <m/>
    <m/>
    <m/>
    <m/>
    <n v="0.9"/>
    <n v="0.9"/>
    <m/>
    <m/>
    <m/>
    <m/>
    <m/>
    <m/>
    <x v="0"/>
    <x v="2"/>
    <x v="2"/>
    <s v="SPR-BE54-HD"/>
  </r>
  <r>
    <s v="Belgium"/>
    <x v="5"/>
    <s v="Regis"/>
    <x v="1"/>
    <x v="1"/>
    <x v="2"/>
    <m/>
    <s v="EU"/>
    <m/>
    <n v="0.1"/>
    <m/>
    <n v="0.1"/>
    <n v="0.1"/>
    <n v="0.1"/>
    <m/>
    <m/>
    <m/>
    <m/>
    <m/>
    <m/>
    <m/>
    <m/>
    <m/>
    <x v="0"/>
    <x v="2"/>
    <x v="2"/>
    <s v="P7 RES BLK 2.0"/>
  </r>
  <r>
    <s v="Belgium"/>
    <x v="6"/>
    <m/>
    <x v="3"/>
    <x v="6"/>
    <x v="3"/>
    <m/>
    <s v="EU"/>
    <m/>
    <m/>
    <m/>
    <m/>
    <m/>
    <m/>
    <n v="0.2"/>
    <n v="0.2"/>
    <n v="0.2"/>
    <m/>
    <m/>
    <m/>
    <m/>
    <m/>
    <m/>
    <x v="0"/>
    <x v="2"/>
    <x v="2"/>
    <s v="SPR-BE54-HD"/>
  </r>
  <r>
    <s v="Belgium"/>
    <x v="7"/>
    <m/>
    <x v="4"/>
    <x v="7"/>
    <x v="0"/>
    <s v="AWAITING FEEDBACK NEW ASP"/>
    <s v="EU"/>
    <m/>
    <m/>
    <m/>
    <m/>
    <m/>
    <m/>
    <n v="1"/>
    <n v="1"/>
    <n v="1"/>
    <m/>
    <m/>
    <m/>
    <m/>
    <m/>
    <m/>
    <x v="1"/>
    <x v="2"/>
    <x v="2"/>
    <s v="BlueArk W10-125K-261"/>
  </r>
  <r>
    <s v="Belgium"/>
    <x v="8"/>
    <m/>
    <x v="0"/>
    <x v="6"/>
    <x v="3"/>
    <m/>
    <s v="EU"/>
    <m/>
    <m/>
    <m/>
    <m/>
    <m/>
    <m/>
    <n v="0.1"/>
    <n v="0.1"/>
    <n v="0.1"/>
    <m/>
    <m/>
    <m/>
    <m/>
    <m/>
    <m/>
    <x v="0"/>
    <x v="2"/>
    <x v="2"/>
    <s v="SPR-BE54-HD"/>
  </r>
  <r>
    <s v="Belgium"/>
    <x v="9"/>
    <s v="Romain"/>
    <x v="1"/>
    <x v="1"/>
    <x v="2"/>
    <m/>
    <s v="EU"/>
    <m/>
    <n v="0.1"/>
    <m/>
    <n v="0.1"/>
    <m/>
    <n v="0.1"/>
    <m/>
    <m/>
    <m/>
    <m/>
    <m/>
    <m/>
    <m/>
    <m/>
    <m/>
    <x v="0"/>
    <x v="2"/>
    <x v="2"/>
    <s v="P7 RES BLK 2.0"/>
  </r>
  <r>
    <s v="Belgium"/>
    <x v="4"/>
    <s v="Regis"/>
    <x v="1"/>
    <x v="8"/>
    <x v="2"/>
    <s v="AWAITING ORDER"/>
    <s v="EU"/>
    <n v="0.42"/>
    <n v="0.42"/>
    <n v="0.42"/>
    <n v="0.42"/>
    <m/>
    <n v="0.42"/>
    <m/>
    <m/>
    <m/>
    <m/>
    <m/>
    <m/>
    <m/>
    <m/>
    <m/>
    <x v="0"/>
    <x v="2"/>
    <x v="2"/>
    <s v="P7 RES BLK 2.0"/>
  </r>
  <r>
    <s v="Belgium"/>
    <x v="9"/>
    <m/>
    <x v="3"/>
    <x v="6"/>
    <x v="3"/>
    <m/>
    <s v="EU"/>
    <m/>
    <m/>
    <m/>
    <m/>
    <m/>
    <m/>
    <n v="0.1"/>
    <n v="0.1"/>
    <n v="0.1"/>
    <m/>
    <m/>
    <m/>
    <m/>
    <m/>
    <m/>
    <x v="0"/>
    <x v="2"/>
    <x v="2"/>
    <s v="SPR-BE54-HD"/>
  </r>
  <r>
    <s v="Belgium"/>
    <x v="10"/>
    <m/>
    <x v="3"/>
    <x v="6"/>
    <x v="2"/>
    <m/>
    <s v="EU"/>
    <m/>
    <m/>
    <m/>
    <m/>
    <m/>
    <m/>
    <n v="0.2"/>
    <n v="0.2"/>
    <n v="0.2"/>
    <m/>
    <m/>
    <m/>
    <m/>
    <m/>
    <m/>
    <x v="0"/>
    <x v="2"/>
    <x v="2"/>
    <s v="SPR-BE54-HD"/>
  </r>
  <r>
    <s v="Belgium"/>
    <x v="11"/>
    <m/>
    <x v="5"/>
    <x v="9"/>
    <x v="0"/>
    <m/>
    <s v="EU"/>
    <m/>
    <m/>
    <m/>
    <m/>
    <m/>
    <m/>
    <n v="0.9"/>
    <n v="0.9"/>
    <n v="0.9"/>
    <m/>
    <m/>
    <m/>
    <m/>
    <m/>
    <m/>
    <x v="0"/>
    <x v="2"/>
    <x v="2"/>
    <s v="HSM-NT60-GH"/>
  </r>
  <r>
    <s v="Belgium"/>
    <x v="11"/>
    <m/>
    <x v="0"/>
    <x v="6"/>
    <x v="3"/>
    <m/>
    <s v="EU"/>
    <m/>
    <m/>
    <m/>
    <m/>
    <m/>
    <n v="0.9"/>
    <n v="0.9"/>
    <n v="0.9"/>
    <n v="0.9"/>
    <m/>
    <m/>
    <m/>
    <m/>
    <m/>
    <m/>
    <x v="0"/>
    <x v="2"/>
    <x v="2"/>
    <s v="SPR-BE54-HD"/>
  </r>
  <r>
    <s v="Belgium"/>
    <x v="3"/>
    <m/>
    <x v="4"/>
    <x v="10"/>
    <x v="0"/>
    <s v="AWAITING FEEDBACK NEW ASP"/>
    <s v="Offshore"/>
    <m/>
    <m/>
    <m/>
    <m/>
    <m/>
    <m/>
    <n v="2"/>
    <n v="2"/>
    <n v="2"/>
    <m/>
    <m/>
    <m/>
    <m/>
    <m/>
    <m/>
    <x v="1"/>
    <x v="2"/>
    <x v="2"/>
    <s v="BlueArk X5-50K-100"/>
  </r>
  <r>
    <s v="Belgium"/>
    <x v="3"/>
    <m/>
    <x v="4"/>
    <x v="7"/>
    <x v="0"/>
    <s v="AWAITING FEEDBACK NEW ASP"/>
    <s v="Offshore"/>
    <m/>
    <m/>
    <m/>
    <m/>
    <m/>
    <m/>
    <n v="2"/>
    <n v="3"/>
    <n v="3"/>
    <m/>
    <m/>
    <m/>
    <m/>
    <m/>
    <m/>
    <x v="1"/>
    <x v="2"/>
    <x v="2"/>
    <s v="BlueArk W10-125K-261"/>
  </r>
  <r>
    <s v="Belgium"/>
    <x v="7"/>
    <m/>
    <x v="4"/>
    <x v="10"/>
    <x v="0"/>
    <s v="AWAITING FEEDBACK NEW ASP"/>
    <s v="EU"/>
    <m/>
    <m/>
    <m/>
    <m/>
    <m/>
    <m/>
    <n v="1"/>
    <n v="1"/>
    <n v="1"/>
    <m/>
    <m/>
    <m/>
    <m/>
    <m/>
    <m/>
    <x v="1"/>
    <x v="2"/>
    <x v="2"/>
    <s v="BlueArk X5-50K-100"/>
  </r>
  <r>
    <s v="Belgium"/>
    <x v="10"/>
    <m/>
    <x v="1"/>
    <x v="1"/>
    <x v="2"/>
    <m/>
    <s v="EU"/>
    <m/>
    <n v="0.2"/>
    <m/>
    <n v="0.2"/>
    <m/>
    <n v="0.2"/>
    <m/>
    <m/>
    <m/>
    <m/>
    <m/>
    <m/>
    <m/>
    <m/>
    <m/>
    <x v="0"/>
    <x v="2"/>
    <x v="2"/>
    <s v="P7 RES BLK 2.0"/>
  </r>
  <r>
    <s v="Belgium"/>
    <x v="7"/>
    <m/>
    <x v="3"/>
    <x v="6"/>
    <x v="3"/>
    <s v="AWAITING FORECAST"/>
    <s v="EU"/>
    <m/>
    <m/>
    <m/>
    <m/>
    <m/>
    <n v="1"/>
    <m/>
    <m/>
    <m/>
    <m/>
    <m/>
    <m/>
    <m/>
    <m/>
    <m/>
    <x v="0"/>
    <x v="2"/>
    <x v="2"/>
    <s v="SPR-BE54-HD"/>
  </r>
  <r>
    <s v="Belgium"/>
    <x v="8"/>
    <s v="Regis"/>
    <x v="1"/>
    <x v="1"/>
    <x v="2"/>
    <m/>
    <s v="EU"/>
    <m/>
    <n v="0.1"/>
    <m/>
    <n v="0.1"/>
    <m/>
    <n v="0.1"/>
    <m/>
    <n v="0.1"/>
    <m/>
    <m/>
    <m/>
    <m/>
    <m/>
    <m/>
    <m/>
    <x v="0"/>
    <x v="2"/>
    <x v="2"/>
    <s v="P7 RES BLK 2.0"/>
  </r>
  <r>
    <s v="Belgium"/>
    <x v="7"/>
    <m/>
    <x v="5"/>
    <x v="11"/>
    <x v="3"/>
    <s v="AWAITING FORECAST"/>
    <s v="EU"/>
    <m/>
    <m/>
    <m/>
    <m/>
    <m/>
    <n v="0.8"/>
    <n v="0.8"/>
    <n v="0.8"/>
    <n v="0.8"/>
    <m/>
    <m/>
    <m/>
    <m/>
    <m/>
    <m/>
    <x v="0"/>
    <x v="2"/>
    <x v="2"/>
    <s v="HSM-NT48-HH"/>
  </r>
  <r>
    <s v="Belgium"/>
    <x v="7"/>
    <m/>
    <x v="0"/>
    <x v="12"/>
    <x v="3"/>
    <s v="AWAITING FORECAST"/>
    <s v="EU"/>
    <m/>
    <m/>
    <m/>
    <m/>
    <m/>
    <n v="0.4"/>
    <n v="0.4"/>
    <n v="0.4"/>
    <n v="0.4"/>
    <m/>
    <m/>
    <m/>
    <m/>
    <m/>
    <m/>
    <x v="0"/>
    <x v="2"/>
    <x v="2"/>
    <s v="HSM-BE54-HD"/>
  </r>
  <r>
    <s v="Belgium"/>
    <x v="3"/>
    <m/>
    <x v="3"/>
    <x v="6"/>
    <x v="4"/>
    <s v="AWAITING FORECAST"/>
    <s v="Offshore"/>
    <m/>
    <m/>
    <m/>
    <m/>
    <m/>
    <m/>
    <m/>
    <n v="0.4"/>
    <n v="0.4"/>
    <m/>
    <m/>
    <m/>
    <m/>
    <m/>
    <m/>
    <x v="0"/>
    <x v="2"/>
    <x v="2"/>
    <s v="SPR-BE54-HD"/>
  </r>
  <r>
    <s v="Belgium"/>
    <x v="3"/>
    <m/>
    <x v="5"/>
    <x v="13"/>
    <x v="4"/>
    <s v="AWAITING FORECAST"/>
    <s v="Offshore"/>
    <m/>
    <m/>
    <m/>
    <m/>
    <m/>
    <m/>
    <n v="0.4"/>
    <n v="0.4"/>
    <n v="0.4"/>
    <m/>
    <m/>
    <m/>
    <m/>
    <m/>
    <m/>
    <x v="0"/>
    <x v="2"/>
    <x v="2"/>
    <s v="HSM-NT66-GH"/>
  </r>
  <r>
    <s v="Belgium"/>
    <x v="3"/>
    <s v="Romain"/>
    <x v="2"/>
    <x v="4"/>
    <x v="5"/>
    <s v="WON"/>
    <s v="Offshore"/>
    <m/>
    <m/>
    <m/>
    <m/>
    <m/>
    <n v="5.7"/>
    <m/>
    <m/>
    <m/>
    <m/>
    <m/>
    <m/>
    <m/>
    <m/>
    <m/>
    <x v="0"/>
    <x v="2"/>
    <x v="2"/>
    <s v="HSM-ND66-GK"/>
  </r>
  <r>
    <s v="Belgium"/>
    <x v="12"/>
    <s v="Romain"/>
    <x v="2"/>
    <x v="14"/>
    <x v="2"/>
    <s v="AWAITING ORDER"/>
    <s v="EU"/>
    <n v="0.42"/>
    <m/>
    <m/>
    <m/>
    <m/>
    <m/>
    <m/>
    <m/>
    <m/>
    <m/>
    <m/>
    <m/>
    <m/>
    <m/>
    <m/>
    <x v="0"/>
    <x v="2"/>
    <x v="2"/>
    <s v="HSM-ND48-DR"/>
  </r>
  <r>
    <s v="Belgium"/>
    <x v="3"/>
    <m/>
    <x v="2"/>
    <x v="15"/>
    <x v="2"/>
    <s v="Q1 PROJECT"/>
    <s v="Offshore"/>
    <m/>
    <n v="1.2"/>
    <n v="1.2"/>
    <m/>
    <m/>
    <m/>
    <m/>
    <m/>
    <m/>
    <m/>
    <m/>
    <m/>
    <m/>
    <m/>
    <m/>
    <x v="0"/>
    <x v="2"/>
    <x v="2"/>
    <s v="HSM-ND54-DR"/>
  </r>
  <r>
    <s v="Belgium"/>
    <x v="3"/>
    <m/>
    <x v="0"/>
    <x v="12"/>
    <x v="3"/>
    <s v="AWAITING FORECAST"/>
    <s v="Offshore"/>
    <m/>
    <m/>
    <m/>
    <m/>
    <m/>
    <m/>
    <n v="1"/>
    <n v="1"/>
    <n v="1"/>
    <m/>
    <m/>
    <m/>
    <m/>
    <m/>
    <m/>
    <x v="0"/>
    <x v="2"/>
    <x v="2"/>
    <s v="HSM-BE54-HD"/>
  </r>
  <r>
    <s v="Belgium"/>
    <x v="3"/>
    <m/>
    <x v="5"/>
    <x v="11"/>
    <x v="2"/>
    <s v="BOOKED"/>
    <s v="Offshore"/>
    <m/>
    <m/>
    <m/>
    <m/>
    <n v="2"/>
    <n v="2"/>
    <n v="2"/>
    <m/>
    <m/>
    <m/>
    <m/>
    <m/>
    <m/>
    <m/>
    <m/>
    <x v="0"/>
    <x v="2"/>
    <x v="2"/>
    <s v="HSM-NT48-HH"/>
  </r>
  <r>
    <s v="Belgium"/>
    <x v="3"/>
    <m/>
    <x v="2"/>
    <x v="5"/>
    <x v="2"/>
    <s v="H1-2026"/>
    <s v="Offshore"/>
    <m/>
    <n v="0.42"/>
    <n v="4"/>
    <n v="2.2999999999999998"/>
    <m/>
    <m/>
    <m/>
    <m/>
    <m/>
    <m/>
    <m/>
    <m/>
    <m/>
    <m/>
    <m/>
    <x v="0"/>
    <x v="2"/>
    <x v="2"/>
    <s v="HSM-ND48-DR"/>
  </r>
  <r>
    <s v="Belgium"/>
    <x v="12"/>
    <m/>
    <x v="5"/>
    <x v="11"/>
    <x v="2"/>
    <m/>
    <s v="EU"/>
    <m/>
    <m/>
    <m/>
    <m/>
    <m/>
    <m/>
    <m/>
    <m/>
    <m/>
    <m/>
    <m/>
    <m/>
    <m/>
    <m/>
    <m/>
    <x v="0"/>
    <x v="2"/>
    <x v="2"/>
    <s v="HSM-NT48-HH"/>
  </r>
  <r>
    <s v="Bulgaria"/>
    <x v="13"/>
    <m/>
    <x v="2"/>
    <x v="16"/>
    <x v="0"/>
    <s v="2 containers CIF Thessaloniki"/>
    <s v="Offshore"/>
    <m/>
    <m/>
    <m/>
    <n v="0.8"/>
    <m/>
    <m/>
    <m/>
    <m/>
    <m/>
    <m/>
    <m/>
    <m/>
    <m/>
    <m/>
    <m/>
    <x v="0"/>
    <x v="3"/>
    <x v="3"/>
    <s v="HSM-ND66-GR"/>
  </r>
  <r>
    <s v="Bulgaria"/>
    <x v="13"/>
    <m/>
    <x v="2"/>
    <x v="5"/>
    <x v="0"/>
    <s v="2 containers CIF Thessaloniki"/>
    <s v="Offshore"/>
    <m/>
    <m/>
    <m/>
    <n v="0.8"/>
    <m/>
    <m/>
    <m/>
    <m/>
    <m/>
    <m/>
    <m/>
    <m/>
    <m/>
    <m/>
    <m/>
    <x v="0"/>
    <x v="3"/>
    <x v="3"/>
    <s v="HSM-ND48-DR"/>
  </r>
  <r>
    <s v="Croatia"/>
    <x v="14"/>
    <m/>
    <x v="2"/>
    <x v="4"/>
    <x v="2"/>
    <s v=" FCA RTD, 3 containers"/>
    <s v="Offshore"/>
    <m/>
    <n v="1.2"/>
    <m/>
    <m/>
    <m/>
    <m/>
    <m/>
    <m/>
    <m/>
    <m/>
    <m/>
    <m/>
    <m/>
    <m/>
    <m/>
    <x v="0"/>
    <x v="4"/>
    <x v="4"/>
    <s v="HSM-ND66-GK"/>
  </r>
  <r>
    <s v="Croatia"/>
    <x v="14"/>
    <m/>
    <x v="2"/>
    <x v="17"/>
    <x v="0"/>
    <s v="4,9MW (11 containers) CIF Rijeka"/>
    <s v="Offshore"/>
    <m/>
    <m/>
    <m/>
    <m/>
    <m/>
    <n v="4.9000000000000004"/>
    <m/>
    <m/>
    <m/>
    <m/>
    <m/>
    <m/>
    <m/>
    <m/>
    <m/>
    <x v="0"/>
    <x v="4"/>
    <x v="4"/>
    <s v="HSM-ND66-GR"/>
  </r>
  <r>
    <s v="Cyprus"/>
    <x v="15"/>
    <m/>
    <x v="2"/>
    <x v="14"/>
    <x v="3"/>
    <s v="3 containers CIF Limassol"/>
    <s v="Offshore"/>
    <m/>
    <m/>
    <m/>
    <m/>
    <m/>
    <n v="1"/>
    <m/>
    <m/>
    <m/>
    <m/>
    <m/>
    <m/>
    <m/>
    <m/>
    <m/>
    <x v="0"/>
    <x v="3"/>
    <x v="3"/>
    <s v="HSM-ND48-DR"/>
  </r>
  <r>
    <s v="Czech Republic"/>
    <x v="16"/>
    <m/>
    <x v="2"/>
    <x v="17"/>
    <x v="0"/>
    <s v="5MW / delivered to Europe Q3"/>
    <s v="Offshore"/>
    <m/>
    <m/>
    <m/>
    <m/>
    <n v="5"/>
    <m/>
    <m/>
    <m/>
    <m/>
    <m/>
    <m/>
    <m/>
    <m/>
    <m/>
    <m/>
    <x v="0"/>
    <x v="4"/>
    <x v="4"/>
    <s v="HSM-ND66-GR"/>
  </r>
  <r>
    <s v="Czech Republic"/>
    <x v="17"/>
    <m/>
    <x v="2"/>
    <x v="4"/>
    <x v="0"/>
    <s v="130MW of 720W - delivery Q3-Q4 price sensitive tender-low probablity"/>
    <s v="Offshore"/>
    <m/>
    <m/>
    <m/>
    <m/>
    <m/>
    <n v="43.3"/>
    <n v="43.3"/>
    <n v="43.3"/>
    <m/>
    <m/>
    <m/>
    <m/>
    <m/>
    <m/>
    <m/>
    <x v="0"/>
    <x v="4"/>
    <x v="4"/>
    <s v="HSM-ND66-GK"/>
  </r>
  <r>
    <s v="Czech Republic"/>
    <x v="18"/>
    <m/>
    <x v="1"/>
    <x v="18"/>
    <x v="0"/>
    <s v="1,8MW CIP Czech Rep. - lower probablity as requested TCL, not Sunpower "/>
    <s v="EU"/>
    <m/>
    <m/>
    <n v="1.8"/>
    <m/>
    <m/>
    <m/>
    <m/>
    <m/>
    <m/>
    <m/>
    <m/>
    <m/>
    <m/>
    <m/>
    <m/>
    <x v="0"/>
    <x v="4"/>
    <x v="4"/>
    <s v="P7 RES BLK-P"/>
  </r>
  <r>
    <s v="Czech Republic"/>
    <x v="17"/>
    <m/>
    <x v="0"/>
    <x v="19"/>
    <x v="0"/>
    <s v="128MW of 650/655"/>
    <s v="Offshore"/>
    <m/>
    <m/>
    <m/>
    <m/>
    <m/>
    <m/>
    <n v="64"/>
    <n v="64"/>
    <m/>
    <m/>
    <m/>
    <m/>
    <m/>
    <m/>
    <m/>
    <x v="0"/>
    <x v="4"/>
    <x v="4"/>
    <s v="HSM-BE66-GD "/>
  </r>
  <r>
    <s v="Czech Republic"/>
    <x v="17"/>
    <m/>
    <x v="2"/>
    <x v="4"/>
    <x v="0"/>
    <s v="44MW of 720W ? one power bin only allowed"/>
    <s v="Offshore"/>
    <m/>
    <m/>
    <m/>
    <m/>
    <m/>
    <m/>
    <n v="22"/>
    <n v="22"/>
    <m/>
    <m/>
    <m/>
    <m/>
    <m/>
    <m/>
    <m/>
    <x v="0"/>
    <x v="4"/>
    <x v="4"/>
    <s v="HSM-ND66-GK"/>
  </r>
  <r>
    <s v="France"/>
    <x v="19"/>
    <s v="Antoine"/>
    <x v="5"/>
    <x v="20"/>
    <x v="1"/>
    <m/>
    <s v="EU"/>
    <m/>
    <m/>
    <m/>
    <m/>
    <m/>
    <n v="0.4"/>
    <n v="0.8"/>
    <n v="0.8"/>
    <n v="0.8"/>
    <m/>
    <m/>
    <m/>
    <m/>
    <m/>
    <m/>
    <x v="0"/>
    <x v="5"/>
    <x v="5"/>
    <s v="HSM-NT48-JH CFP"/>
  </r>
  <r>
    <s v="France"/>
    <x v="20"/>
    <s v="Antoine"/>
    <x v="5"/>
    <x v="20"/>
    <x v="1"/>
    <m/>
    <s v="EU"/>
    <m/>
    <m/>
    <m/>
    <m/>
    <m/>
    <n v="0.8"/>
    <n v="0.8"/>
    <n v="0.8"/>
    <n v="0.8"/>
    <m/>
    <m/>
    <m/>
    <m/>
    <m/>
    <m/>
    <x v="0"/>
    <x v="5"/>
    <x v="5"/>
    <s v="HSM-NT48-JH CFP"/>
  </r>
  <r>
    <s v="France"/>
    <x v="21"/>
    <s v="Antoine"/>
    <x v="5"/>
    <x v="20"/>
    <x v="1"/>
    <m/>
    <s v="EU"/>
    <m/>
    <m/>
    <m/>
    <m/>
    <m/>
    <m/>
    <n v="1.2"/>
    <n v="1.2"/>
    <n v="1.2"/>
    <m/>
    <m/>
    <m/>
    <m/>
    <m/>
    <m/>
    <x v="0"/>
    <x v="5"/>
    <x v="5"/>
    <s v="HSM-NT48-JH CFP"/>
  </r>
  <r>
    <s v="France"/>
    <x v="22"/>
    <s v="Antoine"/>
    <x v="5"/>
    <x v="20"/>
    <x v="1"/>
    <m/>
    <s v="EU"/>
    <m/>
    <m/>
    <m/>
    <m/>
    <m/>
    <m/>
    <m/>
    <m/>
    <m/>
    <m/>
    <m/>
    <m/>
    <m/>
    <m/>
    <m/>
    <x v="0"/>
    <x v="5"/>
    <x v="5"/>
    <s v="HSM-NT48-JH CFP"/>
  </r>
  <r>
    <s v="France"/>
    <x v="23"/>
    <s v="Cedric"/>
    <x v="2"/>
    <x v="21"/>
    <x v="0"/>
    <m/>
    <s v="EU"/>
    <m/>
    <m/>
    <m/>
    <m/>
    <m/>
    <m/>
    <n v="2"/>
    <m/>
    <m/>
    <m/>
    <m/>
    <m/>
    <m/>
    <m/>
    <m/>
    <x v="0"/>
    <x v="5"/>
    <x v="5"/>
    <s v="HSM-ND48-DR CFP"/>
  </r>
  <r>
    <s v="France"/>
    <x v="24"/>
    <s v="Cedric"/>
    <x v="5"/>
    <x v="22"/>
    <x v="0"/>
    <s v="LAMAZOUADE // CFP // 465Wp/470Wp // Need BIF for 1.5MW"/>
    <s v="EU"/>
    <m/>
    <m/>
    <m/>
    <m/>
    <m/>
    <n v="3"/>
    <m/>
    <m/>
    <m/>
    <m/>
    <m/>
    <m/>
    <m/>
    <m/>
    <m/>
    <x v="0"/>
    <x v="5"/>
    <x v="5"/>
    <s v="HSM-NT48-GH CFP"/>
  </r>
  <r>
    <s v="France"/>
    <x v="19"/>
    <s v="Antoine"/>
    <x v="6"/>
    <x v="23"/>
    <x v="1"/>
    <m/>
    <s v="EU"/>
    <m/>
    <m/>
    <m/>
    <m/>
    <m/>
    <m/>
    <m/>
    <m/>
    <m/>
    <m/>
    <m/>
    <m/>
    <m/>
    <m/>
    <m/>
    <x v="1"/>
    <x v="5"/>
    <x v="5"/>
    <s v="Gen2 1P 6kw"/>
  </r>
  <r>
    <s v="France"/>
    <x v="25"/>
    <s v="Antoine"/>
    <x v="5"/>
    <x v="20"/>
    <x v="1"/>
    <m/>
    <s v="Offshore"/>
    <m/>
    <m/>
    <m/>
    <m/>
    <m/>
    <m/>
    <n v="0.8"/>
    <n v="1.2"/>
    <n v="1.2"/>
    <m/>
    <m/>
    <m/>
    <m/>
    <m/>
    <m/>
    <x v="0"/>
    <x v="5"/>
    <x v="5"/>
    <s v="HSM-NT48-JH CFP"/>
  </r>
  <r>
    <s v="France"/>
    <x v="26"/>
    <s v="Antoine"/>
    <x v="5"/>
    <x v="20"/>
    <x v="1"/>
    <m/>
    <s v="EU"/>
    <m/>
    <m/>
    <m/>
    <m/>
    <m/>
    <m/>
    <n v="0.8"/>
    <n v="1.2"/>
    <n v="1.2"/>
    <m/>
    <m/>
    <m/>
    <m/>
    <m/>
    <m/>
    <x v="0"/>
    <x v="5"/>
    <x v="5"/>
    <s v="HSM-NT48-JH CFP"/>
  </r>
  <r>
    <s v="France"/>
    <x v="19"/>
    <s v="Antoine"/>
    <x v="2"/>
    <x v="2"/>
    <x v="1"/>
    <m/>
    <s v="EU"/>
    <n v="0.4"/>
    <n v="0.8"/>
    <n v="0.8"/>
    <n v="0.8"/>
    <n v="0.4"/>
    <n v="0.4"/>
    <n v="0.4"/>
    <n v="0.4"/>
    <n v="0.4"/>
    <m/>
    <m/>
    <m/>
    <m/>
    <m/>
    <m/>
    <x v="0"/>
    <x v="5"/>
    <x v="5"/>
    <s v="HSM-ND54-DR"/>
  </r>
  <r>
    <s v="France"/>
    <x v="27"/>
    <s v="Antoine"/>
    <x v="2"/>
    <x v="24"/>
    <x v="1"/>
    <m/>
    <s v="Offshore"/>
    <n v="0.8"/>
    <n v="0.8"/>
    <n v="0.8"/>
    <n v="0.8"/>
    <n v="0.8"/>
    <n v="0"/>
    <n v="0"/>
    <n v="0"/>
    <n v="0"/>
    <m/>
    <m/>
    <m/>
    <m/>
    <m/>
    <m/>
    <x v="0"/>
    <x v="5"/>
    <x v="5"/>
    <s v="HSM-ND48-DR CFP"/>
  </r>
  <r>
    <s v="France"/>
    <x v="27"/>
    <s v="Antoine"/>
    <x v="6"/>
    <x v="23"/>
    <x v="1"/>
    <m/>
    <s v="EU"/>
    <m/>
    <m/>
    <m/>
    <m/>
    <m/>
    <m/>
    <m/>
    <m/>
    <m/>
    <m/>
    <m/>
    <m/>
    <m/>
    <m/>
    <m/>
    <x v="1"/>
    <x v="5"/>
    <x v="5"/>
    <s v="Gen2 1P 6kw"/>
  </r>
  <r>
    <s v="France"/>
    <x v="19"/>
    <s v="Antoine"/>
    <x v="2"/>
    <x v="24"/>
    <x v="1"/>
    <m/>
    <s v="EU"/>
    <n v="0.4"/>
    <n v="0.4"/>
    <n v="0.4"/>
    <n v="0.4"/>
    <n v="0.4"/>
    <n v="0"/>
    <n v="0"/>
    <n v="0"/>
    <n v="0"/>
    <m/>
    <m/>
    <m/>
    <m/>
    <m/>
    <m/>
    <x v="0"/>
    <x v="5"/>
    <x v="5"/>
    <s v="HSM-ND48-DR CFP"/>
  </r>
  <r>
    <s v="France"/>
    <x v="20"/>
    <s v="Antoine"/>
    <x v="2"/>
    <x v="2"/>
    <x v="1"/>
    <m/>
    <s v="EU"/>
    <n v="1.2"/>
    <n v="1.2"/>
    <n v="2"/>
    <n v="2"/>
    <n v="0.2"/>
    <n v="0.2"/>
    <n v="0.4"/>
    <n v="0.4"/>
    <n v="0.4"/>
    <m/>
    <m/>
    <m/>
    <m/>
    <m/>
    <m/>
    <x v="0"/>
    <x v="5"/>
    <x v="5"/>
    <s v="HSM-ND54-DR"/>
  </r>
  <r>
    <s v="France"/>
    <x v="20"/>
    <s v="Antoine"/>
    <x v="2"/>
    <x v="25"/>
    <x v="1"/>
    <m/>
    <s v="EU"/>
    <n v="0.8"/>
    <n v="0.8"/>
    <n v="0.8"/>
    <n v="0.8"/>
    <m/>
    <m/>
    <n v="0.4"/>
    <n v="0.4"/>
    <n v="0.4"/>
    <m/>
    <m/>
    <m/>
    <m/>
    <m/>
    <m/>
    <x v="0"/>
    <x v="5"/>
    <x v="5"/>
    <s v="HSM-ND54-DR CFP"/>
  </r>
  <r>
    <s v="France"/>
    <x v="20"/>
    <s v="Antoine"/>
    <x v="2"/>
    <x v="24"/>
    <x v="1"/>
    <m/>
    <s v="EU"/>
    <n v="1.2"/>
    <n v="1"/>
    <n v="1"/>
    <n v="1.2"/>
    <n v="0.4"/>
    <n v="0"/>
    <n v="0"/>
    <n v="0"/>
    <n v="0"/>
    <m/>
    <m/>
    <m/>
    <m/>
    <m/>
    <m/>
    <x v="0"/>
    <x v="5"/>
    <x v="5"/>
    <s v="HSM-ND48-DR CFP"/>
  </r>
  <r>
    <s v="France"/>
    <x v="21"/>
    <s v="Antoine"/>
    <x v="2"/>
    <x v="2"/>
    <x v="1"/>
    <m/>
    <s v="EU"/>
    <n v="1.2"/>
    <n v="0.8"/>
    <n v="0.8"/>
    <n v="0.8"/>
    <n v="0.4"/>
    <n v="0.4"/>
    <n v="0.4"/>
    <n v="0.4"/>
    <n v="0.4"/>
    <m/>
    <m/>
    <m/>
    <m/>
    <m/>
    <m/>
    <x v="0"/>
    <x v="5"/>
    <x v="5"/>
    <s v="HSM-ND54-DR"/>
  </r>
  <r>
    <s v="France"/>
    <x v="20"/>
    <m/>
    <x v="6"/>
    <x v="26"/>
    <x v="1"/>
    <m/>
    <s v="EU"/>
    <n v="4"/>
    <n v="0"/>
    <n v="0"/>
    <n v="0"/>
    <n v="2"/>
    <n v="2"/>
    <n v="2"/>
    <n v="2"/>
    <n v="2"/>
    <m/>
    <m/>
    <m/>
    <m/>
    <m/>
    <m/>
    <x v="1"/>
    <x v="5"/>
    <x v="5"/>
    <s v="Gen2 3P 13kw"/>
  </r>
  <r>
    <s v="France"/>
    <x v="20"/>
    <s v="Antoine"/>
    <x v="6"/>
    <x v="27"/>
    <x v="1"/>
    <m/>
    <s v="EU"/>
    <n v="4"/>
    <n v="0"/>
    <n v="0"/>
    <n v="8"/>
    <n v="0"/>
    <n v="3"/>
    <n v="3"/>
    <n v="3"/>
    <n v="3"/>
    <m/>
    <m/>
    <m/>
    <m/>
    <m/>
    <m/>
    <x v="1"/>
    <x v="5"/>
    <x v="5"/>
    <s v="Gen2 3P 10kw"/>
  </r>
  <r>
    <s v="France"/>
    <x v="27"/>
    <s v="Antoine"/>
    <x v="2"/>
    <x v="2"/>
    <x v="1"/>
    <m/>
    <s v="EU"/>
    <n v="0.8"/>
    <n v="0.8"/>
    <n v="0.8"/>
    <n v="0.8"/>
    <n v="0.4"/>
    <n v="0.4"/>
    <n v="0.4"/>
    <n v="0.4"/>
    <n v="0.4"/>
    <m/>
    <m/>
    <m/>
    <m/>
    <m/>
    <m/>
    <x v="0"/>
    <x v="5"/>
    <x v="5"/>
    <s v="HSM-ND54-DR"/>
  </r>
  <r>
    <s v="France"/>
    <x v="28"/>
    <s v="Cedric / Systeko"/>
    <x v="5"/>
    <x v="28"/>
    <x v="0"/>
    <s v="SUNZIL // CFP // Price point 0,115€/Wc"/>
    <s v="EU"/>
    <m/>
    <m/>
    <m/>
    <m/>
    <m/>
    <n v="3"/>
    <m/>
    <m/>
    <m/>
    <m/>
    <m/>
    <m/>
    <m/>
    <m/>
    <m/>
    <x v="0"/>
    <x v="5"/>
    <x v="5"/>
    <s v="HSM-NT66-GH CFP"/>
  </r>
  <r>
    <s v="France"/>
    <x v="28"/>
    <s v="Seb / GreenPower"/>
    <x v="0"/>
    <x v="29"/>
    <x v="0"/>
    <s v="WeWise // CFP // 470Wp/475Wp, CFP "/>
    <s v="EU"/>
    <m/>
    <m/>
    <m/>
    <m/>
    <m/>
    <m/>
    <m/>
    <m/>
    <m/>
    <n v="5"/>
    <n v="5"/>
    <n v="5"/>
    <n v="5"/>
    <n v="5"/>
    <n v="5"/>
    <x v="0"/>
    <x v="5"/>
    <x v="5"/>
    <s v="HSM-BE54-JD CFP"/>
  </r>
  <r>
    <s v="France"/>
    <x v="28"/>
    <s v="Seb / Synapsun"/>
    <x v="0"/>
    <x v="29"/>
    <x v="0"/>
    <s v="WeWise // CFP // 470Wp/475Wp, CFP "/>
    <s v="EU"/>
    <m/>
    <m/>
    <m/>
    <m/>
    <m/>
    <m/>
    <m/>
    <m/>
    <m/>
    <n v="4"/>
    <n v="4"/>
    <n v="4"/>
    <n v="4"/>
    <n v="4"/>
    <n v="4"/>
    <x v="0"/>
    <x v="5"/>
    <x v="5"/>
    <s v="HSM-BE54-JD CFP"/>
  </r>
  <r>
    <s v="France"/>
    <x v="27"/>
    <s v="Antoine"/>
    <x v="5"/>
    <x v="20"/>
    <x v="1"/>
    <m/>
    <s v="EU"/>
    <m/>
    <m/>
    <m/>
    <m/>
    <m/>
    <m/>
    <n v="0.8"/>
    <m/>
    <m/>
    <m/>
    <m/>
    <m/>
    <m/>
    <m/>
    <m/>
    <x v="0"/>
    <x v="5"/>
    <x v="5"/>
    <s v="HSM-NT48-JH CFP"/>
  </r>
  <r>
    <s v="France"/>
    <x v="29"/>
    <s v="Antoine"/>
    <x v="6"/>
    <x v="30"/>
    <x v="1"/>
    <m/>
    <s v="EU"/>
    <m/>
    <m/>
    <m/>
    <n v="80"/>
    <n v="60"/>
    <n v="120"/>
    <n v="30"/>
    <n v="30"/>
    <n v="30"/>
    <m/>
    <m/>
    <m/>
    <m/>
    <m/>
    <m/>
    <x v="1"/>
    <x v="5"/>
    <x v="5"/>
    <s v="Gen2 BAT 5kWh"/>
  </r>
  <r>
    <s v="France"/>
    <x v="20"/>
    <s v="Romain / Solstice HD"/>
    <x v="4"/>
    <x v="10"/>
    <x v="6"/>
    <m/>
    <s v="EU"/>
    <m/>
    <m/>
    <m/>
    <m/>
    <m/>
    <m/>
    <m/>
    <m/>
    <n v="8"/>
    <m/>
    <m/>
    <m/>
    <m/>
    <m/>
    <m/>
    <x v="1"/>
    <x v="5"/>
    <x v="5"/>
    <s v="BlueArk X5-50K-100"/>
  </r>
  <r>
    <s v="France"/>
    <x v="21"/>
    <s v="Patrice / LTE"/>
    <x v="4"/>
    <x v="10"/>
    <x v="6"/>
    <m/>
    <s v="EU"/>
    <m/>
    <m/>
    <m/>
    <m/>
    <m/>
    <m/>
    <m/>
    <m/>
    <n v="1"/>
    <m/>
    <m/>
    <m/>
    <m/>
    <m/>
    <m/>
    <x v="1"/>
    <x v="5"/>
    <x v="5"/>
    <s v="BlueArk X5-50K-100"/>
  </r>
  <r>
    <s v="France"/>
    <x v="20"/>
    <s v="Julien / Rolhion"/>
    <x v="4"/>
    <x v="10"/>
    <x v="6"/>
    <m/>
    <s v="EU"/>
    <m/>
    <m/>
    <m/>
    <m/>
    <m/>
    <m/>
    <m/>
    <m/>
    <n v="1"/>
    <m/>
    <m/>
    <m/>
    <m/>
    <m/>
    <m/>
    <x v="1"/>
    <x v="5"/>
    <x v="5"/>
    <s v="BlueArk X5-50K-100"/>
  </r>
  <r>
    <s v="France"/>
    <x v="25"/>
    <s v="Cedric / Gallium"/>
    <x v="4"/>
    <x v="10"/>
    <x v="6"/>
    <m/>
    <s v="EU"/>
    <m/>
    <m/>
    <m/>
    <m/>
    <m/>
    <m/>
    <m/>
    <m/>
    <n v="1"/>
    <m/>
    <m/>
    <m/>
    <m/>
    <m/>
    <m/>
    <x v="1"/>
    <x v="5"/>
    <x v="5"/>
    <s v="BlueArk X5-50K-100"/>
  </r>
  <r>
    <s v="France"/>
    <x v="30"/>
    <s v="Cedric"/>
    <x v="4"/>
    <x v="10"/>
    <x v="0"/>
    <m/>
    <s v="EU"/>
    <m/>
    <m/>
    <m/>
    <m/>
    <m/>
    <m/>
    <m/>
    <m/>
    <n v="2"/>
    <m/>
    <m/>
    <m/>
    <m/>
    <m/>
    <m/>
    <x v="1"/>
    <x v="5"/>
    <x v="5"/>
    <s v="BlueArk X5-50K-100"/>
  </r>
  <r>
    <s v="France"/>
    <x v="28"/>
    <s v="Sebastien/ Mexens Q2 27"/>
    <x v="4"/>
    <x v="7"/>
    <x v="6"/>
    <m/>
    <s v="EU"/>
    <m/>
    <m/>
    <m/>
    <m/>
    <m/>
    <m/>
    <m/>
    <m/>
    <m/>
    <n v="3"/>
    <n v="3"/>
    <m/>
    <m/>
    <m/>
    <m/>
    <x v="1"/>
    <x v="5"/>
    <x v="5"/>
    <s v="BlueArk W10-125K-261"/>
  </r>
  <r>
    <s v="France"/>
    <x v="28"/>
    <s v="Sebastien/ GreenYellow "/>
    <x v="4"/>
    <x v="7"/>
    <x v="6"/>
    <m/>
    <s v="EU"/>
    <m/>
    <m/>
    <m/>
    <m/>
    <m/>
    <m/>
    <m/>
    <m/>
    <m/>
    <m/>
    <n v="10"/>
    <n v="10"/>
    <n v="10"/>
    <n v="10"/>
    <n v="10"/>
    <x v="1"/>
    <x v="5"/>
    <x v="5"/>
    <s v="BlueArk W10-125K-261"/>
  </r>
  <r>
    <s v="France"/>
    <x v="25"/>
    <s v="Patrice / Tokeim"/>
    <x v="4"/>
    <x v="10"/>
    <x v="0"/>
    <m/>
    <s v="EU"/>
    <m/>
    <m/>
    <m/>
    <m/>
    <m/>
    <n v="1"/>
    <m/>
    <m/>
    <m/>
    <m/>
    <m/>
    <m/>
    <m/>
    <m/>
    <m/>
    <x v="1"/>
    <x v="5"/>
    <x v="5"/>
    <s v="BlueArk X5-50K-100"/>
  </r>
  <r>
    <s v="France"/>
    <x v="21"/>
    <s v="Patrice / Solair3tech"/>
    <x v="4"/>
    <x v="10"/>
    <x v="3"/>
    <m/>
    <s v="EU"/>
    <m/>
    <m/>
    <m/>
    <m/>
    <m/>
    <n v="1"/>
    <m/>
    <m/>
    <m/>
    <m/>
    <m/>
    <m/>
    <m/>
    <m/>
    <m/>
    <x v="1"/>
    <x v="5"/>
    <x v="5"/>
    <s v="BlueArk X5-50K-100"/>
  </r>
  <r>
    <s v="France"/>
    <x v="20"/>
    <s v="Romain / Solstice HD"/>
    <x v="4"/>
    <x v="10"/>
    <x v="1"/>
    <m/>
    <s v="EU"/>
    <m/>
    <m/>
    <m/>
    <m/>
    <n v="1"/>
    <m/>
    <m/>
    <m/>
    <m/>
    <m/>
    <m/>
    <m/>
    <m/>
    <m/>
    <m/>
    <x v="1"/>
    <x v="5"/>
    <x v="5"/>
    <s v="BlueArk X5-50K-100"/>
  </r>
  <r>
    <s v="France"/>
    <x v="28"/>
    <s v="Patrice / LTDS unit"/>
    <x v="4"/>
    <x v="10"/>
    <x v="5"/>
    <m/>
    <s v="EU"/>
    <m/>
    <m/>
    <m/>
    <m/>
    <m/>
    <n v="1"/>
    <m/>
    <m/>
    <m/>
    <m/>
    <m/>
    <m/>
    <m/>
    <m/>
    <m/>
    <x v="1"/>
    <x v="5"/>
    <x v="5"/>
    <s v="BlueArk X5-50K-100"/>
  </r>
  <r>
    <s v="France"/>
    <x v="28"/>
    <s v="Cedric / AgriSolarPv"/>
    <x v="5"/>
    <x v="20"/>
    <x v="0"/>
    <m/>
    <s v="EU"/>
    <m/>
    <m/>
    <m/>
    <m/>
    <m/>
    <m/>
    <n v="5"/>
    <m/>
    <m/>
    <m/>
    <m/>
    <m/>
    <m/>
    <m/>
    <m/>
    <x v="0"/>
    <x v="5"/>
    <x v="5"/>
    <s v="HSM-NT48-JH CFP"/>
  </r>
  <r>
    <s v="France"/>
    <x v="31"/>
    <s v="Cedric"/>
    <x v="6"/>
    <x v="26"/>
    <x v="1"/>
    <m/>
    <s v="EU"/>
    <m/>
    <m/>
    <n v="3"/>
    <m/>
    <m/>
    <m/>
    <n v="4"/>
    <m/>
    <m/>
    <m/>
    <m/>
    <m/>
    <m/>
    <m/>
    <m/>
    <x v="1"/>
    <x v="5"/>
    <x v="5"/>
    <s v="Gen2 3P 13kw"/>
  </r>
  <r>
    <s v="France"/>
    <x v="31"/>
    <s v="Cedric"/>
    <x v="6"/>
    <x v="31"/>
    <x v="1"/>
    <m/>
    <s v="EU"/>
    <m/>
    <n v="4"/>
    <m/>
    <m/>
    <n v="4"/>
    <m/>
    <n v="4"/>
    <n v="4"/>
    <m/>
    <m/>
    <m/>
    <m/>
    <m/>
    <m/>
    <m/>
    <x v="1"/>
    <x v="5"/>
    <x v="5"/>
    <s v="Gen2 1P 8kw"/>
  </r>
  <r>
    <s v="France"/>
    <x v="28"/>
    <s v="Seb / Reden"/>
    <x v="5"/>
    <x v="22"/>
    <x v="0"/>
    <s v="GreenYellow // CFP // 470Wp BIF, CFP "/>
    <s v="EU"/>
    <m/>
    <m/>
    <m/>
    <m/>
    <m/>
    <m/>
    <m/>
    <m/>
    <m/>
    <m/>
    <n v="4"/>
    <m/>
    <m/>
    <m/>
    <m/>
    <x v="0"/>
    <x v="5"/>
    <x v="5"/>
    <s v="HSM-NT48-GH CFP"/>
  </r>
  <r>
    <s v="France"/>
    <x v="28"/>
    <s v="Seb / Ineo Equans"/>
    <x v="5"/>
    <x v="22"/>
    <x v="0"/>
    <s v="GreenYellow // CFP // 470Wp BIF, CFP "/>
    <s v="EU"/>
    <m/>
    <m/>
    <m/>
    <m/>
    <m/>
    <m/>
    <m/>
    <m/>
    <m/>
    <n v="4"/>
    <m/>
    <m/>
    <m/>
    <m/>
    <m/>
    <x v="0"/>
    <x v="5"/>
    <x v="5"/>
    <s v="HSM-NT48-GH CFP"/>
  </r>
  <r>
    <s v="France"/>
    <x v="20"/>
    <s v="Antoine"/>
    <x v="6"/>
    <x v="32"/>
    <x v="1"/>
    <m/>
    <s v="EU"/>
    <n v="8"/>
    <n v="0"/>
    <n v="0"/>
    <n v="8"/>
    <m/>
    <n v="5"/>
    <n v="5"/>
    <n v="5"/>
    <n v="5"/>
    <m/>
    <m/>
    <m/>
    <m/>
    <m/>
    <m/>
    <x v="1"/>
    <x v="5"/>
    <x v="5"/>
    <s v="Gen2 1P 10kw"/>
  </r>
  <r>
    <s v="France"/>
    <x v="28"/>
    <s v="Cedric"/>
    <x v="5"/>
    <x v="20"/>
    <x v="0"/>
    <s v="WEGREEN // CFP // 465Wp/470Wp"/>
    <s v="EU"/>
    <m/>
    <m/>
    <m/>
    <m/>
    <m/>
    <m/>
    <m/>
    <m/>
    <n v="5"/>
    <m/>
    <m/>
    <m/>
    <m/>
    <m/>
    <m/>
    <x v="0"/>
    <x v="5"/>
    <x v="5"/>
    <s v="HSM-NT48-JH CFP"/>
  </r>
  <r>
    <s v="France"/>
    <x v="26"/>
    <s v="Antoine"/>
    <x v="6"/>
    <x v="23"/>
    <x v="1"/>
    <m/>
    <s v="EU"/>
    <n v="8"/>
    <n v="0"/>
    <n v="0"/>
    <n v="16"/>
    <n v="12"/>
    <n v="8"/>
    <n v="8"/>
    <n v="8"/>
    <n v="8"/>
    <m/>
    <m/>
    <m/>
    <m/>
    <m/>
    <m/>
    <x v="1"/>
    <x v="5"/>
    <x v="5"/>
    <s v="Gen2 1P 6kw"/>
  </r>
  <r>
    <s v="France"/>
    <x v="20"/>
    <s v="Antoine"/>
    <x v="6"/>
    <x v="23"/>
    <x v="1"/>
    <m/>
    <s v="EU"/>
    <n v="12"/>
    <n v="0"/>
    <n v="0"/>
    <n v="40"/>
    <n v="8"/>
    <n v="25"/>
    <n v="25"/>
    <n v="25"/>
    <n v="25"/>
    <m/>
    <m/>
    <m/>
    <m/>
    <m/>
    <m/>
    <x v="1"/>
    <x v="5"/>
    <x v="5"/>
    <s v="Gen2 1P 6kw"/>
  </r>
  <r>
    <s v="France"/>
    <x v="21"/>
    <s v="Antoine"/>
    <x v="2"/>
    <x v="24"/>
    <x v="1"/>
    <m/>
    <s v="EU"/>
    <n v="0.8"/>
    <n v="0.4"/>
    <n v="0.4"/>
    <n v="0.8"/>
    <n v="0.4"/>
    <n v="0"/>
    <n v="0"/>
    <n v="0"/>
    <n v="0"/>
    <m/>
    <m/>
    <m/>
    <m/>
    <m/>
    <m/>
    <x v="0"/>
    <x v="5"/>
    <x v="5"/>
    <s v="HSM-ND48-DR CFP"/>
  </r>
  <r>
    <s v="France"/>
    <x v="27"/>
    <s v="Antoine"/>
    <x v="1"/>
    <x v="3"/>
    <x v="1"/>
    <m/>
    <s v="EU"/>
    <m/>
    <m/>
    <m/>
    <m/>
    <m/>
    <n v="0.2"/>
    <n v="0.1"/>
    <n v="0.1"/>
    <n v="0.1"/>
    <m/>
    <m/>
    <m/>
    <m/>
    <m/>
    <m/>
    <x v="0"/>
    <x v="5"/>
    <x v="5"/>
    <s v="P7 RES BLK-P"/>
  </r>
  <r>
    <s v="France"/>
    <x v="19"/>
    <s v="Antoine"/>
    <x v="1"/>
    <x v="3"/>
    <x v="1"/>
    <m/>
    <s v="EU"/>
    <n v="0.4"/>
    <n v="0"/>
    <n v="0.4"/>
    <n v="0.4"/>
    <n v="0.2"/>
    <n v="0.2"/>
    <n v="0.1"/>
    <n v="0.1"/>
    <n v="0.1"/>
    <m/>
    <m/>
    <m/>
    <m/>
    <m/>
    <m/>
    <x v="0"/>
    <x v="5"/>
    <x v="5"/>
    <s v="P7 RES BLK-P"/>
  </r>
  <r>
    <s v="France"/>
    <x v="25"/>
    <s v="Antoine"/>
    <x v="2"/>
    <x v="15"/>
    <x v="7"/>
    <m/>
    <s v="EU"/>
    <m/>
    <m/>
    <m/>
    <m/>
    <m/>
    <n v="0.87"/>
    <n v="0.87"/>
    <n v="0.87"/>
    <n v="0.87"/>
    <m/>
    <m/>
    <m/>
    <m/>
    <m/>
    <m/>
    <x v="0"/>
    <x v="5"/>
    <x v="5"/>
    <s v="HSM-ND54-DR"/>
  </r>
  <r>
    <s v="France"/>
    <x v="20"/>
    <s v="Antoine"/>
    <x v="1"/>
    <x v="3"/>
    <x v="1"/>
    <m/>
    <s v="EU"/>
    <n v="0.6"/>
    <n v="0"/>
    <n v="0.6"/>
    <n v="0.6"/>
    <n v="0.6"/>
    <n v="0.6"/>
    <n v="0.4"/>
    <n v="0.4"/>
    <n v="0.4"/>
    <m/>
    <m/>
    <m/>
    <m/>
    <m/>
    <m/>
    <x v="0"/>
    <x v="5"/>
    <x v="5"/>
    <s v="P7 RES BLK-P"/>
  </r>
  <r>
    <s v="France"/>
    <x v="20"/>
    <s v="Antoine"/>
    <x v="1"/>
    <x v="33"/>
    <x v="1"/>
    <m/>
    <s v="EU"/>
    <n v="0.3"/>
    <n v="0.3"/>
    <n v="0.5"/>
    <m/>
    <m/>
    <m/>
    <n v="0"/>
    <n v="0"/>
    <n v="0"/>
    <m/>
    <m/>
    <m/>
    <m/>
    <m/>
    <m/>
    <x v="0"/>
    <x v="5"/>
    <x v="5"/>
    <s v="P7 COM S BF CFP"/>
  </r>
  <r>
    <s v="France"/>
    <x v="32"/>
    <m/>
    <x v="1"/>
    <x v="33"/>
    <x v="1"/>
    <m/>
    <s v="EU"/>
    <m/>
    <n v="0.3"/>
    <m/>
    <m/>
    <m/>
    <m/>
    <m/>
    <m/>
    <m/>
    <m/>
    <m/>
    <m/>
    <m/>
    <m/>
    <m/>
    <x v="0"/>
    <x v="5"/>
    <x v="5"/>
    <s v="P7 COM S BF CFP"/>
  </r>
  <r>
    <s v="France"/>
    <x v="33"/>
    <m/>
    <x v="1"/>
    <x v="33"/>
    <x v="1"/>
    <m/>
    <s v="EU"/>
    <n v="0.3"/>
    <n v="0.3"/>
    <n v="0.3"/>
    <m/>
    <m/>
    <m/>
    <m/>
    <m/>
    <m/>
    <m/>
    <m/>
    <m/>
    <m/>
    <m/>
    <m/>
    <x v="0"/>
    <x v="5"/>
    <x v="5"/>
    <s v="P7 COM S BF CFP"/>
  </r>
  <r>
    <s v="France"/>
    <x v="25"/>
    <s v="Antoine"/>
    <x v="6"/>
    <x v="26"/>
    <x v="1"/>
    <m/>
    <s v="EU"/>
    <n v="4"/>
    <n v="0"/>
    <n v="0"/>
    <n v="0"/>
    <n v="0"/>
    <n v="0"/>
    <n v="8"/>
    <n v="8"/>
    <n v="2"/>
    <m/>
    <m/>
    <m/>
    <m/>
    <m/>
    <m/>
    <x v="1"/>
    <x v="5"/>
    <x v="5"/>
    <s v="Gen2 3P 13kw"/>
  </r>
  <r>
    <s v="France"/>
    <x v="25"/>
    <s v="Antoine"/>
    <x v="6"/>
    <x v="27"/>
    <x v="1"/>
    <m/>
    <s v="EU"/>
    <n v="4"/>
    <n v="0"/>
    <n v="0"/>
    <n v="8"/>
    <n v="0"/>
    <n v="4"/>
    <n v="2"/>
    <n v="8"/>
    <n v="2"/>
    <m/>
    <m/>
    <m/>
    <m/>
    <m/>
    <m/>
    <x v="1"/>
    <x v="5"/>
    <x v="5"/>
    <s v="Gen2 3P 10kw"/>
  </r>
  <r>
    <s v="France"/>
    <x v="25"/>
    <s v="Antoine"/>
    <x v="6"/>
    <x v="32"/>
    <x v="1"/>
    <m/>
    <s v="EU"/>
    <n v="8"/>
    <n v="0"/>
    <n v="0"/>
    <n v="8"/>
    <n v="8"/>
    <n v="4"/>
    <n v="4"/>
    <n v="4"/>
    <n v="4"/>
    <m/>
    <m/>
    <m/>
    <m/>
    <m/>
    <m/>
    <x v="1"/>
    <x v="5"/>
    <x v="5"/>
    <s v="Gen2 1P 10kw"/>
  </r>
  <r>
    <s v="France"/>
    <x v="25"/>
    <s v="Antoine"/>
    <x v="6"/>
    <x v="23"/>
    <x v="1"/>
    <m/>
    <s v="EU"/>
    <n v="8"/>
    <n v="0"/>
    <n v="0"/>
    <n v="8"/>
    <n v="3"/>
    <n v="8"/>
    <n v="8"/>
    <n v="8"/>
    <n v="8"/>
    <m/>
    <m/>
    <m/>
    <m/>
    <m/>
    <m/>
    <x v="1"/>
    <x v="5"/>
    <x v="5"/>
    <s v="Gen2 1P 6kw"/>
  </r>
  <r>
    <s v="France"/>
    <x v="28"/>
    <m/>
    <x v="1"/>
    <x v="3"/>
    <x v="1"/>
    <m/>
    <s v="EU"/>
    <m/>
    <n v="0"/>
    <m/>
    <m/>
    <n v="1"/>
    <m/>
    <m/>
    <m/>
    <m/>
    <m/>
    <m/>
    <m/>
    <m/>
    <m/>
    <m/>
    <x v="0"/>
    <x v="5"/>
    <x v="5"/>
    <s v="P7 RES BLK-P"/>
  </r>
  <r>
    <s v="France"/>
    <x v="21"/>
    <s v="Antoine"/>
    <x v="1"/>
    <x v="3"/>
    <x v="1"/>
    <m/>
    <s v="EU"/>
    <n v="0.2"/>
    <n v="0"/>
    <n v="0.2"/>
    <n v="0.4"/>
    <n v="0.4"/>
    <n v="0.4"/>
    <m/>
    <m/>
    <m/>
    <m/>
    <m/>
    <m/>
    <m/>
    <m/>
    <m/>
    <x v="0"/>
    <x v="5"/>
    <x v="5"/>
    <s v="P7 RES BLK-P"/>
  </r>
  <r>
    <s v="France"/>
    <x v="22"/>
    <s v="Antoine"/>
    <x v="1"/>
    <x v="3"/>
    <x v="1"/>
    <m/>
    <s v="EU"/>
    <n v="0.2"/>
    <n v="0"/>
    <n v="0.2"/>
    <n v="0.2"/>
    <n v="0.2"/>
    <n v="0.2"/>
    <n v="0.1"/>
    <n v="0.1"/>
    <n v="0.1"/>
    <m/>
    <m/>
    <m/>
    <m/>
    <m/>
    <m/>
    <x v="0"/>
    <x v="5"/>
    <x v="5"/>
    <s v="P7 RES BLK-P"/>
  </r>
  <r>
    <s v="France"/>
    <x v="25"/>
    <s v="Antoine"/>
    <x v="1"/>
    <x v="3"/>
    <x v="1"/>
    <m/>
    <s v="EU"/>
    <n v="0.2"/>
    <n v="0"/>
    <n v="0.2"/>
    <n v="0.2"/>
    <n v="0.2"/>
    <n v="0.2"/>
    <n v="0.2"/>
    <n v="0.2"/>
    <n v="0.2"/>
    <m/>
    <m/>
    <m/>
    <m/>
    <m/>
    <m/>
    <x v="0"/>
    <x v="5"/>
    <x v="5"/>
    <s v="P7 RES BLK-P"/>
  </r>
  <r>
    <s v="France"/>
    <x v="30"/>
    <s v="Cedric"/>
    <x v="1"/>
    <x v="33"/>
    <x v="1"/>
    <m/>
    <s v="EU"/>
    <m/>
    <n v="0.4"/>
    <n v="0.75"/>
    <n v="0.51300000000000001"/>
    <m/>
    <n v="1.135"/>
    <n v="0.89700000000000002"/>
    <n v="0.4"/>
    <n v="1.25"/>
    <m/>
    <m/>
    <m/>
    <m/>
    <m/>
    <m/>
    <x v="0"/>
    <x v="5"/>
    <x v="5"/>
    <s v="P7 COM S BF CFP"/>
  </r>
  <r>
    <s v="France"/>
    <x v="26"/>
    <s v="Antoine"/>
    <x v="1"/>
    <x v="3"/>
    <x v="1"/>
    <m/>
    <s v="EU"/>
    <n v="0.4"/>
    <n v="0"/>
    <n v="0.4"/>
    <n v="0.4"/>
    <n v="0.4"/>
    <n v="0.4"/>
    <n v="0.4"/>
    <n v="0.4"/>
    <n v="0.4"/>
    <m/>
    <m/>
    <m/>
    <m/>
    <m/>
    <m/>
    <x v="0"/>
    <x v="5"/>
    <x v="5"/>
    <s v="P7 RES BLK-P"/>
  </r>
  <r>
    <s v="France"/>
    <x v="26"/>
    <s v="Antoine"/>
    <x v="1"/>
    <x v="33"/>
    <x v="1"/>
    <m/>
    <s v="EU"/>
    <n v="0.2"/>
    <n v="0.2"/>
    <n v="0.2"/>
    <n v="0.2"/>
    <n v="0.2"/>
    <n v="0"/>
    <n v="0"/>
    <n v="0"/>
    <n v="0"/>
    <m/>
    <m/>
    <m/>
    <m/>
    <m/>
    <m/>
    <x v="0"/>
    <x v="5"/>
    <x v="5"/>
    <s v="P7 COM S BF CFP"/>
  </r>
  <r>
    <s v="France"/>
    <x v="26"/>
    <s v="Antoine"/>
    <x v="6"/>
    <x v="26"/>
    <x v="1"/>
    <m/>
    <s v="EU"/>
    <n v="4"/>
    <n v="0"/>
    <n v="0"/>
    <n v="0"/>
    <n v="2"/>
    <n v="2"/>
    <n v="2"/>
    <n v="2"/>
    <n v="2"/>
    <m/>
    <m/>
    <m/>
    <m/>
    <m/>
    <m/>
    <x v="1"/>
    <x v="5"/>
    <x v="5"/>
    <s v="Gen2 3P 13kw"/>
  </r>
  <r>
    <s v="France"/>
    <x v="26"/>
    <s v="Antoine"/>
    <x v="6"/>
    <x v="27"/>
    <x v="1"/>
    <m/>
    <s v="EU"/>
    <n v="4"/>
    <n v="0"/>
    <n v="0"/>
    <n v="0"/>
    <n v="0"/>
    <n v="4"/>
    <n v="0"/>
    <n v="4"/>
    <n v="4"/>
    <m/>
    <m/>
    <m/>
    <m/>
    <m/>
    <m/>
    <x v="1"/>
    <x v="5"/>
    <x v="5"/>
    <s v="Gen2 3P 10kw"/>
  </r>
  <r>
    <s v="France"/>
    <x v="26"/>
    <s v="Antoine"/>
    <x v="6"/>
    <x v="32"/>
    <x v="1"/>
    <m/>
    <s v="EU"/>
    <n v="4"/>
    <n v="0"/>
    <n v="0"/>
    <n v="4"/>
    <n v="4"/>
    <n v="4"/>
    <n v="4"/>
    <n v="4"/>
    <n v="4"/>
    <m/>
    <m/>
    <m/>
    <m/>
    <m/>
    <m/>
    <x v="1"/>
    <x v="5"/>
    <x v="5"/>
    <s v="Gen2 1P 10kw"/>
  </r>
  <r>
    <s v="France"/>
    <x v="22"/>
    <s v="Antoine"/>
    <x v="6"/>
    <x v="23"/>
    <x v="1"/>
    <m/>
    <s v="EU"/>
    <n v="4"/>
    <n v="0"/>
    <n v="0"/>
    <m/>
    <m/>
    <m/>
    <m/>
    <m/>
    <m/>
    <m/>
    <m/>
    <m/>
    <m/>
    <m/>
    <m/>
    <x v="1"/>
    <x v="5"/>
    <x v="5"/>
    <s v="Gen2 1P 6kw"/>
  </r>
  <r>
    <s v="France"/>
    <x v="31"/>
    <s v="Cedric"/>
    <x v="1"/>
    <x v="3"/>
    <x v="1"/>
    <m/>
    <s v="EU"/>
    <m/>
    <m/>
    <m/>
    <n v="0.14399999999999999"/>
    <m/>
    <n v="0.14399999999999999"/>
    <m/>
    <m/>
    <m/>
    <m/>
    <m/>
    <m/>
    <m/>
    <m/>
    <m/>
    <x v="0"/>
    <x v="5"/>
    <x v="5"/>
    <s v="P7 RES BLK-P"/>
  </r>
  <r>
    <s v="France"/>
    <x v="26"/>
    <s v="Antoine"/>
    <x v="2"/>
    <x v="24"/>
    <x v="1"/>
    <m/>
    <s v="EU"/>
    <n v="0.4"/>
    <n v="0.4"/>
    <n v="0.4"/>
    <n v="0.4"/>
    <n v="0"/>
    <n v="0.4"/>
    <n v="0"/>
    <n v="0"/>
    <n v="0"/>
    <m/>
    <m/>
    <m/>
    <m/>
    <m/>
    <m/>
    <x v="0"/>
    <x v="5"/>
    <x v="5"/>
    <s v="HSM-ND48-DR CFP"/>
  </r>
  <r>
    <s v="France"/>
    <x v="26"/>
    <s v="Antoine"/>
    <x v="2"/>
    <x v="25"/>
    <x v="1"/>
    <m/>
    <s v="EU"/>
    <n v="0.8"/>
    <n v="0.8"/>
    <n v="0.8"/>
    <n v="0.8"/>
    <n v="2.16"/>
    <n v="1.296"/>
    <n v="0.8"/>
    <n v="0.8"/>
    <n v="0.8"/>
    <m/>
    <m/>
    <m/>
    <m/>
    <m/>
    <m/>
    <x v="0"/>
    <x v="5"/>
    <x v="5"/>
    <s v="HSM-ND54-DR CFP"/>
  </r>
  <r>
    <s v="France"/>
    <x v="22"/>
    <s v="Antoine"/>
    <x v="2"/>
    <x v="2"/>
    <x v="1"/>
    <m/>
    <s v="EU"/>
    <n v="0.6"/>
    <n v="1"/>
    <n v="1"/>
    <n v="0.6"/>
    <n v="0.4"/>
    <n v="0.8"/>
    <n v="0.4"/>
    <n v="0.4"/>
    <n v="0.4"/>
    <m/>
    <m/>
    <m/>
    <m/>
    <m/>
    <m/>
    <x v="0"/>
    <x v="5"/>
    <x v="5"/>
    <s v="HSM-ND54-DR"/>
  </r>
  <r>
    <s v="France"/>
    <x v="28"/>
    <s v="Seb / BayWa"/>
    <x v="0"/>
    <x v="29"/>
    <x v="0"/>
    <s v="Corsicasole // CFP, 490W/495W//500W, CFP PPE2 V1&lt;474// "/>
    <s v="EU"/>
    <m/>
    <m/>
    <m/>
    <m/>
    <m/>
    <m/>
    <m/>
    <m/>
    <m/>
    <n v="5"/>
    <n v="5"/>
    <n v="5"/>
    <n v="5"/>
    <n v="5"/>
    <n v="5"/>
    <x v="0"/>
    <x v="5"/>
    <x v="5"/>
    <s v="HSM-BE54-JD CFP"/>
  </r>
  <r>
    <s v="France"/>
    <x v="28"/>
    <s v="Seb / WeWise"/>
    <x v="5"/>
    <x v="20"/>
    <x v="0"/>
    <s v="Phenix Solar // CFP // 470Wp/475Wp"/>
    <s v="EU"/>
    <m/>
    <m/>
    <m/>
    <m/>
    <m/>
    <m/>
    <m/>
    <n v="4"/>
    <n v="4"/>
    <n v="5"/>
    <n v="5"/>
    <n v="5"/>
    <n v="5"/>
    <n v="5"/>
    <n v="5"/>
    <x v="0"/>
    <x v="5"/>
    <x v="5"/>
    <s v="HSM-NT48-JH CFP"/>
  </r>
  <r>
    <s v="France"/>
    <x v="28"/>
    <s v="Seb / GreenYellow"/>
    <x v="5"/>
    <x v="20"/>
    <x v="0"/>
    <s v="Solveo // CFP // 470Wp, CFP &lt;620 // "/>
    <s v="EU"/>
    <m/>
    <m/>
    <m/>
    <m/>
    <m/>
    <m/>
    <m/>
    <m/>
    <m/>
    <n v="4"/>
    <n v="4"/>
    <n v="4"/>
    <n v="4"/>
    <n v="4"/>
    <n v="4"/>
    <x v="0"/>
    <x v="5"/>
    <x v="5"/>
    <s v="HSM-NT48-JH CFP"/>
  </r>
  <r>
    <s v="France"/>
    <x v="28"/>
    <s v="Seb / Apex"/>
    <x v="5"/>
    <x v="20"/>
    <x v="0"/>
    <s v="Terre et Lac // CFP // 470Wp/475Wp, CFP &lt;620 // "/>
    <s v="EU"/>
    <m/>
    <m/>
    <m/>
    <m/>
    <m/>
    <m/>
    <m/>
    <m/>
    <m/>
    <n v="5"/>
    <n v="5"/>
    <n v="5"/>
    <n v="5"/>
    <n v="5"/>
    <n v="5"/>
    <x v="0"/>
    <x v="5"/>
    <x v="5"/>
    <s v="HSM-NT48-JH CFP"/>
  </r>
  <r>
    <s v="France"/>
    <x v="28"/>
    <s v="Seb / Amarenco"/>
    <x v="5"/>
    <x v="20"/>
    <x v="0"/>
    <s v="Technique Solaire // CFP // 470Wp/475Wp, CFP &lt;630 // "/>
    <s v="EU"/>
    <m/>
    <m/>
    <m/>
    <m/>
    <m/>
    <m/>
    <m/>
    <m/>
    <m/>
    <m/>
    <n v="4"/>
    <n v="4"/>
    <m/>
    <m/>
    <m/>
    <x v="0"/>
    <x v="5"/>
    <x v="5"/>
    <s v="HSM-NT48-JH CFP"/>
  </r>
  <r>
    <s v="France"/>
    <x v="28"/>
    <s v="Seb / WeWise"/>
    <x v="2"/>
    <x v="21"/>
    <x v="5"/>
    <s v="WeWise // CFP // 445/450/455Wp, CFP // "/>
    <s v="EU"/>
    <n v="2.129"/>
    <m/>
    <m/>
    <m/>
    <m/>
    <m/>
    <m/>
    <m/>
    <m/>
    <m/>
    <m/>
    <m/>
    <m/>
    <m/>
    <m/>
    <x v="0"/>
    <x v="5"/>
    <x v="5"/>
    <s v="HSM-ND48-DR CFP"/>
  </r>
  <r>
    <s v="France"/>
    <x v="28"/>
    <s v="Seb / WeWise"/>
    <x v="2"/>
    <x v="24"/>
    <x v="5"/>
    <s v="WeWise // CFP // 445/450/455Wp, CFP // "/>
    <s v="EU"/>
    <n v="2.1"/>
    <m/>
    <m/>
    <m/>
    <m/>
    <m/>
    <m/>
    <m/>
    <m/>
    <m/>
    <m/>
    <m/>
    <m/>
    <m/>
    <m/>
    <x v="0"/>
    <x v="5"/>
    <x v="5"/>
    <s v="HSM-ND48-DR CFP"/>
  </r>
  <r>
    <s v="France"/>
    <x v="28"/>
    <s v="Seb / WeWise"/>
    <x v="2"/>
    <x v="24"/>
    <x v="5"/>
    <s v="WeWise // CFP // 445/450/455Wp, CFP // "/>
    <s v="EU"/>
    <m/>
    <m/>
    <m/>
    <m/>
    <n v="0.84199999999999997"/>
    <n v="2.1"/>
    <m/>
    <m/>
    <m/>
    <m/>
    <m/>
    <m/>
    <m/>
    <m/>
    <m/>
    <x v="0"/>
    <x v="5"/>
    <x v="5"/>
    <s v="HSM-ND48-DR CFP"/>
  </r>
  <r>
    <s v="France"/>
    <x v="28"/>
    <s v="Seb / WeWise"/>
    <x v="0"/>
    <x v="29"/>
    <x v="0"/>
    <s v="Amarenco // CFP, 470W, CFP PPE2 V1&lt;550 // "/>
    <s v="EU"/>
    <m/>
    <m/>
    <m/>
    <m/>
    <m/>
    <m/>
    <m/>
    <m/>
    <m/>
    <m/>
    <n v="4"/>
    <n v="4"/>
    <n v="4"/>
    <n v="4"/>
    <n v="4"/>
    <x v="0"/>
    <x v="5"/>
    <x v="5"/>
    <s v="HSM-BE54-JD CFP"/>
  </r>
  <r>
    <s v="France"/>
    <x v="21"/>
    <s v="Antoine"/>
    <x v="2"/>
    <x v="25"/>
    <x v="1"/>
    <m/>
    <s v="EU"/>
    <n v="0.8"/>
    <n v="0.8"/>
    <n v="0.8"/>
    <n v="0.8"/>
    <n v="0.8"/>
    <n v="0.8"/>
    <n v="0.8"/>
    <n v="0.8"/>
    <n v="0.8"/>
    <m/>
    <m/>
    <m/>
    <m/>
    <m/>
    <m/>
    <x v="0"/>
    <x v="5"/>
    <x v="5"/>
    <s v="HSM-ND54-DR CFP"/>
  </r>
  <r>
    <s v="France"/>
    <x v="22"/>
    <s v="Antoine"/>
    <x v="2"/>
    <x v="24"/>
    <x v="1"/>
    <m/>
    <s v="EU"/>
    <n v="0.4"/>
    <n v="1"/>
    <n v="1"/>
    <n v="0.4"/>
    <n v="0.4"/>
    <n v="0"/>
    <n v="0"/>
    <n v="0"/>
    <n v="0"/>
    <m/>
    <m/>
    <m/>
    <m/>
    <m/>
    <m/>
    <x v="0"/>
    <x v="5"/>
    <x v="5"/>
    <s v="HSM-ND48-DR CFP"/>
  </r>
  <r>
    <s v="France"/>
    <x v="25"/>
    <s v="Antoine"/>
    <x v="2"/>
    <x v="2"/>
    <x v="1"/>
    <m/>
    <s v="EU"/>
    <n v="0.8"/>
    <n v="0.8"/>
    <n v="0.8"/>
    <n v="0.6"/>
    <n v="0"/>
    <n v="0"/>
    <n v="0"/>
    <n v="0"/>
    <n v="0"/>
    <m/>
    <m/>
    <m/>
    <m/>
    <m/>
    <m/>
    <x v="0"/>
    <x v="5"/>
    <x v="5"/>
    <s v="HSM-ND54-DR"/>
  </r>
  <r>
    <s v="France"/>
    <x v="25"/>
    <s v="Antoine"/>
    <x v="2"/>
    <x v="21"/>
    <x v="1"/>
    <m/>
    <s v="Offshore"/>
    <m/>
    <m/>
    <m/>
    <m/>
    <n v="0.85"/>
    <n v="0.85"/>
    <n v="0"/>
    <n v="0"/>
    <n v="0"/>
    <m/>
    <m/>
    <m/>
    <m/>
    <m/>
    <m/>
    <x v="0"/>
    <x v="5"/>
    <x v="5"/>
    <s v="HSM-ND48-DR CFP"/>
  </r>
  <r>
    <s v="France"/>
    <x v="25"/>
    <s v="Antoine"/>
    <x v="2"/>
    <x v="24"/>
    <x v="1"/>
    <m/>
    <s v="Offshore"/>
    <n v="2"/>
    <n v="1"/>
    <n v="1"/>
    <n v="2"/>
    <n v="3.37"/>
    <n v="0"/>
    <n v="0"/>
    <n v="0"/>
    <n v="0"/>
    <m/>
    <m/>
    <m/>
    <m/>
    <m/>
    <m/>
    <x v="0"/>
    <x v="5"/>
    <x v="5"/>
    <s v="HSM-ND48-DR CFP"/>
  </r>
  <r>
    <s v="France"/>
    <x v="21"/>
    <s v="ESS_Gen2"/>
    <x v="6"/>
    <x v="26"/>
    <x v="1"/>
    <m/>
    <s v="EU"/>
    <n v="4"/>
    <n v="0"/>
    <n v="0"/>
    <n v="0"/>
    <n v="2"/>
    <n v="2"/>
    <n v="2"/>
    <n v="2"/>
    <n v="2"/>
    <m/>
    <m/>
    <m/>
    <m/>
    <m/>
    <m/>
    <x v="1"/>
    <x v="5"/>
    <x v="5"/>
    <s v="Gen2 3P 13kw"/>
  </r>
  <r>
    <s v="France"/>
    <x v="21"/>
    <s v="ESS_Gen2"/>
    <x v="6"/>
    <x v="27"/>
    <x v="1"/>
    <m/>
    <s v="EU"/>
    <n v="4"/>
    <n v="0"/>
    <n v="0"/>
    <n v="8"/>
    <n v="0"/>
    <n v="4"/>
    <n v="0"/>
    <n v="4"/>
    <n v="4"/>
    <m/>
    <m/>
    <m/>
    <m/>
    <m/>
    <m/>
    <x v="1"/>
    <x v="5"/>
    <x v="5"/>
    <s v="Gen2 3P 10kw"/>
  </r>
  <r>
    <s v="France"/>
    <x v="21"/>
    <s v="Antoine"/>
    <x v="6"/>
    <x v="32"/>
    <x v="1"/>
    <m/>
    <s v="EU"/>
    <n v="4"/>
    <n v="0"/>
    <n v="0"/>
    <n v="4"/>
    <n v="4"/>
    <n v="4"/>
    <n v="4"/>
    <n v="4"/>
    <n v="4"/>
    <m/>
    <m/>
    <m/>
    <m/>
    <m/>
    <m/>
    <x v="1"/>
    <x v="5"/>
    <x v="5"/>
    <s v="Gen2 1P 10kw"/>
  </r>
  <r>
    <s v="France"/>
    <x v="21"/>
    <s v="Antoine"/>
    <x v="6"/>
    <x v="23"/>
    <x v="1"/>
    <m/>
    <s v="EU"/>
    <n v="6"/>
    <n v="0"/>
    <n v="0"/>
    <n v="16"/>
    <n v="12"/>
    <n v="12"/>
    <n v="8"/>
    <n v="8"/>
    <n v="8"/>
    <m/>
    <m/>
    <m/>
    <m/>
    <m/>
    <m/>
    <x v="1"/>
    <x v="5"/>
    <x v="5"/>
    <s v="Gen2 1P 6kw"/>
  </r>
  <r>
    <s v="France"/>
    <x v="34"/>
    <m/>
    <x v="1"/>
    <x v="33"/>
    <x v="2"/>
    <m/>
    <s v="EU"/>
    <n v="0.4"/>
    <n v="0.4"/>
    <n v="0.4"/>
    <m/>
    <m/>
    <m/>
    <m/>
    <m/>
    <m/>
    <m/>
    <m/>
    <m/>
    <m/>
    <m/>
    <m/>
    <x v="0"/>
    <x v="5"/>
    <x v="5"/>
    <s v="P7 COM S BF CFP"/>
  </r>
  <r>
    <s v="France"/>
    <x v="34"/>
    <m/>
    <x v="2"/>
    <x v="24"/>
    <x v="3"/>
    <m/>
    <s v="EU"/>
    <n v="0.4"/>
    <n v="0.2"/>
    <n v="0.2"/>
    <m/>
    <m/>
    <m/>
    <m/>
    <m/>
    <m/>
    <m/>
    <m/>
    <m/>
    <m/>
    <m/>
    <m/>
    <x v="0"/>
    <x v="5"/>
    <x v="5"/>
    <s v="HSM-ND48-DR CFP"/>
  </r>
  <r>
    <s v="France"/>
    <x v="26"/>
    <s v="Antoine"/>
    <x v="2"/>
    <x v="2"/>
    <x v="1"/>
    <m/>
    <s v="EU"/>
    <n v="0.4"/>
    <n v="1"/>
    <n v="1"/>
    <n v="1"/>
    <n v="0"/>
    <n v="0.4"/>
    <n v="0.4"/>
    <n v="0.4"/>
    <n v="0.4"/>
    <m/>
    <m/>
    <m/>
    <m/>
    <m/>
    <m/>
    <x v="0"/>
    <x v="5"/>
    <x v="5"/>
    <s v="HSM-ND54-DR"/>
  </r>
  <r>
    <s v="France"/>
    <x v="25"/>
    <s v="Antoine"/>
    <x v="2"/>
    <x v="25"/>
    <x v="1"/>
    <m/>
    <s v="EU"/>
    <m/>
    <m/>
    <m/>
    <n v="1.3"/>
    <n v="1.3"/>
    <n v="1.3"/>
    <n v="0.2"/>
    <n v="0.2"/>
    <n v="0.2"/>
    <m/>
    <m/>
    <m/>
    <m/>
    <m/>
    <m/>
    <x v="0"/>
    <x v="5"/>
    <x v="5"/>
    <s v="HSM-ND54-DR CFP"/>
  </r>
  <r>
    <s v="France"/>
    <x v="20"/>
    <s v="Steven"/>
    <x v="0"/>
    <x v="29"/>
    <x v="0"/>
    <s v="Voltaneo/ 485/490"/>
    <s v="EU"/>
    <m/>
    <m/>
    <m/>
    <m/>
    <m/>
    <m/>
    <m/>
    <m/>
    <n v="0"/>
    <n v="10"/>
    <m/>
    <m/>
    <m/>
    <m/>
    <m/>
    <x v="0"/>
    <x v="5"/>
    <x v="5"/>
    <s v="HSM-BE54-JD CFP"/>
  </r>
  <r>
    <s v="Georgia"/>
    <x v="35"/>
    <m/>
    <x v="1"/>
    <x v="34"/>
    <x v="0"/>
    <s v="600kW of 555W FCA RTD"/>
    <s v="EU"/>
    <m/>
    <m/>
    <s v=" "/>
    <m/>
    <n v="0.6"/>
    <m/>
    <m/>
    <m/>
    <m/>
    <m/>
    <m/>
    <m/>
    <m/>
    <m/>
    <m/>
    <x v="0"/>
    <x v="4"/>
    <x v="4"/>
    <s v="P7 COM S BF IT"/>
  </r>
  <r>
    <s v="Germany"/>
    <x v="36"/>
    <s v="Matthias Doering"/>
    <x v="1"/>
    <x v="34"/>
    <x v="1"/>
    <s v="MAX3 delaminaiton CASE to solve"/>
    <s v="EU"/>
    <n v="5.0000000000000001E-3"/>
    <m/>
    <m/>
    <m/>
    <m/>
    <m/>
    <m/>
    <m/>
    <n v="2.4639999999999999E-2"/>
    <m/>
    <m/>
    <m/>
    <m/>
    <m/>
    <m/>
    <x v="0"/>
    <x v="1"/>
    <x v="1"/>
    <s v="P7 COM S BF IT"/>
  </r>
  <r>
    <s v="Germany"/>
    <x v="37"/>
    <s v="Matthias Doering"/>
    <x v="1"/>
    <x v="1"/>
    <x v="1"/>
    <m/>
    <s v="EU"/>
    <n v="0.23183999999999999"/>
    <n v="0.23183999999999999"/>
    <n v="0.23183999999999999"/>
    <n v="0.19872000000000001"/>
    <n v="0.19872000000000001"/>
    <n v="0.19872000000000001"/>
    <n v="0.19872000000000001"/>
    <n v="0.19872000000000001"/>
    <n v="0.19872000000000001"/>
    <m/>
    <m/>
    <m/>
    <m/>
    <m/>
    <m/>
    <x v="0"/>
    <x v="1"/>
    <x v="1"/>
    <s v="P7 RES BLK 2.0"/>
  </r>
  <r>
    <s v="Germany"/>
    <x v="37"/>
    <s v="Matthias Doering"/>
    <x v="1"/>
    <x v="18"/>
    <x v="1"/>
    <m/>
    <s v="EU"/>
    <m/>
    <m/>
    <n v="3.7080000000000002E-2"/>
    <m/>
    <m/>
    <m/>
    <n v="3.7080000000000002E-2"/>
    <m/>
    <m/>
    <m/>
    <m/>
    <m/>
    <m/>
    <m/>
    <m/>
    <x v="0"/>
    <x v="1"/>
    <x v="1"/>
    <s v="P7 RES BLK-P"/>
  </r>
  <r>
    <s v="Germany"/>
    <x v="37"/>
    <s v="Matthias Doering"/>
    <x v="1"/>
    <x v="34"/>
    <x v="1"/>
    <m/>
    <s v="EU"/>
    <m/>
    <n v="0.2"/>
    <m/>
    <m/>
    <n v="0.10989"/>
    <m/>
    <m/>
    <m/>
    <m/>
    <m/>
    <m/>
    <m/>
    <m/>
    <m/>
    <m/>
    <x v="0"/>
    <x v="1"/>
    <x v="1"/>
    <s v="P7 COM S BF IT"/>
  </r>
  <r>
    <s v="Germany"/>
    <x v="37"/>
    <s v="Matthias Doering"/>
    <x v="3"/>
    <x v="6"/>
    <x v="1"/>
    <s v="if price is below 18ct/W"/>
    <s v="EU"/>
    <m/>
    <m/>
    <m/>
    <n v="3.5639999999999998E-2"/>
    <n v="3.5639999999999998E-2"/>
    <n v="3.5639999999999998E-2"/>
    <n v="3.5639999999999998E-2"/>
    <n v="3.5639999999999998E-2"/>
    <n v="3.5639999999999998E-2"/>
    <m/>
    <m/>
    <m/>
    <m/>
    <m/>
    <m/>
    <x v="0"/>
    <x v="1"/>
    <x v="1"/>
    <s v="SPR-BE54-HD"/>
  </r>
  <r>
    <s v="Germany"/>
    <x v="37"/>
    <s v="Matthias Doering"/>
    <x v="3"/>
    <x v="35"/>
    <x v="1"/>
    <s v="if price is below 15ct/W"/>
    <s v="EU"/>
    <m/>
    <m/>
    <m/>
    <m/>
    <n v="8.6400000000000005E-2"/>
    <m/>
    <m/>
    <m/>
    <m/>
    <m/>
    <m/>
    <m/>
    <m/>
    <m/>
    <m/>
    <x v="0"/>
    <x v="1"/>
    <x v="1"/>
    <s v="SPR-BE66-GD"/>
  </r>
  <r>
    <s v="Germany"/>
    <x v="38"/>
    <s v="Matthias Doering"/>
    <x v="1"/>
    <x v="1"/>
    <x v="1"/>
    <m/>
    <s v="EU"/>
    <n v="0.13247999999999999"/>
    <m/>
    <m/>
    <n v="0.13247999999999999"/>
    <m/>
    <m/>
    <n v="0.13247999999999999"/>
    <m/>
    <m/>
    <m/>
    <m/>
    <m/>
    <m/>
    <m/>
    <m/>
    <x v="0"/>
    <x v="1"/>
    <x v="1"/>
    <s v="P7 RES BLK 2.0"/>
  </r>
  <r>
    <s v="Germany"/>
    <x v="38"/>
    <s v="Matthias Doering"/>
    <x v="1"/>
    <x v="18"/>
    <x v="1"/>
    <m/>
    <s v="EU"/>
    <n v="0.14832000000000001"/>
    <m/>
    <m/>
    <n v="0.14832000000000001"/>
    <m/>
    <m/>
    <n v="0.14832000000000001"/>
    <m/>
    <m/>
    <m/>
    <m/>
    <m/>
    <m/>
    <m/>
    <m/>
    <x v="0"/>
    <x v="1"/>
    <x v="1"/>
    <s v="P7 RES BLK-P"/>
  </r>
  <r>
    <s v="Germany"/>
    <x v="38"/>
    <s v="Matthias Doering"/>
    <x v="1"/>
    <x v="34"/>
    <x v="1"/>
    <m/>
    <s v="EU"/>
    <m/>
    <m/>
    <m/>
    <n v="0.10989"/>
    <m/>
    <m/>
    <n v="0.10989"/>
    <m/>
    <m/>
    <m/>
    <m/>
    <m/>
    <m/>
    <m/>
    <m/>
    <x v="0"/>
    <x v="1"/>
    <x v="1"/>
    <s v="P7 COM S BF IT"/>
  </r>
  <r>
    <s v="Germany"/>
    <x v="38"/>
    <s v="Matthias Doering"/>
    <x v="3"/>
    <x v="6"/>
    <x v="1"/>
    <m/>
    <s v="EU"/>
    <m/>
    <m/>
    <m/>
    <n v="3.5999999999999997E-2"/>
    <m/>
    <m/>
    <n v="3.5999999999999997E-2"/>
    <m/>
    <m/>
    <m/>
    <m/>
    <m/>
    <m/>
    <m/>
    <m/>
    <x v="0"/>
    <x v="1"/>
    <x v="1"/>
    <s v="SPR-BE54-HD"/>
  </r>
  <r>
    <s v="Germany"/>
    <x v="39"/>
    <s v="Matthias Doering"/>
    <x v="1"/>
    <x v="34"/>
    <x v="1"/>
    <m/>
    <s v="EU"/>
    <m/>
    <m/>
    <m/>
    <n v="0.1"/>
    <m/>
    <m/>
    <m/>
    <n v="0.1"/>
    <m/>
    <m/>
    <m/>
    <m/>
    <m/>
    <m/>
    <m/>
    <x v="0"/>
    <x v="1"/>
    <x v="1"/>
    <s v="P7 COM S BF IT"/>
  </r>
  <r>
    <s v="Germany"/>
    <x v="40"/>
    <s v="Sven Braunstein"/>
    <x v="6"/>
    <x v="26"/>
    <x v="1"/>
    <m/>
    <s v="EU"/>
    <m/>
    <n v="2"/>
    <n v="3"/>
    <n v="3"/>
    <n v="3"/>
    <n v="3"/>
    <n v="4"/>
    <n v="4"/>
    <n v="2"/>
    <m/>
    <m/>
    <m/>
    <m/>
    <m/>
    <m/>
    <x v="1"/>
    <x v="1"/>
    <x v="1"/>
    <s v="Gen2 3P 13kw"/>
  </r>
  <r>
    <s v="Germany"/>
    <x v="40"/>
    <s v="Sven Braunstein"/>
    <x v="6"/>
    <x v="30"/>
    <x v="1"/>
    <m/>
    <s v="EU"/>
    <m/>
    <n v="2"/>
    <n v="2"/>
    <n v="2"/>
    <n v="2"/>
    <n v="1"/>
    <n v="2"/>
    <n v="2"/>
    <n v="1"/>
    <m/>
    <m/>
    <m/>
    <m/>
    <m/>
    <m/>
    <x v="1"/>
    <x v="1"/>
    <x v="1"/>
    <s v="Gen2 BAT 5kWh"/>
  </r>
  <r>
    <s v="Germany"/>
    <x v="40"/>
    <s v="Sven Braunstein"/>
    <x v="1"/>
    <x v="1"/>
    <x v="1"/>
    <m/>
    <s v="EU"/>
    <m/>
    <n v="3.3000000000000002E-2"/>
    <m/>
    <n v="6.6000000000000003E-2"/>
    <m/>
    <n v="6.6000000000000003E-2"/>
    <m/>
    <n v="6.6000000000000003E-2"/>
    <m/>
    <m/>
    <m/>
    <m/>
    <m/>
    <m/>
    <m/>
    <x v="0"/>
    <x v="1"/>
    <x v="1"/>
    <s v="P7 RES BLK 2.0"/>
  </r>
  <r>
    <s v="Germany"/>
    <x v="41"/>
    <s v="Sven Braunstein"/>
    <x v="1"/>
    <x v="8"/>
    <x v="1"/>
    <m/>
    <s v="EU"/>
    <n v="0.06"/>
    <m/>
    <m/>
    <m/>
    <m/>
    <m/>
    <m/>
    <m/>
    <m/>
    <m/>
    <m/>
    <m/>
    <m/>
    <m/>
    <m/>
    <x v="0"/>
    <x v="1"/>
    <x v="1"/>
    <s v="P7 RES BLK 2.0"/>
  </r>
  <r>
    <s v="Germany"/>
    <x v="42"/>
    <s v="Matthias Doering"/>
    <x v="3"/>
    <x v="6"/>
    <x v="1"/>
    <s v="if price is below 20ct/W"/>
    <s v="EU"/>
    <m/>
    <m/>
    <m/>
    <m/>
    <m/>
    <m/>
    <n v="0.14399999999999999"/>
    <n v="0.14399999999999999"/>
    <m/>
    <m/>
    <m/>
    <m/>
    <m/>
    <m/>
    <m/>
    <x v="0"/>
    <x v="1"/>
    <x v="1"/>
    <s v="SPR-BE54-HD"/>
  </r>
  <r>
    <s v="Germany"/>
    <x v="41"/>
    <s v="Sven Braunstein"/>
    <x v="1"/>
    <x v="1"/>
    <x v="1"/>
    <m/>
    <s v="EU"/>
    <m/>
    <n v="0.06"/>
    <m/>
    <n v="6.6000000000000003E-2"/>
    <m/>
    <n v="6.6000000000000003E-2"/>
    <m/>
    <n v="6.6000000000000003E-2"/>
    <m/>
    <m/>
    <m/>
    <m/>
    <m/>
    <m/>
    <m/>
    <x v="0"/>
    <x v="1"/>
    <x v="1"/>
    <s v="P7 RES BLK 2.0"/>
  </r>
  <r>
    <s v="Germany"/>
    <x v="42"/>
    <s v="Matthias Doering"/>
    <x v="1"/>
    <x v="34"/>
    <x v="1"/>
    <m/>
    <s v="EU"/>
    <m/>
    <m/>
    <n v="0.10989"/>
    <m/>
    <n v="0.10989"/>
    <m/>
    <m/>
    <n v="0.10989"/>
    <m/>
    <m/>
    <m/>
    <m/>
    <m/>
    <m/>
    <m/>
    <x v="0"/>
    <x v="1"/>
    <x v="1"/>
    <s v="P7 COM S BF IT"/>
  </r>
  <r>
    <s v="Germany"/>
    <x v="42"/>
    <s v="Matthias Doering"/>
    <x v="1"/>
    <x v="1"/>
    <x v="1"/>
    <m/>
    <s v="EU"/>
    <m/>
    <m/>
    <n v="0.1656"/>
    <m/>
    <n v="0.1656"/>
    <m/>
    <m/>
    <n v="0.1656"/>
    <m/>
    <m/>
    <m/>
    <m/>
    <m/>
    <m/>
    <m/>
    <x v="0"/>
    <x v="1"/>
    <x v="1"/>
    <s v="P7 RES BLK 2.0"/>
  </r>
  <r>
    <s v="Germany"/>
    <x v="43"/>
    <s v="Matthias Doering"/>
    <x v="3"/>
    <x v="35"/>
    <x v="1"/>
    <m/>
    <s v="EU"/>
    <m/>
    <m/>
    <m/>
    <m/>
    <n v="8.6400000000000005E-2"/>
    <m/>
    <m/>
    <n v="8.6400000000000005E-2"/>
    <m/>
    <m/>
    <m/>
    <m/>
    <m/>
    <m/>
    <m/>
    <x v="0"/>
    <x v="1"/>
    <x v="1"/>
    <s v="SPR-BE66-GD"/>
  </r>
  <r>
    <s v="Germany"/>
    <x v="44"/>
    <s v="Matthias Doering"/>
    <x v="6"/>
    <x v="27"/>
    <x v="1"/>
    <m/>
    <s v="EU"/>
    <n v="1"/>
    <m/>
    <m/>
    <m/>
    <n v="1"/>
    <m/>
    <m/>
    <n v="1"/>
    <m/>
    <m/>
    <m/>
    <m/>
    <m/>
    <m/>
    <m/>
    <x v="1"/>
    <x v="1"/>
    <x v="1"/>
    <s v="Gen2 3P 10kw"/>
  </r>
  <r>
    <s v="Germany"/>
    <x v="44"/>
    <s v="Matthias Doering"/>
    <x v="1"/>
    <x v="18"/>
    <x v="1"/>
    <m/>
    <s v="EU"/>
    <n v="3.7079999999999999E-3"/>
    <m/>
    <m/>
    <m/>
    <n v="3.7079999999999999E-3"/>
    <m/>
    <m/>
    <n v="3.7079999999999999E-3"/>
    <m/>
    <m/>
    <m/>
    <m/>
    <m/>
    <m/>
    <m/>
    <x v="0"/>
    <x v="1"/>
    <x v="1"/>
    <s v="P7 RES BLK-P"/>
  </r>
  <r>
    <s v="Germany"/>
    <x v="45"/>
    <s v="Matthias Doering"/>
    <x v="1"/>
    <x v="1"/>
    <x v="1"/>
    <m/>
    <s v="EU"/>
    <m/>
    <n v="0.23183999999999999"/>
    <m/>
    <n v="0.23183999999999999"/>
    <m/>
    <n v="0.23183999999999999"/>
    <m/>
    <n v="0.23183999999999999"/>
    <m/>
    <m/>
    <m/>
    <m/>
    <m/>
    <m/>
    <m/>
    <x v="0"/>
    <x v="1"/>
    <x v="1"/>
    <s v="P7 RES BLK 2.0"/>
  </r>
  <r>
    <s v="Germany"/>
    <x v="45"/>
    <s v="Matthias Doering"/>
    <x v="1"/>
    <x v="36"/>
    <x v="1"/>
    <m/>
    <s v="EU"/>
    <n v="0.11015999999999999"/>
    <n v="0.11015999999999999"/>
    <m/>
    <m/>
    <m/>
    <m/>
    <m/>
    <m/>
    <m/>
    <m/>
    <m/>
    <m/>
    <m/>
    <m/>
    <m/>
    <x v="0"/>
    <x v="1"/>
    <x v="1"/>
    <s v="exclude"/>
  </r>
  <r>
    <s v="Germany"/>
    <x v="45"/>
    <s v="Matthias Doering"/>
    <x v="1"/>
    <x v="18"/>
    <x v="1"/>
    <m/>
    <s v="EU"/>
    <n v="0.25956000000000001"/>
    <n v="0.25956000000000001"/>
    <n v="0.25956000000000001"/>
    <n v="0.25956000000000001"/>
    <n v="0.25956000000000001"/>
    <n v="0.25956000000000001"/>
    <n v="0.25956000000000001"/>
    <n v="0.25956000000000001"/>
    <n v="0.25956000000000001"/>
    <m/>
    <m/>
    <m/>
    <m/>
    <m/>
    <m/>
    <x v="0"/>
    <x v="1"/>
    <x v="1"/>
    <s v="P7 RES BLK-P"/>
  </r>
  <r>
    <s v="Germany"/>
    <x v="45"/>
    <s v="Matthias Doering"/>
    <x v="1"/>
    <x v="34"/>
    <x v="1"/>
    <m/>
    <s v="EU"/>
    <m/>
    <m/>
    <m/>
    <m/>
    <n v="0.14652000000000001"/>
    <m/>
    <m/>
    <m/>
    <m/>
    <m/>
    <m/>
    <m/>
    <m/>
    <m/>
    <m/>
    <x v="0"/>
    <x v="1"/>
    <x v="1"/>
    <s v="P7 COM S BF IT"/>
  </r>
  <r>
    <s v="Germany"/>
    <x v="45"/>
    <s v="Matthias Doering"/>
    <x v="7"/>
    <x v="37"/>
    <x v="1"/>
    <m/>
    <s v="EU"/>
    <n v="3.6260000000000001E-2"/>
    <n v="3.6260000000000001E-2"/>
    <n v="3.6260000000000001E-2"/>
    <n v="3.6260000000000001E-2"/>
    <n v="3.6260000000000001E-2"/>
    <m/>
    <m/>
    <m/>
    <m/>
    <m/>
    <m/>
    <m/>
    <m/>
    <m/>
    <m/>
    <x v="0"/>
    <x v="1"/>
    <x v="1"/>
    <s v="exclude"/>
  </r>
  <r>
    <s v="Germany"/>
    <x v="45"/>
    <s v="Matthias Doering"/>
    <x v="3"/>
    <x v="6"/>
    <x v="1"/>
    <m/>
    <s v="EU"/>
    <m/>
    <m/>
    <m/>
    <m/>
    <m/>
    <n v="3.5999999999999997E-2"/>
    <n v="3.5999999999999997E-2"/>
    <n v="3.5999999999999997E-2"/>
    <n v="3.5999999999999997E-2"/>
    <m/>
    <m/>
    <m/>
    <m/>
    <m/>
    <m/>
    <x v="0"/>
    <x v="1"/>
    <x v="1"/>
    <s v="SPR-BE54-HD"/>
  </r>
  <r>
    <s v="Germany"/>
    <x v="45"/>
    <s v="Matthias Doering"/>
    <x v="3"/>
    <x v="35"/>
    <x v="1"/>
    <m/>
    <s v="EU"/>
    <m/>
    <m/>
    <m/>
    <m/>
    <m/>
    <n v="4.3200000000000002E-2"/>
    <n v="4.3200000000000002E-2"/>
    <n v="4.3200000000000002E-2"/>
    <n v="4.3200000000000002E-2"/>
    <m/>
    <m/>
    <m/>
    <m/>
    <m/>
    <m/>
    <x v="0"/>
    <x v="1"/>
    <x v="1"/>
    <s v="SPR-BE66-GD"/>
  </r>
  <r>
    <s v="Germany"/>
    <x v="46"/>
    <s v="Matthias Doering"/>
    <x v="1"/>
    <x v="18"/>
    <x v="1"/>
    <m/>
    <s v="EU"/>
    <m/>
    <m/>
    <m/>
    <m/>
    <n v="3.7080000000000002E-2"/>
    <m/>
    <m/>
    <m/>
    <m/>
    <m/>
    <m/>
    <m/>
    <m/>
    <m/>
    <m/>
    <x v="0"/>
    <x v="1"/>
    <x v="1"/>
    <s v="P7 RES BLK-P"/>
  </r>
  <r>
    <s v="Germany"/>
    <x v="46"/>
    <s v="Matthias Doering"/>
    <x v="6"/>
    <x v="27"/>
    <x v="3"/>
    <m/>
    <s v="EU"/>
    <m/>
    <m/>
    <n v="1"/>
    <m/>
    <m/>
    <n v="1"/>
    <m/>
    <n v="1"/>
    <m/>
    <m/>
    <m/>
    <m/>
    <m/>
    <m/>
    <m/>
    <x v="1"/>
    <x v="1"/>
    <x v="1"/>
    <s v="Gen2 3P 10kw"/>
  </r>
  <r>
    <s v="Germany"/>
    <x v="47"/>
    <s v="Matthias Doering"/>
    <x v="1"/>
    <x v="34"/>
    <x v="1"/>
    <m/>
    <s v="EU"/>
    <m/>
    <m/>
    <m/>
    <n v="7.3260000000000006E-2"/>
    <m/>
    <m/>
    <n v="7.3260000000000006E-2"/>
    <m/>
    <m/>
    <m/>
    <m/>
    <m/>
    <m/>
    <m/>
    <m/>
    <x v="0"/>
    <x v="1"/>
    <x v="1"/>
    <s v="P7 COM S BF IT"/>
  </r>
  <r>
    <s v="Germany"/>
    <x v="48"/>
    <s v="Matthias Doering"/>
    <x v="1"/>
    <x v="38"/>
    <x v="1"/>
    <m/>
    <s v="EU"/>
    <n v="0.42120000000000002"/>
    <m/>
    <m/>
    <m/>
    <m/>
    <m/>
    <m/>
    <m/>
    <m/>
    <m/>
    <m/>
    <m/>
    <m/>
    <m/>
    <m/>
    <x v="0"/>
    <x v="1"/>
    <x v="1"/>
    <s v="P7 RES BLK 2.0"/>
  </r>
  <r>
    <s v="Germany"/>
    <x v="48"/>
    <s v="Matthias Doering"/>
    <x v="3"/>
    <x v="6"/>
    <x v="4"/>
    <s v="if pricing is at 14,5-16ct/W"/>
    <s v="EU"/>
    <m/>
    <m/>
    <m/>
    <n v="0.216"/>
    <m/>
    <m/>
    <n v="0.216"/>
    <m/>
    <m/>
    <m/>
    <m/>
    <m/>
    <m/>
    <m/>
    <m/>
    <x v="0"/>
    <x v="1"/>
    <x v="1"/>
    <s v="SPR-BE54-HD"/>
  </r>
  <r>
    <s v="Germany"/>
    <x v="42"/>
    <s v="Matthias Doering"/>
    <x v="1"/>
    <x v="18"/>
    <x v="1"/>
    <m/>
    <s v="EU"/>
    <m/>
    <m/>
    <n v="0.11124000000000001"/>
    <m/>
    <n v="0.11124000000000001"/>
    <m/>
    <m/>
    <n v="0.11124000000000001"/>
    <m/>
    <m/>
    <m/>
    <m/>
    <m/>
    <m/>
    <m/>
    <x v="0"/>
    <x v="1"/>
    <x v="1"/>
    <s v="P7 RES BLK-P"/>
  </r>
  <r>
    <s v="Germany"/>
    <x v="49"/>
    <s v="Sven Braunstein"/>
    <x v="3"/>
    <x v="6"/>
    <x v="1"/>
    <s v="P Class is postponed/Canceled"/>
    <s v="EU"/>
    <m/>
    <m/>
    <m/>
    <m/>
    <m/>
    <m/>
    <n v="0.14112"/>
    <m/>
    <m/>
    <m/>
    <m/>
    <m/>
    <m/>
    <m/>
    <m/>
    <x v="0"/>
    <x v="1"/>
    <x v="1"/>
    <s v="SPR-BE54-HD"/>
  </r>
  <r>
    <s v="Germany"/>
    <x v="50"/>
    <s v="Sven Braunstein"/>
    <x v="3"/>
    <x v="6"/>
    <x v="1"/>
    <s v="P Class is postponed/Canceled"/>
    <s v="EU"/>
    <m/>
    <m/>
    <m/>
    <m/>
    <m/>
    <m/>
    <n v="0.14112"/>
    <m/>
    <m/>
    <m/>
    <m/>
    <m/>
    <m/>
    <m/>
    <m/>
    <x v="0"/>
    <x v="1"/>
    <x v="1"/>
    <s v="SPR-BE54-HD"/>
  </r>
  <r>
    <s v="Germany"/>
    <x v="51"/>
    <s v="Sven Braunstein"/>
    <x v="1"/>
    <x v="34"/>
    <x v="1"/>
    <m/>
    <s v="EU"/>
    <m/>
    <m/>
    <m/>
    <n v="0.2"/>
    <m/>
    <n v="0.25"/>
    <m/>
    <m/>
    <m/>
    <m/>
    <m/>
    <m/>
    <m/>
    <m/>
    <m/>
    <x v="0"/>
    <x v="1"/>
    <x v="1"/>
    <s v="P7 COM S BF IT"/>
  </r>
  <r>
    <s v="Germany"/>
    <x v="52"/>
    <m/>
    <x v="2"/>
    <x v="4"/>
    <x v="3"/>
    <s v="TCL Topcon 730"/>
    <s v="Offshore"/>
    <m/>
    <m/>
    <m/>
    <m/>
    <m/>
    <n v="4"/>
    <n v="4"/>
    <n v="4"/>
    <m/>
    <m/>
    <m/>
    <m/>
    <m/>
    <m/>
    <m/>
    <x v="0"/>
    <x v="1"/>
    <x v="1"/>
    <s v="HSM-ND66-GK"/>
  </r>
  <r>
    <s v="Germany"/>
    <x v="52"/>
    <m/>
    <x v="5"/>
    <x v="39"/>
    <x v="3"/>
    <s v="TCL T5 FB 465"/>
    <s v="Offshore"/>
    <m/>
    <m/>
    <m/>
    <m/>
    <m/>
    <n v="20"/>
    <n v="20"/>
    <n v="20"/>
    <m/>
    <m/>
    <m/>
    <m/>
    <m/>
    <m/>
    <m/>
    <x v="0"/>
    <x v="1"/>
    <x v="1"/>
    <s v="exclude"/>
  </r>
  <r>
    <s v="Germany"/>
    <x v="52"/>
    <m/>
    <x v="3"/>
    <x v="6"/>
    <x v="3"/>
    <s v="SunPower 500"/>
    <s v="Offshore"/>
    <m/>
    <m/>
    <m/>
    <m/>
    <m/>
    <n v="1"/>
    <n v="1"/>
    <n v="1"/>
    <m/>
    <m/>
    <m/>
    <m/>
    <m/>
    <m/>
    <m/>
    <x v="0"/>
    <x v="1"/>
    <x v="1"/>
    <s v="SPR-BE54-HD"/>
  </r>
  <r>
    <s v="Germany"/>
    <x v="53"/>
    <s v="TCL BC 490"/>
    <x v="0"/>
    <x v="12"/>
    <x v="3"/>
    <s v="TCL BC 490"/>
    <s v="Offshore"/>
    <m/>
    <m/>
    <m/>
    <m/>
    <m/>
    <n v="0"/>
    <n v="1"/>
    <n v="3"/>
    <n v="3"/>
    <m/>
    <m/>
    <m/>
    <m/>
    <m/>
    <m/>
    <x v="0"/>
    <x v="1"/>
    <x v="1"/>
    <s v="HSM-BE54-HD"/>
  </r>
  <r>
    <s v="Germany"/>
    <x v="53"/>
    <s v="TCL BC485"/>
    <x v="0"/>
    <x v="12"/>
    <x v="3"/>
    <s v="TCL BC 485"/>
    <s v="EU"/>
    <m/>
    <m/>
    <m/>
    <m/>
    <m/>
    <n v="0"/>
    <n v="1"/>
    <n v="1"/>
    <n v="1"/>
    <m/>
    <m/>
    <m/>
    <m/>
    <m/>
    <m/>
    <x v="0"/>
    <x v="1"/>
    <x v="1"/>
    <s v="HSM-BE54-HD"/>
  </r>
  <r>
    <s v="Germany"/>
    <x v="53"/>
    <s v="TCL BC485"/>
    <x v="0"/>
    <x v="19"/>
    <x v="3"/>
    <s v="TCL BC 650"/>
    <s v="EU"/>
    <m/>
    <m/>
    <m/>
    <m/>
    <m/>
    <n v="2"/>
    <n v="2"/>
    <n v="2"/>
    <m/>
    <m/>
    <m/>
    <m/>
    <m/>
    <m/>
    <m/>
    <x v="0"/>
    <x v="1"/>
    <x v="1"/>
    <s v="HSM-BE66-GD "/>
  </r>
  <r>
    <s v="Germany"/>
    <x v="53"/>
    <s v="TCL BC485"/>
    <x v="2"/>
    <x v="40"/>
    <x v="3"/>
    <s v="TCL Topcon 630"/>
    <s v="EU"/>
    <m/>
    <m/>
    <m/>
    <m/>
    <m/>
    <n v="2"/>
    <n v="2"/>
    <n v="2"/>
    <m/>
    <m/>
    <m/>
    <m/>
    <m/>
    <m/>
    <m/>
    <x v="0"/>
    <x v="1"/>
    <x v="1"/>
    <s v="HSM-ND66-GR"/>
  </r>
  <r>
    <s v="Germany"/>
    <x v="53"/>
    <s v="TCL BC485"/>
    <x v="2"/>
    <x v="41"/>
    <x v="3"/>
    <s v="TCL Topcon 730"/>
    <s v="EU"/>
    <m/>
    <m/>
    <m/>
    <m/>
    <m/>
    <n v="2"/>
    <n v="2"/>
    <n v="2"/>
    <m/>
    <m/>
    <m/>
    <m/>
    <m/>
    <m/>
    <m/>
    <x v="0"/>
    <x v="1"/>
    <x v="1"/>
    <s v="HSM-ND66-GK"/>
  </r>
  <r>
    <s v="Germany"/>
    <x v="54"/>
    <s v="TCL BC490"/>
    <x v="0"/>
    <x v="12"/>
    <x v="3"/>
    <s v="TCL BC 490"/>
    <s v="EU"/>
    <m/>
    <m/>
    <m/>
    <m/>
    <m/>
    <n v="0"/>
    <n v="2"/>
    <n v="1"/>
    <n v="1"/>
    <m/>
    <m/>
    <m/>
    <m/>
    <m/>
    <m/>
    <x v="0"/>
    <x v="1"/>
    <x v="1"/>
    <s v="HSM-BE54-HD"/>
  </r>
  <r>
    <s v="Germany"/>
    <x v="54"/>
    <s v="TCL BC490"/>
    <x v="2"/>
    <x v="40"/>
    <x v="3"/>
    <s v="TCL Topcon 630"/>
    <s v="EU"/>
    <m/>
    <m/>
    <m/>
    <m/>
    <m/>
    <n v="1"/>
    <n v="1"/>
    <n v="1"/>
    <m/>
    <m/>
    <m/>
    <m/>
    <m/>
    <m/>
    <m/>
    <x v="0"/>
    <x v="1"/>
    <x v="1"/>
    <s v="HSM-ND66-GR"/>
  </r>
  <r>
    <s v="Germany"/>
    <x v="54"/>
    <s v="TCL BC490"/>
    <x v="2"/>
    <x v="41"/>
    <x v="3"/>
    <s v="TCL Topcon 730"/>
    <s v="EU"/>
    <m/>
    <m/>
    <m/>
    <m/>
    <m/>
    <n v="1"/>
    <n v="1"/>
    <n v="1"/>
    <m/>
    <m/>
    <m/>
    <m/>
    <m/>
    <m/>
    <m/>
    <x v="0"/>
    <x v="1"/>
    <x v="1"/>
    <s v="HSM-ND66-GK"/>
  </r>
  <r>
    <s v="Germany"/>
    <x v="55"/>
    <m/>
    <x v="2"/>
    <x v="5"/>
    <x v="0"/>
    <m/>
    <s v="EU"/>
    <m/>
    <m/>
    <m/>
    <m/>
    <m/>
    <n v="10"/>
    <n v="10"/>
    <n v="10"/>
    <n v="20"/>
    <m/>
    <m/>
    <m/>
    <m/>
    <m/>
    <m/>
    <x v="0"/>
    <x v="1"/>
    <x v="1"/>
    <s v="HSM-ND48-DR"/>
  </r>
  <r>
    <s v="Germany"/>
    <x v="55"/>
    <m/>
    <x v="2"/>
    <x v="2"/>
    <x v="0"/>
    <m/>
    <s v="EU"/>
    <m/>
    <m/>
    <m/>
    <m/>
    <m/>
    <n v="10"/>
    <n v="10"/>
    <n v="10"/>
    <n v="70"/>
    <m/>
    <m/>
    <m/>
    <m/>
    <m/>
    <m/>
    <x v="0"/>
    <x v="1"/>
    <x v="1"/>
    <s v="HSM-ND54-DR"/>
  </r>
  <r>
    <s v="Germany"/>
    <x v="56"/>
    <m/>
    <x v="2"/>
    <x v="16"/>
    <x v="0"/>
    <m/>
    <s v="EU"/>
    <m/>
    <m/>
    <m/>
    <m/>
    <m/>
    <m/>
    <m/>
    <m/>
    <m/>
    <m/>
    <m/>
    <m/>
    <m/>
    <m/>
    <m/>
    <x v="0"/>
    <x v="1"/>
    <x v="1"/>
    <s v="HSM-ND66-GR"/>
  </r>
  <r>
    <s v="Germany"/>
    <x v="57"/>
    <m/>
    <x v="2"/>
    <x v="4"/>
    <x v="3"/>
    <m/>
    <s v="EU"/>
    <m/>
    <m/>
    <m/>
    <m/>
    <m/>
    <m/>
    <m/>
    <m/>
    <m/>
    <m/>
    <m/>
    <m/>
    <m/>
    <m/>
    <m/>
    <x v="0"/>
    <x v="1"/>
    <x v="1"/>
    <s v="HSM-ND66-GK"/>
  </r>
  <r>
    <s v="Germany"/>
    <x v="52"/>
    <m/>
    <x v="2"/>
    <x v="40"/>
    <x v="3"/>
    <s v="TCL Topcon 630"/>
    <s v="Offshore"/>
    <m/>
    <m/>
    <m/>
    <m/>
    <m/>
    <n v="4"/>
    <n v="4"/>
    <n v="4"/>
    <m/>
    <m/>
    <m/>
    <m/>
    <m/>
    <m/>
    <m/>
    <x v="0"/>
    <x v="1"/>
    <x v="1"/>
    <s v="HSM-ND66-GR"/>
  </r>
  <r>
    <s v="Germany"/>
    <x v="52"/>
    <m/>
    <x v="0"/>
    <x v="19"/>
    <x v="3"/>
    <s v="TCL BC 650"/>
    <s v="Offshore"/>
    <m/>
    <m/>
    <m/>
    <m/>
    <m/>
    <n v="3"/>
    <n v="3"/>
    <n v="3"/>
    <m/>
    <m/>
    <m/>
    <m/>
    <m/>
    <m/>
    <m/>
    <x v="0"/>
    <x v="1"/>
    <x v="1"/>
    <s v="HSM-BE66-GD "/>
  </r>
  <r>
    <s v="Germany"/>
    <x v="52"/>
    <s v="TCL BC 490"/>
    <x v="0"/>
    <x v="12"/>
    <x v="3"/>
    <s v="TCL BC 490"/>
    <s v="Offshore"/>
    <m/>
    <m/>
    <m/>
    <m/>
    <m/>
    <n v="1"/>
    <n v="3"/>
    <n v="5"/>
    <n v="5"/>
    <m/>
    <m/>
    <m/>
    <m/>
    <m/>
    <m/>
    <x v="0"/>
    <x v="1"/>
    <x v="1"/>
    <s v="HSM-BE54-HD"/>
  </r>
  <r>
    <s v="Germany"/>
    <x v="52"/>
    <s v="TCL BC 485"/>
    <x v="0"/>
    <x v="12"/>
    <x v="3"/>
    <s v="TCL BC 485"/>
    <s v="Offshore"/>
    <m/>
    <m/>
    <m/>
    <m/>
    <m/>
    <n v="1"/>
    <n v="3"/>
    <n v="10"/>
    <n v="10"/>
    <m/>
    <m/>
    <m/>
    <m/>
    <m/>
    <m/>
    <x v="0"/>
    <x v="1"/>
    <x v="1"/>
    <s v="HSM-BE54-HD"/>
  </r>
  <r>
    <s v="Germany"/>
    <x v="58"/>
    <s v="Sven Braunstein"/>
    <x v="1"/>
    <x v="8"/>
    <x v="1"/>
    <m/>
    <s v="EU"/>
    <m/>
    <m/>
    <n v="0.13100000000000001"/>
    <m/>
    <m/>
    <m/>
    <m/>
    <m/>
    <m/>
    <m/>
    <m/>
    <m/>
    <m/>
    <m/>
    <m/>
    <x v="0"/>
    <x v="1"/>
    <x v="1"/>
    <s v="P7 RES BLK 2.0"/>
  </r>
  <r>
    <s v="Germany"/>
    <x v="58"/>
    <s v="Sven Braunstein"/>
    <x v="1"/>
    <x v="1"/>
    <x v="1"/>
    <m/>
    <s v="EU"/>
    <m/>
    <m/>
    <m/>
    <m/>
    <n v="0.13247999999999999"/>
    <m/>
    <n v="0.13247999999999999"/>
    <m/>
    <m/>
    <m/>
    <m/>
    <m/>
    <m/>
    <m/>
    <m/>
    <x v="0"/>
    <x v="1"/>
    <x v="1"/>
    <s v="P7 RES BLK 2.0"/>
  </r>
  <r>
    <s v="Germany"/>
    <x v="59"/>
    <s v="Sven Braunstein"/>
    <x v="1"/>
    <x v="1"/>
    <x v="1"/>
    <s v="Canceled P Class will have impact"/>
    <s v="EU"/>
    <m/>
    <n v="0.43056"/>
    <m/>
    <m/>
    <m/>
    <n v="0.43099999999999999"/>
    <m/>
    <m/>
    <m/>
    <m/>
    <m/>
    <m/>
    <m/>
    <m/>
    <m/>
    <x v="0"/>
    <x v="1"/>
    <x v="1"/>
    <s v="P7 RES BLK 2.0"/>
  </r>
  <r>
    <s v="Germany"/>
    <x v="60"/>
    <s v="Sven Braunstein"/>
    <x v="6"/>
    <x v="26"/>
    <x v="1"/>
    <m/>
    <s v="EU"/>
    <m/>
    <m/>
    <m/>
    <m/>
    <n v="2"/>
    <n v="2"/>
    <n v="2"/>
    <n v="2"/>
    <n v="2"/>
    <m/>
    <m/>
    <m/>
    <m/>
    <m/>
    <m/>
    <x v="1"/>
    <x v="1"/>
    <x v="1"/>
    <s v="Gen2 3P 13kw"/>
  </r>
  <r>
    <s v="Germany"/>
    <x v="61"/>
    <s v="Sven Braunstein"/>
    <x v="1"/>
    <x v="1"/>
    <x v="1"/>
    <s v="Canceled P Class will have impact"/>
    <s v="EU"/>
    <m/>
    <m/>
    <n v="0.4"/>
    <m/>
    <m/>
    <n v="0.43"/>
    <m/>
    <m/>
    <m/>
    <m/>
    <m/>
    <m/>
    <m/>
    <m/>
    <m/>
    <x v="0"/>
    <x v="1"/>
    <x v="1"/>
    <s v="P7 RES BLK 2.0"/>
  </r>
  <r>
    <s v="Germany"/>
    <x v="62"/>
    <s v="Sven Braunstein"/>
    <x v="6"/>
    <x v="26"/>
    <x v="1"/>
    <s v="When 1st Installation works well"/>
    <s v="EU"/>
    <m/>
    <m/>
    <m/>
    <m/>
    <n v="2"/>
    <n v="2"/>
    <n v="2"/>
    <n v="2"/>
    <n v="2"/>
    <m/>
    <m/>
    <m/>
    <m/>
    <m/>
    <m/>
    <x v="1"/>
    <x v="1"/>
    <x v="1"/>
    <s v="Gen2 3P 13kw"/>
  </r>
  <r>
    <s v="Germany"/>
    <x v="62"/>
    <s v="Sven Braunstein"/>
    <x v="1"/>
    <x v="1"/>
    <x v="1"/>
    <m/>
    <s v="EU"/>
    <m/>
    <n v="0.13"/>
    <m/>
    <n v="0.13"/>
    <m/>
    <n v="0.13"/>
    <m/>
    <m/>
    <m/>
    <m/>
    <m/>
    <m/>
    <m/>
    <m/>
    <m/>
    <x v="0"/>
    <x v="1"/>
    <x v="1"/>
    <s v="P7 RES BLK 2.0"/>
  </r>
  <r>
    <s v="Germany"/>
    <x v="43"/>
    <s v="Matthias Doering"/>
    <x v="1"/>
    <x v="34"/>
    <x v="1"/>
    <m/>
    <s v="EU"/>
    <m/>
    <n v="0.2"/>
    <m/>
    <m/>
    <n v="0.14652000000000001"/>
    <m/>
    <m/>
    <n v="0.14652000000000001"/>
    <m/>
    <m/>
    <m/>
    <m/>
    <m/>
    <m/>
    <m/>
    <x v="0"/>
    <x v="1"/>
    <x v="1"/>
    <s v="P7 COM S BF IT"/>
  </r>
  <r>
    <s v="Germany"/>
    <x v="62"/>
    <s v="Sven Braunstein"/>
    <x v="3"/>
    <x v="6"/>
    <x v="1"/>
    <m/>
    <s v="EU"/>
    <m/>
    <m/>
    <m/>
    <m/>
    <m/>
    <m/>
    <m/>
    <n v="0.14255999999999999"/>
    <m/>
    <m/>
    <m/>
    <m/>
    <m/>
    <m/>
    <m/>
    <x v="0"/>
    <x v="1"/>
    <x v="1"/>
    <s v="SPR-BE54-HD"/>
  </r>
  <r>
    <s v="Germany"/>
    <x v="52"/>
    <m/>
    <x v="2"/>
    <x v="14"/>
    <x v="3"/>
    <m/>
    <s v="EU"/>
    <n v="2"/>
    <n v="5"/>
    <n v="5"/>
    <m/>
    <m/>
    <m/>
    <m/>
    <m/>
    <m/>
    <m/>
    <m/>
    <m/>
    <m/>
    <m/>
    <m/>
    <x v="0"/>
    <x v="1"/>
    <x v="1"/>
    <s v="HSM-ND48-DR"/>
  </r>
  <r>
    <s v="Germany"/>
    <x v="52"/>
    <m/>
    <x v="5"/>
    <x v="42"/>
    <x v="3"/>
    <n v="475"/>
    <s v="EU"/>
    <n v="2"/>
    <n v="5"/>
    <n v="5"/>
    <m/>
    <m/>
    <m/>
    <m/>
    <m/>
    <m/>
    <m/>
    <m/>
    <m/>
    <m/>
    <m/>
    <m/>
    <x v="0"/>
    <x v="1"/>
    <x v="1"/>
    <s v="exclude"/>
  </r>
  <r>
    <s v="Germany"/>
    <x v="63"/>
    <m/>
    <x v="5"/>
    <x v="39"/>
    <x v="3"/>
    <n v="465"/>
    <s v="Offshore"/>
    <n v="3"/>
    <n v="6"/>
    <n v="6"/>
    <m/>
    <m/>
    <m/>
    <m/>
    <m/>
    <m/>
    <m/>
    <m/>
    <m/>
    <m/>
    <m/>
    <m/>
    <x v="0"/>
    <x v="1"/>
    <x v="1"/>
    <s v="exclude"/>
  </r>
  <r>
    <s v="Germany"/>
    <x v="63"/>
    <m/>
    <x v="8"/>
    <x v="43"/>
    <x v="3"/>
    <s v="465/470"/>
    <s v="Offshore"/>
    <n v="30"/>
    <m/>
    <m/>
    <m/>
    <m/>
    <m/>
    <m/>
    <m/>
    <m/>
    <m/>
    <m/>
    <m/>
    <m/>
    <m/>
    <m/>
    <x v="0"/>
    <x v="1"/>
    <x v="1"/>
    <s v="TCL-MR470DT182-58NS"/>
  </r>
  <r>
    <s v="Germany"/>
    <x v="63"/>
    <m/>
    <x v="2"/>
    <x v="16"/>
    <x v="5"/>
    <m/>
    <s v="Offshore"/>
    <m/>
    <m/>
    <m/>
    <n v="9"/>
    <m/>
    <m/>
    <m/>
    <m/>
    <m/>
    <m/>
    <m/>
    <m/>
    <m/>
    <m/>
    <m/>
    <x v="0"/>
    <x v="1"/>
    <x v="1"/>
    <s v="HSM-ND66-GR"/>
  </r>
  <r>
    <s v="Germany"/>
    <x v="63"/>
    <m/>
    <x v="2"/>
    <x v="16"/>
    <x v="3"/>
    <m/>
    <s v="Offshore"/>
    <m/>
    <m/>
    <m/>
    <n v="4"/>
    <m/>
    <m/>
    <m/>
    <m/>
    <m/>
    <m/>
    <m/>
    <m/>
    <m/>
    <m/>
    <m/>
    <x v="0"/>
    <x v="1"/>
    <x v="1"/>
    <s v="HSM-ND66-GR"/>
  </r>
  <r>
    <s v="Germany"/>
    <x v="63"/>
    <m/>
    <x v="2"/>
    <x v="40"/>
    <x v="3"/>
    <m/>
    <s v="Offshore"/>
    <m/>
    <m/>
    <m/>
    <n v="6"/>
    <m/>
    <m/>
    <m/>
    <m/>
    <m/>
    <m/>
    <m/>
    <m/>
    <m/>
    <m/>
    <m/>
    <x v="0"/>
    <x v="1"/>
    <x v="1"/>
    <s v="HSM-ND66-GR"/>
  </r>
  <r>
    <s v="Germany"/>
    <x v="52"/>
    <m/>
    <x v="9"/>
    <x v="44"/>
    <x v="3"/>
    <m/>
    <s v="EU"/>
    <n v="2"/>
    <n v="5"/>
    <n v="5"/>
    <m/>
    <m/>
    <m/>
    <m/>
    <m/>
    <m/>
    <m/>
    <m/>
    <m/>
    <m/>
    <m/>
    <m/>
    <x v="0"/>
    <x v="1"/>
    <x v="1"/>
    <s v="HSM-BD54-DA"/>
  </r>
  <r>
    <s v="Germany"/>
    <x v="64"/>
    <s v="Matthias Doering"/>
    <x v="3"/>
    <x v="35"/>
    <x v="1"/>
    <m/>
    <s v="EU"/>
    <m/>
    <m/>
    <m/>
    <m/>
    <m/>
    <m/>
    <n v="4.3200000000000002E-2"/>
    <m/>
    <m/>
    <m/>
    <m/>
    <m/>
    <m/>
    <m/>
    <m/>
    <x v="0"/>
    <x v="1"/>
    <x v="1"/>
    <s v="SPR-BE66-GD"/>
  </r>
  <r>
    <s v="Germany"/>
    <x v="64"/>
    <s v="Matthias Doering"/>
    <x v="1"/>
    <x v="34"/>
    <x v="1"/>
    <m/>
    <s v="EU"/>
    <m/>
    <m/>
    <m/>
    <m/>
    <m/>
    <m/>
    <n v="0.14652000000000001"/>
    <m/>
    <m/>
    <m/>
    <m/>
    <m/>
    <m/>
    <m/>
    <m/>
    <x v="0"/>
    <x v="1"/>
    <x v="1"/>
    <s v="P7 COM S BF IT"/>
  </r>
  <r>
    <s v="Germany"/>
    <x v="64"/>
    <s v="Matthias Doering"/>
    <x v="1"/>
    <x v="18"/>
    <x v="1"/>
    <m/>
    <s v="EU"/>
    <m/>
    <m/>
    <m/>
    <m/>
    <m/>
    <m/>
    <n v="3.3989999999999999E-2"/>
    <m/>
    <m/>
    <m/>
    <m/>
    <m/>
    <m/>
    <m/>
    <m/>
    <x v="0"/>
    <x v="1"/>
    <x v="1"/>
    <s v="P7 RES BLK-P"/>
  </r>
  <r>
    <s v="Germany"/>
    <x v="65"/>
    <s v="Andreas Kauls"/>
    <x v="7"/>
    <x v="45"/>
    <x v="3"/>
    <m/>
    <s v="EU"/>
    <n v="0"/>
    <n v="0"/>
    <n v="0"/>
    <n v="0"/>
    <n v="0"/>
    <n v="0"/>
    <n v="0"/>
    <n v="0.1"/>
    <n v="0"/>
    <m/>
    <m/>
    <m/>
    <m/>
    <m/>
    <m/>
    <x v="0"/>
    <x v="1"/>
    <x v="1"/>
    <s v="SPR-BE54-DC"/>
  </r>
  <r>
    <s v="Germany"/>
    <x v="65"/>
    <s v="Andreas Kauls"/>
    <x v="10"/>
    <x v="46"/>
    <x v="3"/>
    <m/>
    <s v="EU"/>
    <n v="0"/>
    <n v="0"/>
    <n v="0"/>
    <n v="0"/>
    <n v="0"/>
    <n v="0"/>
    <n v="0"/>
    <n v="0"/>
    <n v="0"/>
    <m/>
    <m/>
    <m/>
    <m/>
    <m/>
    <m/>
    <x v="0"/>
    <x v="1"/>
    <x v="1"/>
    <s v="exclude"/>
  </r>
  <r>
    <s v="Germany"/>
    <x v="66"/>
    <s v="Andreas Kauls"/>
    <x v="1"/>
    <x v="8"/>
    <x v="1"/>
    <m/>
    <s v="EU"/>
    <n v="4"/>
    <n v="2"/>
    <n v="2"/>
    <n v="0"/>
    <n v="0"/>
    <n v="1.5"/>
    <n v="0"/>
    <n v="1.5"/>
    <n v="0"/>
    <m/>
    <m/>
    <m/>
    <m/>
    <m/>
    <m/>
    <x v="0"/>
    <x v="1"/>
    <x v="1"/>
    <s v="P7 RES BLK 2.0"/>
  </r>
  <r>
    <s v="Germany"/>
    <x v="66"/>
    <s v="Andreas Kauls"/>
    <x v="7"/>
    <x v="45"/>
    <x v="3"/>
    <m/>
    <s v="EU"/>
    <n v="0"/>
    <n v="0"/>
    <n v="0"/>
    <n v="0"/>
    <n v="0"/>
    <n v="0"/>
    <n v="1"/>
    <n v="1"/>
    <n v="1"/>
    <m/>
    <m/>
    <m/>
    <m/>
    <m/>
    <m/>
    <x v="0"/>
    <x v="1"/>
    <x v="1"/>
    <s v="SPR-BE54-DC"/>
  </r>
  <r>
    <s v="Germany"/>
    <x v="66"/>
    <s v="Andreas Kauls"/>
    <x v="10"/>
    <x v="46"/>
    <x v="3"/>
    <m/>
    <s v="EU"/>
    <n v="0"/>
    <n v="0"/>
    <n v="0"/>
    <n v="0"/>
    <n v="0"/>
    <n v="0"/>
    <n v="0"/>
    <n v="0"/>
    <n v="0"/>
    <m/>
    <m/>
    <m/>
    <m/>
    <m/>
    <m/>
    <x v="0"/>
    <x v="1"/>
    <x v="1"/>
    <s v="exclude"/>
  </r>
  <r>
    <s v="Germany"/>
    <x v="67"/>
    <s v="Andreas Kauls"/>
    <x v="7"/>
    <x v="45"/>
    <x v="3"/>
    <m/>
    <s v="EU"/>
    <n v="0"/>
    <n v="0"/>
    <n v="0"/>
    <n v="0"/>
    <n v="0"/>
    <n v="0"/>
    <n v="0.05"/>
    <n v="0.05"/>
    <n v="0.1"/>
    <m/>
    <m/>
    <m/>
    <m/>
    <m/>
    <m/>
    <x v="0"/>
    <x v="1"/>
    <x v="1"/>
    <s v="SPR-BE54-DC"/>
  </r>
  <r>
    <s v="Germany"/>
    <x v="67"/>
    <s v="Andreas Kauls"/>
    <x v="10"/>
    <x v="46"/>
    <x v="3"/>
    <m/>
    <s v="EU"/>
    <n v="0"/>
    <n v="0"/>
    <n v="0"/>
    <n v="0"/>
    <n v="0"/>
    <n v="0"/>
    <n v="0"/>
    <n v="0"/>
    <n v="0"/>
    <m/>
    <m/>
    <m/>
    <m/>
    <m/>
    <m/>
    <x v="0"/>
    <x v="1"/>
    <x v="1"/>
    <s v="exclude"/>
  </r>
  <r>
    <s v="Germany"/>
    <x v="68"/>
    <s v="Andreas Kauls"/>
    <x v="6"/>
    <x v="26"/>
    <x v="1"/>
    <m/>
    <s v="EU"/>
    <n v="10"/>
    <n v="10"/>
    <n v="10"/>
    <n v="5"/>
    <n v="5"/>
    <n v="10"/>
    <n v="5"/>
    <n v="10"/>
    <n v="5"/>
    <m/>
    <m/>
    <m/>
    <m/>
    <m/>
    <m/>
    <x v="1"/>
    <x v="1"/>
    <x v="1"/>
    <s v="Gen2 3P 13kw"/>
  </r>
  <r>
    <s v="Germany"/>
    <x v="68"/>
    <s v="Andreas Kauls"/>
    <x v="5"/>
    <x v="39"/>
    <x v="3"/>
    <m/>
    <s v="EU"/>
    <n v="0"/>
    <n v="0"/>
    <n v="0"/>
    <n v="0"/>
    <n v="0.45"/>
    <n v="0"/>
    <n v="0.45"/>
    <n v="0"/>
    <n v="0.45"/>
    <m/>
    <m/>
    <m/>
    <m/>
    <m/>
    <m/>
    <x v="0"/>
    <x v="1"/>
    <x v="1"/>
    <s v="exclude"/>
  </r>
  <r>
    <s v="Germany"/>
    <x v="69"/>
    <s v="Andreas Kauls"/>
    <x v="1"/>
    <x v="1"/>
    <x v="3"/>
    <m/>
    <s v="EU"/>
    <n v="0"/>
    <n v="0.45"/>
    <n v="0"/>
    <n v="0"/>
    <n v="0.45"/>
    <n v="0"/>
    <n v="0"/>
    <n v="0.45"/>
    <n v="0"/>
    <m/>
    <m/>
    <m/>
    <m/>
    <m/>
    <m/>
    <x v="0"/>
    <x v="1"/>
    <x v="1"/>
    <s v="P7 RES BLK 2.0"/>
  </r>
  <r>
    <s v="Germany"/>
    <x v="70"/>
    <s v="Andreas Kauls"/>
    <x v="5"/>
    <x v="39"/>
    <x v="3"/>
    <m/>
    <s v="EU"/>
    <n v="0"/>
    <n v="0"/>
    <n v="0"/>
    <n v="0"/>
    <n v="0"/>
    <n v="0.45"/>
    <n v="0"/>
    <n v="0"/>
    <n v="0.45"/>
    <m/>
    <m/>
    <m/>
    <m/>
    <m/>
    <m/>
    <x v="0"/>
    <x v="1"/>
    <x v="1"/>
    <s v="exclude"/>
  </r>
  <r>
    <s v="Germany"/>
    <x v="70"/>
    <s v="Andreas Kauls"/>
    <x v="1"/>
    <x v="34"/>
    <x v="3"/>
    <m/>
    <s v="EU"/>
    <n v="0"/>
    <n v="0"/>
    <n v="0"/>
    <n v="0"/>
    <n v="0.2"/>
    <n v="0"/>
    <n v="0"/>
    <n v="0"/>
    <n v="0"/>
    <m/>
    <m/>
    <m/>
    <m/>
    <m/>
    <m/>
    <x v="0"/>
    <x v="1"/>
    <x v="1"/>
    <s v="P7 COM S BF IT"/>
  </r>
  <r>
    <s v="Germany"/>
    <x v="70"/>
    <s v="Andreas Kauls"/>
    <x v="7"/>
    <x v="45"/>
    <x v="3"/>
    <m/>
    <s v="EU"/>
    <n v="0"/>
    <n v="0"/>
    <n v="0"/>
    <n v="0"/>
    <n v="0"/>
    <n v="0"/>
    <n v="0.2"/>
    <n v="0"/>
    <n v="0.2"/>
    <m/>
    <m/>
    <m/>
    <m/>
    <m/>
    <m/>
    <x v="0"/>
    <x v="1"/>
    <x v="1"/>
    <s v="SPR-BE54-DC"/>
  </r>
  <r>
    <s v="Germany"/>
    <x v="70"/>
    <s v="Andreas Kauls"/>
    <x v="10"/>
    <x v="46"/>
    <x v="3"/>
    <m/>
    <s v="EU"/>
    <n v="0"/>
    <n v="0"/>
    <n v="0"/>
    <n v="0"/>
    <n v="0"/>
    <n v="0"/>
    <n v="0"/>
    <n v="0"/>
    <n v="0"/>
    <m/>
    <m/>
    <m/>
    <m/>
    <m/>
    <m/>
    <x v="0"/>
    <x v="1"/>
    <x v="1"/>
    <s v="exclude"/>
  </r>
  <r>
    <s v="Germany"/>
    <x v="71"/>
    <s v="Andreas Kauls"/>
    <x v="2"/>
    <x v="14"/>
    <x v="3"/>
    <m/>
    <s v="EU"/>
    <n v="0"/>
    <n v="0"/>
    <n v="0"/>
    <n v="0.2"/>
    <n v="0"/>
    <n v="0"/>
    <n v="0"/>
    <n v="0.3"/>
    <n v="0"/>
    <m/>
    <m/>
    <m/>
    <m/>
    <m/>
    <m/>
    <x v="0"/>
    <x v="1"/>
    <x v="1"/>
    <s v="HSM-ND48-DR"/>
  </r>
  <r>
    <s v="Germany"/>
    <x v="65"/>
    <s v="Andreas Kauls"/>
    <x v="7"/>
    <x v="37"/>
    <x v="1"/>
    <m/>
    <s v="EU"/>
    <n v="0"/>
    <n v="0"/>
    <n v="0.02"/>
    <n v="0"/>
    <n v="0"/>
    <n v="0"/>
    <n v="0"/>
    <n v="0"/>
    <n v="0"/>
    <m/>
    <m/>
    <m/>
    <m/>
    <m/>
    <m/>
    <x v="0"/>
    <x v="1"/>
    <x v="1"/>
    <s v="exclude"/>
  </r>
  <r>
    <s v="Germany"/>
    <x v="65"/>
    <s v="Andreas Kauls"/>
    <x v="1"/>
    <x v="1"/>
    <x v="1"/>
    <m/>
    <s v="EU"/>
    <n v="0.05"/>
    <n v="0"/>
    <n v="0"/>
    <n v="0.1"/>
    <n v="0"/>
    <n v="0"/>
    <n v="0.1"/>
    <n v="0"/>
    <n v="0"/>
    <m/>
    <m/>
    <m/>
    <m/>
    <m/>
    <m/>
    <x v="0"/>
    <x v="1"/>
    <x v="1"/>
    <s v="P7 RES BLK 2.0"/>
  </r>
  <r>
    <s v="Germany"/>
    <x v="72"/>
    <s v="Andreas Kauls"/>
    <x v="1"/>
    <x v="34"/>
    <x v="1"/>
    <m/>
    <s v="EU"/>
    <n v="0"/>
    <n v="0"/>
    <n v="0.4"/>
    <n v="0"/>
    <n v="0"/>
    <n v="0.4"/>
    <n v="0"/>
    <n v="0"/>
    <n v="0"/>
    <m/>
    <m/>
    <m/>
    <m/>
    <m/>
    <m/>
    <x v="0"/>
    <x v="1"/>
    <x v="1"/>
    <s v="P7 COM S BF IT"/>
  </r>
  <r>
    <s v="Germany"/>
    <x v="73"/>
    <s v="Andreas Kauls"/>
    <x v="10"/>
    <x v="46"/>
    <x v="3"/>
    <m/>
    <s v="EU"/>
    <n v="0"/>
    <n v="0"/>
    <n v="0.1"/>
    <n v="0"/>
    <n v="0"/>
    <n v="0"/>
    <n v="0"/>
    <n v="0"/>
    <n v="0"/>
    <m/>
    <m/>
    <m/>
    <m/>
    <m/>
    <m/>
    <x v="0"/>
    <x v="1"/>
    <x v="1"/>
    <s v="exclude"/>
  </r>
  <r>
    <s v="Germany"/>
    <x v="74"/>
    <s v="Andreas Kauls"/>
    <x v="1"/>
    <x v="34"/>
    <x v="1"/>
    <m/>
    <s v="EU"/>
    <n v="0"/>
    <n v="0"/>
    <n v="0.1"/>
    <n v="0"/>
    <n v="0"/>
    <n v="0"/>
    <n v="0"/>
    <n v="0.3"/>
    <n v="0"/>
    <m/>
    <m/>
    <m/>
    <m/>
    <m/>
    <m/>
    <x v="0"/>
    <x v="1"/>
    <x v="1"/>
    <s v="P7 COM S BF IT"/>
  </r>
  <r>
    <s v="Germany"/>
    <x v="74"/>
    <s v="Andreas Kauls"/>
    <x v="7"/>
    <x v="45"/>
    <x v="3"/>
    <m/>
    <s v="EU"/>
    <n v="0"/>
    <n v="0"/>
    <n v="0"/>
    <n v="0"/>
    <n v="0"/>
    <n v="0"/>
    <n v="0.1"/>
    <n v="0"/>
    <n v="0.1"/>
    <m/>
    <m/>
    <m/>
    <m/>
    <m/>
    <m/>
    <x v="0"/>
    <x v="1"/>
    <x v="1"/>
    <s v="SPR-BE54-DC"/>
  </r>
  <r>
    <s v="Germany"/>
    <x v="74"/>
    <s v="Andreas Kauls"/>
    <x v="10"/>
    <x v="46"/>
    <x v="3"/>
    <m/>
    <s v="EU"/>
    <n v="0"/>
    <n v="0"/>
    <n v="0"/>
    <n v="0"/>
    <n v="0"/>
    <n v="0"/>
    <n v="0"/>
    <n v="0"/>
    <n v="0"/>
    <m/>
    <m/>
    <m/>
    <m/>
    <m/>
    <m/>
    <x v="0"/>
    <x v="1"/>
    <x v="1"/>
    <s v="exclude"/>
  </r>
  <r>
    <s v="Germany"/>
    <x v="75"/>
    <s v="Andreas Kauls"/>
    <x v="1"/>
    <x v="34"/>
    <x v="1"/>
    <m/>
    <s v="EU"/>
    <n v="0"/>
    <n v="0"/>
    <n v="0.4"/>
    <n v="0"/>
    <n v="0.3"/>
    <n v="0"/>
    <n v="0"/>
    <n v="0.3"/>
    <n v="0"/>
    <m/>
    <m/>
    <m/>
    <m/>
    <m/>
    <m/>
    <x v="0"/>
    <x v="1"/>
    <x v="1"/>
    <s v="P7 COM S BF IT"/>
  </r>
  <r>
    <s v="Germany"/>
    <x v="75"/>
    <s v="Andreas Kauls"/>
    <x v="7"/>
    <x v="37"/>
    <x v="1"/>
    <m/>
    <s v="EU"/>
    <n v="0.4"/>
    <n v="0"/>
    <n v="0"/>
    <n v="0"/>
    <n v="0.1"/>
    <n v="0"/>
    <n v="0"/>
    <n v="0"/>
    <n v="0"/>
    <m/>
    <m/>
    <m/>
    <m/>
    <m/>
    <m/>
    <x v="0"/>
    <x v="1"/>
    <x v="1"/>
    <s v="exclude"/>
  </r>
  <r>
    <s v="Germany"/>
    <x v="75"/>
    <s v="Andreas Kauls"/>
    <x v="7"/>
    <x v="45"/>
    <x v="3"/>
    <m/>
    <s v="EU"/>
    <n v="0"/>
    <n v="0"/>
    <n v="0"/>
    <n v="0"/>
    <n v="0"/>
    <n v="0"/>
    <n v="0.1"/>
    <n v="0.1"/>
    <n v="0.1"/>
    <m/>
    <m/>
    <m/>
    <m/>
    <m/>
    <m/>
    <x v="0"/>
    <x v="1"/>
    <x v="1"/>
    <s v="SPR-BE54-DC"/>
  </r>
  <r>
    <s v="Germany"/>
    <x v="75"/>
    <s v="Andreas Kauls"/>
    <x v="10"/>
    <x v="46"/>
    <x v="3"/>
    <m/>
    <s v="EU"/>
    <n v="0"/>
    <n v="0"/>
    <n v="0.4"/>
    <n v="0"/>
    <n v="0"/>
    <n v="0"/>
    <n v="0"/>
    <n v="0"/>
    <n v="0"/>
    <m/>
    <m/>
    <m/>
    <m/>
    <m/>
    <m/>
    <x v="0"/>
    <x v="1"/>
    <x v="1"/>
    <s v="exclude"/>
  </r>
  <r>
    <s v="Germany"/>
    <x v="71"/>
    <s v="Andreas Kauls"/>
    <x v="7"/>
    <x v="45"/>
    <x v="3"/>
    <m/>
    <s v="EU"/>
    <n v="0"/>
    <n v="0"/>
    <n v="0"/>
    <n v="0"/>
    <n v="0"/>
    <n v="0"/>
    <n v="0"/>
    <n v="0.1"/>
    <n v="0"/>
    <m/>
    <m/>
    <m/>
    <m/>
    <m/>
    <m/>
    <x v="0"/>
    <x v="1"/>
    <x v="1"/>
    <s v="SPR-BE54-DC"/>
  </r>
  <r>
    <s v="Germany"/>
    <x v="76"/>
    <s v="Andreas Kauls"/>
    <x v="1"/>
    <x v="1"/>
    <x v="1"/>
    <m/>
    <s v="EU"/>
    <n v="0"/>
    <n v="0.05"/>
    <n v="0"/>
    <n v="0"/>
    <n v="0"/>
    <n v="0.1"/>
    <n v="0"/>
    <n v="0"/>
    <n v="0"/>
    <m/>
    <m/>
    <m/>
    <m/>
    <m/>
    <m/>
    <x v="0"/>
    <x v="1"/>
    <x v="1"/>
    <s v="P7 RES BLK 2.0"/>
  </r>
  <r>
    <s v="Germany"/>
    <x v="76"/>
    <s v="Andreas Kauls"/>
    <x v="7"/>
    <x v="45"/>
    <x v="3"/>
    <m/>
    <s v="EU"/>
    <n v="0"/>
    <n v="0"/>
    <n v="0"/>
    <n v="0"/>
    <n v="0"/>
    <n v="0"/>
    <n v="0.1"/>
    <n v="0"/>
    <n v="0.1"/>
    <m/>
    <m/>
    <m/>
    <m/>
    <m/>
    <m/>
    <x v="0"/>
    <x v="1"/>
    <x v="1"/>
    <s v="SPR-BE54-DC"/>
  </r>
  <r>
    <s v="Germany"/>
    <x v="76"/>
    <s v="Andreas Kauls"/>
    <x v="10"/>
    <x v="46"/>
    <x v="3"/>
    <m/>
    <s v="EU"/>
    <n v="0"/>
    <n v="0"/>
    <n v="0.05"/>
    <n v="0"/>
    <n v="0"/>
    <n v="0"/>
    <n v="0"/>
    <n v="0"/>
    <n v="0"/>
    <m/>
    <m/>
    <m/>
    <m/>
    <m/>
    <m/>
    <x v="0"/>
    <x v="1"/>
    <x v="1"/>
    <s v="exclude"/>
  </r>
  <r>
    <s v="Germany"/>
    <x v="77"/>
    <s v="Andreas Kauls"/>
    <x v="5"/>
    <x v="39"/>
    <x v="5"/>
    <m/>
    <s v="EU"/>
    <n v="0"/>
    <n v="0"/>
    <n v="0"/>
    <n v="0"/>
    <n v="0"/>
    <n v="1"/>
    <n v="0"/>
    <n v="1"/>
    <n v="0"/>
    <m/>
    <m/>
    <m/>
    <m/>
    <m/>
    <m/>
    <x v="0"/>
    <x v="1"/>
    <x v="1"/>
    <s v="exclude"/>
  </r>
  <r>
    <s v="Germany"/>
    <x v="77"/>
    <s v="Andreas Kauls"/>
    <x v="8"/>
    <x v="43"/>
    <x v="3"/>
    <m/>
    <s v="EU"/>
    <n v="0"/>
    <n v="0.4"/>
    <n v="0"/>
    <n v="0"/>
    <n v="0"/>
    <n v="0"/>
    <n v="0"/>
    <n v="0"/>
    <n v="0"/>
    <m/>
    <m/>
    <m/>
    <m/>
    <m/>
    <m/>
    <x v="0"/>
    <x v="1"/>
    <x v="1"/>
    <s v="TCL-MR470DT182-58NS"/>
  </r>
  <r>
    <s v="Germany"/>
    <x v="78"/>
    <s v="Andreas Kauls"/>
    <x v="7"/>
    <x v="37"/>
    <x v="1"/>
    <m/>
    <s v="EU"/>
    <n v="0.01"/>
    <n v="0"/>
    <n v="0.02"/>
    <n v="0"/>
    <n v="0"/>
    <n v="0"/>
    <n v="0"/>
    <n v="0"/>
    <n v="0"/>
    <m/>
    <m/>
    <m/>
    <m/>
    <m/>
    <m/>
    <x v="0"/>
    <x v="1"/>
    <x v="1"/>
    <s v="exclude"/>
  </r>
  <r>
    <s v="Germany"/>
    <x v="78"/>
    <s v="Andreas Kauls"/>
    <x v="7"/>
    <x v="45"/>
    <x v="3"/>
    <m/>
    <s v="EU"/>
    <n v="0"/>
    <n v="0"/>
    <n v="0"/>
    <n v="0"/>
    <n v="0"/>
    <n v="0"/>
    <n v="0.05"/>
    <n v="0"/>
    <n v="0.05"/>
    <m/>
    <m/>
    <m/>
    <m/>
    <m/>
    <m/>
    <x v="0"/>
    <x v="1"/>
    <x v="1"/>
    <s v="SPR-BE54-DC"/>
  </r>
  <r>
    <s v="Germany"/>
    <x v="73"/>
    <s v="Andreas Kauls"/>
    <x v="7"/>
    <x v="45"/>
    <x v="3"/>
    <m/>
    <s v="EU"/>
    <n v="0"/>
    <n v="0"/>
    <n v="0"/>
    <n v="0"/>
    <n v="0"/>
    <n v="0"/>
    <n v="0.1"/>
    <n v="0"/>
    <n v="0.1"/>
    <m/>
    <m/>
    <m/>
    <m/>
    <m/>
    <m/>
    <x v="0"/>
    <x v="1"/>
    <x v="1"/>
    <s v="SPR-BE54-DC"/>
  </r>
  <r>
    <s v="Germany"/>
    <x v="76"/>
    <s v="Andreas Kauls"/>
    <x v="7"/>
    <x v="37"/>
    <x v="1"/>
    <m/>
    <s v="EU"/>
    <n v="0.02"/>
    <n v="0"/>
    <n v="0.02"/>
    <n v="0"/>
    <n v="0"/>
    <n v="0"/>
    <n v="0"/>
    <n v="0"/>
    <n v="0"/>
    <m/>
    <m/>
    <m/>
    <m/>
    <m/>
    <m/>
    <x v="0"/>
    <x v="1"/>
    <x v="1"/>
    <s v="exclude"/>
  </r>
  <r>
    <s v="Germany"/>
    <x v="79"/>
    <m/>
    <x v="2"/>
    <x v="47"/>
    <x v="0"/>
    <m/>
    <s v="EU"/>
    <m/>
    <m/>
    <m/>
    <m/>
    <m/>
    <m/>
    <m/>
    <m/>
    <m/>
    <m/>
    <m/>
    <m/>
    <m/>
    <m/>
    <m/>
    <x v="0"/>
    <x v="1"/>
    <x v="1"/>
    <s v="HSM-ND48-DR"/>
  </r>
  <r>
    <s v="Germany"/>
    <x v="80"/>
    <s v="Andreas Kauls"/>
    <x v="5"/>
    <x v="39"/>
    <x v="3"/>
    <m/>
    <s v="EU"/>
    <n v="0"/>
    <n v="0"/>
    <n v="0"/>
    <n v="0"/>
    <n v="0"/>
    <n v="1"/>
    <n v="0"/>
    <n v="1"/>
    <n v="0"/>
    <m/>
    <m/>
    <m/>
    <m/>
    <m/>
    <m/>
    <x v="0"/>
    <x v="1"/>
    <x v="1"/>
    <s v="exclude"/>
  </r>
  <r>
    <s v="Germany"/>
    <x v="81"/>
    <s v="Andreas Kauls"/>
    <x v="7"/>
    <x v="45"/>
    <x v="3"/>
    <m/>
    <s v="EU"/>
    <n v="0"/>
    <n v="0"/>
    <n v="0"/>
    <n v="0"/>
    <n v="0"/>
    <n v="0"/>
    <n v="0"/>
    <n v="0.05"/>
    <n v="0"/>
    <m/>
    <m/>
    <m/>
    <m/>
    <m/>
    <m/>
    <x v="0"/>
    <x v="1"/>
    <x v="1"/>
    <s v="SPR-BE54-DC"/>
  </r>
  <r>
    <s v="Germany"/>
    <x v="82"/>
    <s v="Matthias Doering"/>
    <x v="1"/>
    <x v="18"/>
    <x v="1"/>
    <m/>
    <s v="EU"/>
    <n v="5.5620000000000003E-2"/>
    <m/>
    <n v="5.5620000000000003E-2"/>
    <m/>
    <n v="7.4160000000000004E-2"/>
    <m/>
    <m/>
    <n v="7.4160000000000004E-2"/>
    <m/>
    <m/>
    <m/>
    <m/>
    <m/>
    <m/>
    <m/>
    <x v="0"/>
    <x v="1"/>
    <x v="1"/>
    <s v="P7 RES BLK-P"/>
  </r>
  <r>
    <s v="Germany"/>
    <x v="82"/>
    <s v="Matthias Doering"/>
    <x v="1"/>
    <x v="34"/>
    <x v="1"/>
    <m/>
    <s v="EU"/>
    <m/>
    <m/>
    <m/>
    <n v="0.10989"/>
    <m/>
    <m/>
    <n v="0.10989"/>
    <m/>
    <m/>
    <m/>
    <m/>
    <m/>
    <m/>
    <m/>
    <m/>
    <x v="0"/>
    <x v="1"/>
    <x v="1"/>
    <s v="P7 COM S BF IT"/>
  </r>
  <r>
    <s v="Germany"/>
    <x v="82"/>
    <s v="Matthias Doering"/>
    <x v="3"/>
    <x v="6"/>
    <x v="1"/>
    <m/>
    <s v="EU"/>
    <m/>
    <m/>
    <m/>
    <m/>
    <n v="3.5639999999999998E-2"/>
    <m/>
    <m/>
    <n v="3.5639999999999998E-2"/>
    <m/>
    <m/>
    <m/>
    <m/>
    <m/>
    <m/>
    <m/>
    <x v="0"/>
    <x v="1"/>
    <x v="1"/>
    <s v="SPR-BE54-HD"/>
  </r>
  <r>
    <s v="Germany"/>
    <x v="82"/>
    <s v="Matthias Doering"/>
    <x v="3"/>
    <x v="35"/>
    <x v="1"/>
    <m/>
    <s v="EU"/>
    <m/>
    <m/>
    <m/>
    <m/>
    <m/>
    <m/>
    <m/>
    <m/>
    <m/>
    <m/>
    <m/>
    <m/>
    <m/>
    <m/>
    <m/>
    <x v="0"/>
    <x v="1"/>
    <x v="1"/>
    <s v="SPR-BE66-GD"/>
  </r>
  <r>
    <s v="Germany"/>
    <x v="83"/>
    <s v="Matthias Doering"/>
    <x v="10"/>
    <x v="48"/>
    <x v="1"/>
    <m/>
    <s v="EU"/>
    <n v="0.19139999999999999"/>
    <m/>
    <m/>
    <m/>
    <m/>
    <m/>
    <m/>
    <m/>
    <m/>
    <m/>
    <m/>
    <m/>
    <m/>
    <m/>
    <m/>
    <x v="0"/>
    <x v="1"/>
    <x v="1"/>
    <s v="exclude"/>
  </r>
  <r>
    <s v="Germany"/>
    <x v="84"/>
    <s v="Matthias Doering"/>
    <x v="1"/>
    <x v="1"/>
    <x v="1"/>
    <m/>
    <s v="EU"/>
    <m/>
    <n v="0.13247999999999999"/>
    <m/>
    <n v="0.13247999999999999"/>
    <m/>
    <m/>
    <n v="0.13247999999999999"/>
    <m/>
    <m/>
    <m/>
    <m/>
    <m/>
    <m/>
    <m/>
    <m/>
    <x v="0"/>
    <x v="1"/>
    <x v="1"/>
    <s v="P7 RES BLK 2.0"/>
  </r>
  <r>
    <s v="Germany"/>
    <x v="84"/>
    <s v="Matthias Doering"/>
    <x v="1"/>
    <x v="18"/>
    <x v="1"/>
    <m/>
    <s v="EU"/>
    <m/>
    <m/>
    <m/>
    <n v="3.7080000000000002E-2"/>
    <m/>
    <m/>
    <n v="3.7080000000000002E-2"/>
    <m/>
    <m/>
    <m/>
    <m/>
    <m/>
    <m/>
    <m/>
    <m/>
    <x v="0"/>
    <x v="1"/>
    <x v="1"/>
    <s v="P7 RES BLK-P"/>
  </r>
  <r>
    <s v="Germany"/>
    <x v="84"/>
    <s v="Matthias Doering"/>
    <x v="1"/>
    <x v="34"/>
    <x v="1"/>
    <m/>
    <s v="EU"/>
    <m/>
    <m/>
    <n v="0.10989"/>
    <m/>
    <m/>
    <n v="0.10989"/>
    <m/>
    <m/>
    <m/>
    <m/>
    <m/>
    <m/>
    <m/>
    <m/>
    <m/>
    <x v="0"/>
    <x v="1"/>
    <x v="1"/>
    <s v="P7 COM S BF IT"/>
  </r>
  <r>
    <s v="Germany"/>
    <x v="84"/>
    <s v="Matthias Doering"/>
    <x v="3"/>
    <x v="6"/>
    <x v="1"/>
    <m/>
    <s v="EU"/>
    <m/>
    <m/>
    <m/>
    <m/>
    <m/>
    <m/>
    <m/>
    <m/>
    <m/>
    <m/>
    <m/>
    <m/>
    <m/>
    <m/>
    <m/>
    <x v="0"/>
    <x v="1"/>
    <x v="1"/>
    <s v="SPR-BE54-HD"/>
  </r>
  <r>
    <s v="Germany"/>
    <x v="85"/>
    <s v="Matthias Doering"/>
    <x v="1"/>
    <x v="1"/>
    <x v="1"/>
    <m/>
    <s v="EU"/>
    <m/>
    <m/>
    <n v="0.13247999999999999"/>
    <m/>
    <n v="0.13247999999999999"/>
    <m/>
    <m/>
    <n v="6.6239999999999993E-2"/>
    <m/>
    <m/>
    <m/>
    <m/>
    <m/>
    <m/>
    <m/>
    <x v="0"/>
    <x v="1"/>
    <x v="1"/>
    <s v="P7 RES BLK 2.0"/>
  </r>
  <r>
    <s v="Germany"/>
    <x v="85"/>
    <s v="Matthias Doering"/>
    <x v="1"/>
    <x v="18"/>
    <x v="1"/>
    <m/>
    <s v="EU"/>
    <m/>
    <m/>
    <n v="3.7080000000000002E-2"/>
    <m/>
    <n v="3.7080000000000002E-2"/>
    <m/>
    <m/>
    <n v="3.7080000000000002E-2"/>
    <m/>
    <m/>
    <m/>
    <m/>
    <m/>
    <m/>
    <m/>
    <x v="0"/>
    <x v="1"/>
    <x v="1"/>
    <s v="P7 RES BLK-P"/>
  </r>
  <r>
    <s v="Germany"/>
    <x v="85"/>
    <s v="Matthias Doering"/>
    <x v="1"/>
    <x v="34"/>
    <x v="1"/>
    <m/>
    <s v="EU"/>
    <m/>
    <m/>
    <n v="3.6630000000000003E-2"/>
    <m/>
    <n v="3.6630000000000003E-2"/>
    <m/>
    <m/>
    <n v="3.6630000000000003E-2"/>
    <m/>
    <m/>
    <m/>
    <m/>
    <m/>
    <m/>
    <m/>
    <x v="0"/>
    <x v="1"/>
    <x v="1"/>
    <s v="P7 COM S BF IT"/>
  </r>
  <r>
    <s v="Germany"/>
    <x v="85"/>
    <s v="Matthias Doering"/>
    <x v="3"/>
    <x v="6"/>
    <x v="1"/>
    <m/>
    <s v="EU"/>
    <m/>
    <m/>
    <m/>
    <m/>
    <n v="3.5639999999999998E-2"/>
    <m/>
    <m/>
    <n v="3.5639999999999998E-2"/>
    <m/>
    <m/>
    <m/>
    <m/>
    <m/>
    <m/>
    <m/>
    <x v="0"/>
    <x v="1"/>
    <x v="1"/>
    <s v="SPR-BE54-HD"/>
  </r>
  <r>
    <s v="Germany"/>
    <x v="85"/>
    <s v="Matthias Doering"/>
    <x v="3"/>
    <x v="35"/>
    <x v="1"/>
    <m/>
    <s v="EU"/>
    <m/>
    <m/>
    <m/>
    <m/>
    <n v="4.3200000000000002E-2"/>
    <m/>
    <m/>
    <m/>
    <m/>
    <m/>
    <m/>
    <m/>
    <m/>
    <m/>
    <m/>
    <x v="0"/>
    <x v="1"/>
    <x v="1"/>
    <s v="SPR-BE66-GD"/>
  </r>
  <r>
    <s v="Germany"/>
    <x v="86"/>
    <s v="Matthias Doering"/>
    <x v="1"/>
    <x v="1"/>
    <x v="1"/>
    <m/>
    <s v="EU"/>
    <m/>
    <m/>
    <m/>
    <m/>
    <m/>
    <n v="3.3119999999999997E-2"/>
    <m/>
    <m/>
    <m/>
    <m/>
    <m/>
    <m/>
    <m/>
    <m/>
    <m/>
    <x v="0"/>
    <x v="1"/>
    <x v="1"/>
    <s v="P7 RES BLK 2.0"/>
  </r>
  <r>
    <s v="Germany"/>
    <x v="82"/>
    <s v="Matthias Doering"/>
    <x v="1"/>
    <x v="1"/>
    <x v="1"/>
    <m/>
    <s v="EU"/>
    <m/>
    <m/>
    <n v="6.6239999999999993E-2"/>
    <m/>
    <n v="6.6239999999999993E-2"/>
    <m/>
    <m/>
    <n v="6.6239999999999993E-2"/>
    <m/>
    <m/>
    <m/>
    <m/>
    <m/>
    <m/>
    <m/>
    <x v="0"/>
    <x v="1"/>
    <x v="1"/>
    <s v="P7 RES BLK 2.0"/>
  </r>
  <r>
    <s v="Germany"/>
    <x v="87"/>
    <s v="Matthias Doering"/>
    <x v="3"/>
    <x v="6"/>
    <x v="1"/>
    <m/>
    <s v="EU"/>
    <m/>
    <m/>
    <m/>
    <m/>
    <n v="3.5639999999999998E-2"/>
    <m/>
    <m/>
    <n v="3.5639999999999998E-2"/>
    <m/>
    <m/>
    <m/>
    <m/>
    <m/>
    <m/>
    <m/>
    <x v="0"/>
    <x v="1"/>
    <x v="1"/>
    <s v="SPR-BE54-HD"/>
  </r>
  <r>
    <s v="Germany"/>
    <x v="87"/>
    <s v="Matthias Doering"/>
    <x v="1"/>
    <x v="18"/>
    <x v="1"/>
    <m/>
    <s v="EU"/>
    <m/>
    <n v="7.4160000000000004E-2"/>
    <m/>
    <m/>
    <n v="7.4160000000000004E-2"/>
    <m/>
    <m/>
    <n v="7.4160000000000004E-2"/>
    <m/>
    <m/>
    <m/>
    <m/>
    <m/>
    <m/>
    <m/>
    <x v="0"/>
    <x v="1"/>
    <x v="1"/>
    <s v="P7 RES BLK-P"/>
  </r>
  <r>
    <s v="Germany"/>
    <x v="87"/>
    <s v="Matthias Doering"/>
    <x v="1"/>
    <x v="1"/>
    <x v="1"/>
    <m/>
    <s v="EU"/>
    <m/>
    <n v="6.6239999999999993E-2"/>
    <m/>
    <m/>
    <n v="6.6239999999999993E-2"/>
    <m/>
    <m/>
    <n v="6.6239999999999993E-2"/>
    <m/>
    <m/>
    <m/>
    <m/>
    <m/>
    <m/>
    <m/>
    <x v="0"/>
    <x v="1"/>
    <x v="1"/>
    <s v="P7 RES BLK 2.0"/>
  </r>
  <r>
    <s v="Germany"/>
    <x v="88"/>
    <s v="Andreas Kauls"/>
    <x v="5"/>
    <x v="39"/>
    <x v="3"/>
    <m/>
    <s v="EU"/>
    <n v="0"/>
    <n v="0"/>
    <n v="0"/>
    <n v="0"/>
    <n v="0.45"/>
    <n v="0"/>
    <n v="0"/>
    <n v="0.45"/>
    <n v="0"/>
    <m/>
    <m/>
    <m/>
    <m/>
    <m/>
    <m/>
    <x v="0"/>
    <x v="1"/>
    <x v="1"/>
    <s v="exclude"/>
  </r>
  <r>
    <s v="Germany"/>
    <x v="88"/>
    <s v="Andreas Kauls"/>
    <x v="7"/>
    <x v="45"/>
    <x v="3"/>
    <m/>
    <s v="EU"/>
    <n v="0"/>
    <n v="0"/>
    <n v="0"/>
    <n v="0"/>
    <n v="0"/>
    <n v="0"/>
    <n v="0.1"/>
    <n v="0"/>
    <n v="0.1"/>
    <m/>
    <m/>
    <m/>
    <m/>
    <m/>
    <m/>
    <x v="0"/>
    <x v="1"/>
    <x v="1"/>
    <s v="SPR-BE54-DC"/>
  </r>
  <r>
    <s v="Germany"/>
    <x v="89"/>
    <s v="Andreas Kauls"/>
    <x v="5"/>
    <x v="39"/>
    <x v="3"/>
    <m/>
    <s v="EU"/>
    <n v="0"/>
    <n v="0"/>
    <n v="0"/>
    <n v="0"/>
    <n v="0.45"/>
    <n v="0"/>
    <n v="0.45"/>
    <n v="0"/>
    <n v="0.45"/>
    <m/>
    <m/>
    <m/>
    <m/>
    <m/>
    <m/>
    <x v="0"/>
    <x v="1"/>
    <x v="1"/>
    <s v="exclude"/>
  </r>
  <r>
    <s v="Germany"/>
    <x v="90"/>
    <s v="Andreas Kauls"/>
    <x v="2"/>
    <x v="17"/>
    <x v="3"/>
    <m/>
    <s v="EU"/>
    <n v="0"/>
    <n v="0"/>
    <n v="0"/>
    <n v="0"/>
    <n v="0"/>
    <n v="0.7"/>
    <n v="0"/>
    <n v="0"/>
    <n v="0"/>
    <m/>
    <m/>
    <m/>
    <m/>
    <m/>
    <m/>
    <x v="0"/>
    <x v="1"/>
    <x v="1"/>
    <s v="HSM-ND66-GR"/>
  </r>
  <r>
    <s v="Germany"/>
    <x v="90"/>
    <s v="Andreas Kauls"/>
    <x v="7"/>
    <x v="45"/>
    <x v="3"/>
    <m/>
    <s v="EU"/>
    <n v="0"/>
    <n v="0"/>
    <n v="0"/>
    <n v="0"/>
    <n v="0"/>
    <n v="0"/>
    <n v="0.1"/>
    <n v="0"/>
    <n v="0.1"/>
    <m/>
    <m/>
    <m/>
    <m/>
    <m/>
    <m/>
    <x v="0"/>
    <x v="1"/>
    <x v="1"/>
    <s v="SPR-BE54-DC"/>
  </r>
  <r>
    <s v="Germany"/>
    <x v="91"/>
    <s v="Andreas Kauls"/>
    <x v="1"/>
    <x v="1"/>
    <x v="3"/>
    <m/>
    <s v="EU"/>
    <n v="0"/>
    <n v="0.02"/>
    <n v="0"/>
    <n v="0"/>
    <n v="0"/>
    <n v="0.03"/>
    <n v="0"/>
    <n v="0"/>
    <n v="0"/>
    <m/>
    <m/>
    <m/>
    <m/>
    <m/>
    <m/>
    <x v="0"/>
    <x v="1"/>
    <x v="1"/>
    <s v="P7 RES BLK 2.0"/>
  </r>
  <r>
    <s v="Germany"/>
    <x v="91"/>
    <s v="Andreas Kauls"/>
    <x v="7"/>
    <x v="45"/>
    <x v="3"/>
    <m/>
    <s v="EU"/>
    <n v="0"/>
    <n v="0"/>
    <n v="0"/>
    <n v="0"/>
    <n v="0"/>
    <n v="0"/>
    <n v="0.05"/>
    <n v="0"/>
    <n v="0.05"/>
    <m/>
    <m/>
    <m/>
    <m/>
    <m/>
    <m/>
    <x v="0"/>
    <x v="1"/>
    <x v="1"/>
    <s v="SPR-BE54-DC"/>
  </r>
  <r>
    <s v="Germany"/>
    <x v="81"/>
    <s v="Andreas Kauls"/>
    <x v="6"/>
    <x v="26"/>
    <x v="3"/>
    <m/>
    <s v="EU"/>
    <n v="0"/>
    <n v="1"/>
    <n v="1"/>
    <n v="0"/>
    <n v="1"/>
    <n v="0"/>
    <n v="0"/>
    <n v="1"/>
    <n v="0"/>
    <m/>
    <m/>
    <m/>
    <m/>
    <m/>
    <m/>
    <x v="1"/>
    <x v="1"/>
    <x v="1"/>
    <s v="Gen2 3P 13kw"/>
  </r>
  <r>
    <s v="Germany"/>
    <x v="92"/>
    <s v="Andreas Kauls"/>
    <x v="1"/>
    <x v="1"/>
    <x v="3"/>
    <m/>
    <s v="EU"/>
    <n v="0"/>
    <n v="0.03"/>
    <n v="0"/>
    <n v="0"/>
    <n v="0.03"/>
    <n v="0"/>
    <n v="0"/>
    <n v="0"/>
    <n v="0"/>
    <m/>
    <m/>
    <m/>
    <m/>
    <m/>
    <m/>
    <x v="0"/>
    <x v="1"/>
    <x v="1"/>
    <s v="P7 RES BLK 2.0"/>
  </r>
  <r>
    <s v="Germany"/>
    <x v="93"/>
    <s v="Andreas Kauls"/>
    <x v="5"/>
    <x v="39"/>
    <x v="3"/>
    <m/>
    <s v="EU"/>
    <n v="0"/>
    <n v="0"/>
    <n v="0"/>
    <n v="0"/>
    <n v="0"/>
    <n v="0.45"/>
    <n v="0"/>
    <n v="0"/>
    <n v="0"/>
    <m/>
    <m/>
    <m/>
    <m/>
    <m/>
    <m/>
    <x v="0"/>
    <x v="1"/>
    <x v="1"/>
    <s v="exclude"/>
  </r>
  <r>
    <s v="Germany"/>
    <x v="93"/>
    <s v="Andreas Kauls"/>
    <x v="7"/>
    <x v="45"/>
    <x v="3"/>
    <m/>
    <s v="EU"/>
    <n v="0"/>
    <n v="0"/>
    <n v="0"/>
    <n v="0"/>
    <n v="0"/>
    <n v="0"/>
    <n v="0.1"/>
    <n v="0.1"/>
    <n v="0.1"/>
    <m/>
    <m/>
    <m/>
    <m/>
    <m/>
    <m/>
    <x v="0"/>
    <x v="1"/>
    <x v="1"/>
    <s v="SPR-BE54-DC"/>
  </r>
  <r>
    <s v="Germany"/>
    <x v="94"/>
    <s v="Matthias Doering"/>
    <x v="1"/>
    <x v="1"/>
    <x v="1"/>
    <m/>
    <s v="EU"/>
    <n v="4.9680000000000002E-2"/>
    <m/>
    <m/>
    <n v="6.6239999999999993E-2"/>
    <m/>
    <n v="6.6239999999999993E-2"/>
    <m/>
    <n v="6.6239999999999993E-2"/>
    <m/>
    <m/>
    <m/>
    <m/>
    <m/>
    <m/>
    <m/>
    <x v="0"/>
    <x v="1"/>
    <x v="1"/>
    <s v="P7 RES BLK 2.0"/>
  </r>
  <r>
    <s v="Germany"/>
    <x v="94"/>
    <s v="Matthias Doering"/>
    <x v="1"/>
    <x v="18"/>
    <x v="1"/>
    <m/>
    <s v="EU"/>
    <n v="5.5620000000000003E-2"/>
    <m/>
    <n v="5.5620000000000003E-2"/>
    <n v="7.4160000000000004E-2"/>
    <m/>
    <n v="7.4160000000000004E-2"/>
    <m/>
    <n v="7.4160000000000004E-2"/>
    <m/>
    <m/>
    <m/>
    <m/>
    <m/>
    <m/>
    <m/>
    <x v="0"/>
    <x v="1"/>
    <x v="1"/>
    <s v="P7 RES BLK-P"/>
  </r>
  <r>
    <s v="Germany"/>
    <x v="94"/>
    <s v="Matthias Doering"/>
    <x v="1"/>
    <x v="34"/>
    <x v="1"/>
    <m/>
    <s v="EU"/>
    <n v="0.25"/>
    <m/>
    <m/>
    <m/>
    <n v="0.14652000000000001"/>
    <m/>
    <n v="0.14652000000000001"/>
    <m/>
    <n v="0.14652000000000001"/>
    <m/>
    <m/>
    <m/>
    <m/>
    <m/>
    <m/>
    <x v="0"/>
    <x v="1"/>
    <x v="1"/>
    <s v="P7 COM S BF IT"/>
  </r>
  <r>
    <s v="Germany"/>
    <x v="94"/>
    <s v="Matthias Doering"/>
    <x v="3"/>
    <x v="35"/>
    <x v="1"/>
    <m/>
    <s v="EU"/>
    <m/>
    <m/>
    <m/>
    <n v="7.1279999999999996E-2"/>
    <m/>
    <n v="7.1279999999999996E-2"/>
    <m/>
    <n v="7.1279999999999996E-2"/>
    <m/>
    <m/>
    <m/>
    <m/>
    <m/>
    <m/>
    <m/>
    <x v="0"/>
    <x v="1"/>
    <x v="1"/>
    <s v="SPR-BE66-GD"/>
  </r>
  <r>
    <s v="Germany"/>
    <x v="94"/>
    <s v="Matthias Doering"/>
    <x v="3"/>
    <x v="35"/>
    <x v="1"/>
    <m/>
    <s v="EU"/>
    <m/>
    <m/>
    <m/>
    <m/>
    <m/>
    <m/>
    <m/>
    <m/>
    <m/>
    <m/>
    <m/>
    <m/>
    <m/>
    <m/>
    <m/>
    <x v="0"/>
    <x v="1"/>
    <x v="1"/>
    <s v="SPR-BE66-GD"/>
  </r>
  <r>
    <s v="Germany"/>
    <x v="92"/>
    <s v="Andreas Kauls"/>
    <x v="7"/>
    <x v="45"/>
    <x v="3"/>
    <m/>
    <s v="EU"/>
    <n v="0"/>
    <n v="0"/>
    <n v="0"/>
    <n v="0"/>
    <n v="0"/>
    <n v="0"/>
    <n v="0.05"/>
    <n v="0"/>
    <n v="0.05"/>
    <m/>
    <m/>
    <m/>
    <m/>
    <m/>
    <m/>
    <x v="0"/>
    <x v="1"/>
    <x v="1"/>
    <s v="SPR-BE54-DC"/>
  </r>
  <r>
    <s v="Germany"/>
    <x v="74"/>
    <s v="Andreas Kauls"/>
    <x v="1"/>
    <x v="1"/>
    <x v="3"/>
    <m/>
    <s v="EU"/>
    <n v="0"/>
    <n v="0.03"/>
    <n v="0.05"/>
    <n v="0"/>
    <n v="0.1"/>
    <n v="0"/>
    <n v="0"/>
    <n v="0"/>
    <n v="0"/>
    <m/>
    <m/>
    <m/>
    <m/>
    <m/>
    <m/>
    <x v="0"/>
    <x v="1"/>
    <x v="1"/>
    <s v="P7 RES BLK 2.0"/>
  </r>
  <r>
    <s v="Greece"/>
    <x v="13"/>
    <m/>
    <x v="2"/>
    <x v="16"/>
    <x v="0"/>
    <s v="delivery on September"/>
    <s v="Offshore"/>
    <m/>
    <m/>
    <m/>
    <m/>
    <m/>
    <n v="7.2"/>
    <m/>
    <m/>
    <m/>
    <m/>
    <m/>
    <m/>
    <m/>
    <m/>
    <m/>
    <x v="0"/>
    <x v="3"/>
    <x v="3"/>
    <s v="HSM-ND66-GR"/>
  </r>
  <r>
    <s v="Greece"/>
    <x v="95"/>
    <m/>
    <x v="2"/>
    <x v="16"/>
    <x v="4"/>
    <s v="1,2 MW FCA RTD"/>
    <s v="EU"/>
    <m/>
    <n v="1.2"/>
    <m/>
    <m/>
    <m/>
    <m/>
    <m/>
    <m/>
    <m/>
    <m/>
    <m/>
    <m/>
    <m/>
    <m/>
    <m/>
    <x v="0"/>
    <x v="3"/>
    <x v="3"/>
    <s v="HSM-ND66-GR"/>
  </r>
  <r>
    <s v="Greece"/>
    <x v="96"/>
    <m/>
    <x v="2"/>
    <x v="16"/>
    <x v="3"/>
    <s v="8 MW CIF Piraeus delivery delivery Q3-Q4 - the project will reach 50 MW- small projects of 1 MW"/>
    <s v="Offshore"/>
    <m/>
    <m/>
    <m/>
    <m/>
    <n v="8"/>
    <m/>
    <m/>
    <m/>
    <m/>
    <m/>
    <m/>
    <m/>
    <m/>
    <m/>
    <m/>
    <x v="0"/>
    <x v="3"/>
    <x v="3"/>
    <s v="HSM-ND66-GR"/>
  </r>
  <r>
    <s v="Greece"/>
    <x v="97"/>
    <m/>
    <x v="2"/>
    <x v="40"/>
    <x v="6"/>
    <s v="Small projects of 500 kW- Most possible Q1 2027"/>
    <s v="Offshore"/>
    <m/>
    <m/>
    <m/>
    <m/>
    <m/>
    <m/>
    <m/>
    <m/>
    <n v="10"/>
    <m/>
    <m/>
    <m/>
    <m/>
    <m/>
    <m/>
    <x v="0"/>
    <x v="3"/>
    <x v="3"/>
    <s v="HSM-ND66-GR"/>
  </r>
  <r>
    <s v="Hungary"/>
    <x v="98"/>
    <m/>
    <x v="2"/>
    <x v="47"/>
    <x v="2"/>
    <s v="1 container of 445W Clear Black CIP on site"/>
    <s v="EU"/>
    <m/>
    <n v="0.4"/>
    <m/>
    <m/>
    <m/>
    <m/>
    <m/>
    <m/>
    <m/>
    <m/>
    <m/>
    <m/>
    <m/>
    <m/>
    <m/>
    <x v="0"/>
    <x v="4"/>
    <x v="4"/>
    <s v="HSM-ND48-DR"/>
  </r>
  <r>
    <s v="Italy"/>
    <x v="99"/>
    <m/>
    <x v="6"/>
    <x v="27"/>
    <x v="1"/>
    <m/>
    <s v="EU"/>
    <n v="15"/>
    <n v="30"/>
    <n v="30"/>
    <n v="50"/>
    <n v="20"/>
    <n v="30"/>
    <n v="40"/>
    <n v="50"/>
    <n v="40"/>
    <m/>
    <m/>
    <m/>
    <m/>
    <m/>
    <m/>
    <x v="1"/>
    <x v="6"/>
    <x v="6"/>
    <s v="Gen2 3P 10kw"/>
  </r>
  <r>
    <s v="Italy"/>
    <x v="99"/>
    <m/>
    <x v="1"/>
    <x v="34"/>
    <x v="3"/>
    <m/>
    <s v="EU"/>
    <n v="8"/>
    <n v="8"/>
    <n v="10"/>
    <n v="8"/>
    <n v="6"/>
    <n v="12"/>
    <n v="12"/>
    <n v="12"/>
    <n v="10"/>
    <m/>
    <m/>
    <m/>
    <m/>
    <m/>
    <m/>
    <x v="0"/>
    <x v="6"/>
    <x v="6"/>
    <s v="P7 COM S BF IT"/>
  </r>
  <r>
    <s v="Italy"/>
    <x v="99"/>
    <m/>
    <x v="1"/>
    <x v="8"/>
    <x v="3"/>
    <m/>
    <s v="EU"/>
    <n v="2"/>
    <n v="2"/>
    <n v="3"/>
    <n v="2"/>
    <n v="1"/>
    <n v="2"/>
    <n v="2"/>
    <n v="2"/>
    <n v="2"/>
    <m/>
    <m/>
    <m/>
    <m/>
    <m/>
    <m/>
    <x v="0"/>
    <x v="6"/>
    <x v="6"/>
    <s v="P7 RES BLK 2.0"/>
  </r>
  <r>
    <s v="Italy"/>
    <x v="99"/>
    <m/>
    <x v="1"/>
    <x v="18"/>
    <x v="3"/>
    <m/>
    <s v="EU"/>
    <n v="4"/>
    <n v="5"/>
    <n v="4"/>
    <n v="4"/>
    <n v="3"/>
    <n v="6"/>
    <n v="6"/>
    <n v="7"/>
    <n v="5"/>
    <m/>
    <m/>
    <m/>
    <m/>
    <m/>
    <m/>
    <x v="0"/>
    <x v="6"/>
    <x v="6"/>
    <s v="P7 RES BLK-P"/>
  </r>
  <r>
    <s v="Italy"/>
    <x v="99"/>
    <m/>
    <x v="7"/>
    <x v="49"/>
    <x v="3"/>
    <s v="M Class-only RES"/>
    <s v="EU"/>
    <n v="3"/>
    <n v="2"/>
    <n v="2"/>
    <n v="2"/>
    <n v="1"/>
    <n v="2"/>
    <n v="2"/>
    <n v="1"/>
    <n v="1"/>
    <m/>
    <m/>
    <m/>
    <m/>
    <m/>
    <m/>
    <x v="0"/>
    <x v="6"/>
    <x v="6"/>
    <s v="SPR-BE54-DC"/>
  </r>
  <r>
    <s v="Italy"/>
    <x v="100"/>
    <s v="Ignazio Sasanelli"/>
    <x v="0"/>
    <x v="19"/>
    <x v="1"/>
    <s v="En ITA deal"/>
    <s v="EU"/>
    <m/>
    <m/>
    <m/>
    <n v="0"/>
    <n v="3"/>
    <n v="9"/>
    <n v="6"/>
    <m/>
    <m/>
    <m/>
    <m/>
    <m/>
    <m/>
    <m/>
    <m/>
    <x v="0"/>
    <x v="6"/>
    <x v="6"/>
    <s v="HSM-BE66-GD "/>
  </r>
  <r>
    <s v="Italy"/>
    <x v="99"/>
    <s v="Ignazio Sasanelli"/>
    <x v="2"/>
    <x v="17"/>
    <x v="3"/>
    <m/>
    <s v="EU"/>
    <n v="2"/>
    <n v="2"/>
    <m/>
    <m/>
    <m/>
    <m/>
    <m/>
    <m/>
    <m/>
    <m/>
    <m/>
    <m/>
    <m/>
    <m/>
    <m/>
    <x v="0"/>
    <x v="6"/>
    <x v="6"/>
    <s v="HSM-ND66-GR"/>
  </r>
  <r>
    <s v="Italy"/>
    <x v="99"/>
    <s v="Ignazio Sasanelli"/>
    <x v="2"/>
    <x v="40"/>
    <x v="3"/>
    <m/>
    <s v="EU"/>
    <m/>
    <m/>
    <m/>
    <n v="8"/>
    <m/>
    <n v="12"/>
    <m/>
    <n v="8"/>
    <m/>
    <m/>
    <m/>
    <m/>
    <m/>
    <m/>
    <m/>
    <x v="0"/>
    <x v="6"/>
    <x v="6"/>
    <s v="HSM-ND66-GR"/>
  </r>
  <r>
    <s v="Italy"/>
    <x v="99"/>
    <s v="Ignazio Sasanelli"/>
    <x v="2"/>
    <x v="16"/>
    <x v="3"/>
    <m/>
    <s v="EU"/>
    <m/>
    <n v="10"/>
    <n v="6"/>
    <m/>
    <m/>
    <m/>
    <m/>
    <m/>
    <m/>
    <m/>
    <m/>
    <m/>
    <m/>
    <m/>
    <m/>
    <x v="0"/>
    <x v="6"/>
    <x v="6"/>
    <s v="HSM-ND66-GR"/>
  </r>
  <r>
    <s v="Italy"/>
    <x v="99"/>
    <s v="Ignazio Sasanelli"/>
    <x v="2"/>
    <x v="41"/>
    <x v="3"/>
    <m/>
    <s v="EU"/>
    <m/>
    <n v="10"/>
    <n v="5"/>
    <n v="6"/>
    <m/>
    <n v="12"/>
    <m/>
    <n v="12"/>
    <m/>
    <m/>
    <m/>
    <m/>
    <m/>
    <m/>
    <m/>
    <x v="0"/>
    <x v="6"/>
    <x v="6"/>
    <s v="HSM-ND66-GK"/>
  </r>
  <r>
    <s v="Italy"/>
    <x v="99"/>
    <s v="Ignazio Sasanelli"/>
    <x v="2"/>
    <x v="2"/>
    <x v="3"/>
    <m/>
    <s v="EU"/>
    <n v="2"/>
    <n v="8"/>
    <n v="6"/>
    <n v="12"/>
    <n v="2"/>
    <n v="8"/>
    <n v="8"/>
    <n v="8"/>
    <n v="6"/>
    <m/>
    <m/>
    <m/>
    <m/>
    <m/>
    <m/>
    <x v="0"/>
    <x v="6"/>
    <x v="6"/>
    <s v="HSM-ND54-DR"/>
  </r>
  <r>
    <s v="Italy"/>
    <x v="99"/>
    <s v="Ignazio Sasanelli"/>
    <x v="2"/>
    <x v="15"/>
    <x v="3"/>
    <m/>
    <s v="EU"/>
    <n v="2"/>
    <m/>
    <m/>
    <m/>
    <m/>
    <m/>
    <m/>
    <m/>
    <m/>
    <m/>
    <m/>
    <m/>
    <m/>
    <m/>
    <m/>
    <x v="0"/>
    <x v="6"/>
    <x v="6"/>
    <s v="HSM-ND54-DR"/>
  </r>
  <r>
    <s v="Italy"/>
    <x v="99"/>
    <m/>
    <x v="6"/>
    <x v="30"/>
    <x v="1"/>
    <m/>
    <s v="EU"/>
    <n v="50"/>
    <n v="100"/>
    <n v="100"/>
    <n v="140"/>
    <n v="100"/>
    <n v="130"/>
    <n v="150"/>
    <n v="200"/>
    <n v="200"/>
    <m/>
    <m/>
    <m/>
    <m/>
    <m/>
    <m/>
    <x v="1"/>
    <x v="6"/>
    <x v="6"/>
    <s v="Gen2 BAT 5kWh"/>
  </r>
  <r>
    <s v="Italy"/>
    <x v="99"/>
    <m/>
    <x v="6"/>
    <x v="50"/>
    <x v="1"/>
    <m/>
    <s v="EU"/>
    <n v="250"/>
    <n v="250"/>
    <n v="400"/>
    <n v="600"/>
    <n v="300"/>
    <n v="600"/>
    <n v="500"/>
    <n v="600"/>
    <n v="700"/>
    <m/>
    <m/>
    <m/>
    <m/>
    <m/>
    <m/>
    <x v="1"/>
    <x v="6"/>
    <x v="6"/>
    <s v="Gen2 1P 6kw"/>
  </r>
  <r>
    <s v="Italy"/>
    <x v="99"/>
    <s v="Ignazio Sasanelli"/>
    <x v="8"/>
    <x v="51"/>
    <x v="3"/>
    <m/>
    <s v="EU"/>
    <m/>
    <n v="6"/>
    <n v="8"/>
    <n v="6"/>
    <n v="1"/>
    <n v="4"/>
    <n v="6"/>
    <n v="6"/>
    <n v="3"/>
    <m/>
    <m/>
    <m/>
    <m/>
    <m/>
    <m/>
    <x v="0"/>
    <x v="6"/>
    <x v="6"/>
    <s v="TCL-MR470DT182-58NS"/>
  </r>
  <r>
    <s v="Italy"/>
    <x v="99"/>
    <m/>
    <x v="4"/>
    <x v="10"/>
    <x v="1"/>
    <m/>
    <s v="EU"/>
    <m/>
    <m/>
    <n v="3"/>
    <n v="2"/>
    <n v="2"/>
    <n v="2"/>
    <n v="4"/>
    <n v="4"/>
    <n v="6"/>
    <m/>
    <m/>
    <m/>
    <m/>
    <m/>
    <m/>
    <x v="1"/>
    <x v="6"/>
    <x v="6"/>
    <s v="BlueArk X5-50K-100"/>
  </r>
  <r>
    <s v="Italy"/>
    <x v="99"/>
    <s v="Ignazio Sasanelli"/>
    <x v="8"/>
    <x v="43"/>
    <x v="3"/>
    <m/>
    <s v="EU"/>
    <n v="5"/>
    <m/>
    <m/>
    <m/>
    <m/>
    <m/>
    <m/>
    <m/>
    <m/>
    <m/>
    <m/>
    <m/>
    <m/>
    <m/>
    <m/>
    <x v="0"/>
    <x v="6"/>
    <x v="6"/>
    <s v="TCL-MR470DT182-58NS"/>
  </r>
  <r>
    <s v="Italy"/>
    <x v="99"/>
    <s v="Ignazio Sasanelli"/>
    <x v="8"/>
    <x v="52"/>
    <x v="3"/>
    <m/>
    <s v="EU"/>
    <n v="3"/>
    <n v="7"/>
    <n v="5"/>
    <m/>
    <m/>
    <m/>
    <m/>
    <m/>
    <m/>
    <m/>
    <m/>
    <m/>
    <m/>
    <m/>
    <m/>
    <x v="0"/>
    <x v="6"/>
    <x v="6"/>
    <s v="TCL-MG720DT210-68NS"/>
  </r>
  <r>
    <s v="Italy"/>
    <x v="99"/>
    <s v="Ignazio Sasanelli"/>
    <x v="2"/>
    <x v="5"/>
    <x v="3"/>
    <m/>
    <s v="EU"/>
    <m/>
    <m/>
    <m/>
    <n v="4"/>
    <n v="1"/>
    <n v="7"/>
    <m/>
    <m/>
    <m/>
    <m/>
    <m/>
    <m/>
    <m/>
    <m/>
    <m/>
    <x v="0"/>
    <x v="6"/>
    <x v="6"/>
    <s v="HSM-ND48-DR"/>
  </r>
  <r>
    <s v="Italy"/>
    <x v="99"/>
    <s v="Ignazio Sasanelli"/>
    <x v="8"/>
    <x v="43"/>
    <x v="3"/>
    <m/>
    <s v="EU"/>
    <n v="5"/>
    <n v="6"/>
    <n v="6"/>
    <n v="3"/>
    <n v="1"/>
    <n v="4"/>
    <n v="4"/>
    <n v="4"/>
    <n v="3"/>
    <m/>
    <m/>
    <m/>
    <m/>
    <m/>
    <m/>
    <x v="0"/>
    <x v="6"/>
    <x v="6"/>
    <s v="TCL-MR470DT182-58NS"/>
  </r>
  <r>
    <s v="Kosovo"/>
    <x v="13"/>
    <m/>
    <x v="2"/>
    <x v="16"/>
    <x v="0"/>
    <s v="4 containers"/>
    <s v="Offshore"/>
    <m/>
    <m/>
    <m/>
    <m/>
    <n v="1.6"/>
    <m/>
    <m/>
    <m/>
    <m/>
    <m/>
    <m/>
    <m/>
    <m/>
    <m/>
    <m/>
    <x v="0"/>
    <x v="3"/>
    <x v="3"/>
    <s v="HSM-ND66-GR"/>
  </r>
  <r>
    <s v="Lithuania"/>
    <x v="101"/>
    <m/>
    <x v="2"/>
    <x v="5"/>
    <x v="5"/>
    <s v="3 containers of 450W Clear black FCA RTD"/>
    <s v="EU"/>
    <m/>
    <n v="1.2"/>
    <m/>
    <m/>
    <m/>
    <m/>
    <m/>
    <m/>
    <m/>
    <m/>
    <m/>
    <m/>
    <m/>
    <m/>
    <m/>
    <x v="0"/>
    <x v="4"/>
    <x v="4"/>
    <s v="HSM-ND48-DR"/>
  </r>
  <r>
    <s v="Lithuania"/>
    <x v="102"/>
    <m/>
    <x v="2"/>
    <x v="5"/>
    <x v="1"/>
    <s v="1 container 450W FB - FCA RTD"/>
    <s v="EU"/>
    <m/>
    <m/>
    <m/>
    <n v="0.4"/>
    <m/>
    <m/>
    <m/>
    <m/>
    <m/>
    <m/>
    <m/>
    <m/>
    <m/>
    <m/>
    <m/>
    <x v="0"/>
    <x v="4"/>
    <x v="4"/>
    <s v="HSM-ND48-DR"/>
  </r>
  <r>
    <s v="Lithuania"/>
    <x v="101"/>
    <m/>
    <x v="2"/>
    <x v="15"/>
    <x v="2"/>
    <s v="4 containers  FCA RTD"/>
    <s v="EU"/>
    <m/>
    <n v="1.7"/>
    <m/>
    <m/>
    <m/>
    <m/>
    <m/>
    <m/>
    <m/>
    <m/>
    <m/>
    <m/>
    <m/>
    <m/>
    <m/>
    <x v="0"/>
    <x v="4"/>
    <x v="4"/>
    <s v="HSM-ND54-DR"/>
  </r>
  <r>
    <s v="Lithuania"/>
    <x v="102"/>
    <m/>
    <x v="2"/>
    <x v="5"/>
    <x v="2"/>
    <s v="1 container 450W FB - FCA RTD"/>
    <s v="EU"/>
    <m/>
    <n v="0.4"/>
    <m/>
    <m/>
    <m/>
    <m/>
    <m/>
    <m/>
    <m/>
    <m/>
    <m/>
    <m/>
    <m/>
    <m/>
    <m/>
    <x v="0"/>
    <x v="4"/>
    <x v="4"/>
    <s v="HSM-ND48-DR"/>
  </r>
  <r>
    <s v="Lithuania"/>
    <x v="102"/>
    <m/>
    <x v="2"/>
    <x v="47"/>
    <x v="2"/>
    <s v="1 container 445W FB  - FCA RTD"/>
    <s v="EU"/>
    <m/>
    <n v="0.4"/>
    <m/>
    <m/>
    <m/>
    <m/>
    <m/>
    <m/>
    <m/>
    <m/>
    <m/>
    <m/>
    <m/>
    <m/>
    <m/>
    <x v="0"/>
    <x v="4"/>
    <x v="4"/>
    <s v="HSM-ND48-DR"/>
  </r>
  <r>
    <s v="Lithuania"/>
    <x v="102"/>
    <m/>
    <x v="2"/>
    <x v="15"/>
    <x v="1"/>
    <s v="1 container 505W FB - FCA RTD"/>
    <s v="EU"/>
    <m/>
    <m/>
    <m/>
    <n v="0.4"/>
    <m/>
    <m/>
    <m/>
    <m/>
    <m/>
    <m/>
    <m/>
    <m/>
    <m/>
    <m/>
    <m/>
    <x v="0"/>
    <x v="4"/>
    <x v="4"/>
    <s v="HSM-ND54-DR"/>
  </r>
  <r>
    <s v="Lithuania"/>
    <x v="102"/>
    <m/>
    <x v="2"/>
    <x v="2"/>
    <x v="2"/>
    <s v="3 containers 500W CIF Klaipeda"/>
    <s v="Offshore"/>
    <m/>
    <m/>
    <n v="1.2"/>
    <m/>
    <m/>
    <m/>
    <m/>
    <m/>
    <m/>
    <m/>
    <m/>
    <m/>
    <m/>
    <m/>
    <m/>
    <x v="0"/>
    <x v="4"/>
    <x v="4"/>
    <s v="HSM-ND54-DR"/>
  </r>
  <r>
    <s v="Lithuania"/>
    <x v="102"/>
    <m/>
    <x v="2"/>
    <x v="47"/>
    <x v="2"/>
    <s v="2 containers 445W FCA warehouse EU"/>
    <s v="Offshore"/>
    <n v="0.8"/>
    <m/>
    <m/>
    <m/>
    <m/>
    <m/>
    <m/>
    <m/>
    <m/>
    <m/>
    <m/>
    <m/>
    <m/>
    <m/>
    <m/>
    <x v="0"/>
    <x v="4"/>
    <x v="4"/>
    <s v="HSM-ND48-DR"/>
  </r>
  <r>
    <s v="Lithuania"/>
    <x v="103"/>
    <m/>
    <x v="2"/>
    <x v="47"/>
    <x v="2"/>
    <s v="5 containers Clear Black 445"/>
    <s v="Offshore"/>
    <n v="2"/>
    <m/>
    <m/>
    <m/>
    <m/>
    <m/>
    <m/>
    <m/>
    <m/>
    <m/>
    <m/>
    <m/>
    <m/>
    <m/>
    <m/>
    <x v="0"/>
    <x v="4"/>
    <x v="4"/>
    <s v="HSM-ND48-DR"/>
  </r>
  <r>
    <s v="Netherlands"/>
    <x v="104"/>
    <m/>
    <x v="5"/>
    <x v="9"/>
    <x v="0"/>
    <s v="NEW C&amp;I KEY ACCOUNT"/>
    <s v="EU"/>
    <m/>
    <m/>
    <m/>
    <m/>
    <m/>
    <m/>
    <n v="3"/>
    <n v="3"/>
    <n v="3"/>
    <m/>
    <m/>
    <m/>
    <m/>
    <m/>
    <m/>
    <x v="0"/>
    <x v="2"/>
    <x v="2"/>
    <s v="HSM-NT60-GH"/>
  </r>
  <r>
    <s v="Netherlands"/>
    <x v="105"/>
    <m/>
    <x v="4"/>
    <x v="10"/>
    <x v="0"/>
    <s v="AWAITING FEEDBACK NEW ASP"/>
    <s v="EU"/>
    <m/>
    <m/>
    <m/>
    <m/>
    <m/>
    <m/>
    <n v="1"/>
    <n v="3"/>
    <n v="3"/>
    <m/>
    <m/>
    <m/>
    <m/>
    <m/>
    <m/>
    <x v="1"/>
    <x v="2"/>
    <x v="2"/>
    <s v="BlueArk X5-50K-100"/>
  </r>
  <r>
    <s v="Netherlands"/>
    <x v="105"/>
    <m/>
    <x v="4"/>
    <x v="7"/>
    <x v="0"/>
    <s v="AWAITING FEEDBACK NEW ASP"/>
    <s v="EU"/>
    <m/>
    <m/>
    <m/>
    <m/>
    <m/>
    <m/>
    <n v="1"/>
    <n v="2"/>
    <n v="2"/>
    <m/>
    <m/>
    <m/>
    <m/>
    <m/>
    <m/>
    <x v="1"/>
    <x v="2"/>
    <x v="2"/>
    <s v="BlueArk W10-125K-261"/>
  </r>
  <r>
    <s v="Netherlands"/>
    <x v="104"/>
    <m/>
    <x v="5"/>
    <x v="53"/>
    <x v="0"/>
    <s v="NEW C&amp;I KEY ACCOUNT"/>
    <s v="EU"/>
    <m/>
    <m/>
    <m/>
    <m/>
    <m/>
    <m/>
    <n v="0.8"/>
    <n v="0.8"/>
    <n v="0.8"/>
    <m/>
    <m/>
    <m/>
    <m/>
    <m/>
    <m/>
    <x v="0"/>
    <x v="2"/>
    <x v="2"/>
    <s v="HSM-NT48-JH"/>
  </r>
  <r>
    <s v="Netherlands"/>
    <x v="104"/>
    <m/>
    <x v="1"/>
    <x v="1"/>
    <x v="0"/>
    <s v="NEW C&amp;I KEY ACCOUNT"/>
    <s v="EU"/>
    <m/>
    <m/>
    <m/>
    <m/>
    <m/>
    <m/>
    <n v="1"/>
    <n v="1"/>
    <n v="1"/>
    <m/>
    <m/>
    <m/>
    <m/>
    <m/>
    <m/>
    <x v="0"/>
    <x v="2"/>
    <x v="2"/>
    <s v="P7 RES BLK 2.0"/>
  </r>
  <r>
    <s v="Netherlands"/>
    <x v="104"/>
    <m/>
    <x v="5"/>
    <x v="13"/>
    <x v="0"/>
    <s v="NEW C&amp;I KEY ACCOUNT"/>
    <s v="EU"/>
    <m/>
    <m/>
    <m/>
    <m/>
    <m/>
    <m/>
    <n v="2"/>
    <n v="2"/>
    <n v="2"/>
    <m/>
    <m/>
    <m/>
    <m/>
    <m/>
    <m/>
    <x v="0"/>
    <x v="2"/>
    <x v="2"/>
    <s v="HSM-NT66-GH"/>
  </r>
  <r>
    <s v="Netherlands"/>
    <x v="106"/>
    <s v="Paul"/>
    <x v="5"/>
    <x v="13"/>
    <x v="0"/>
    <m/>
    <s v="EU"/>
    <m/>
    <m/>
    <m/>
    <m/>
    <n v="0.82"/>
    <m/>
    <m/>
    <m/>
    <m/>
    <m/>
    <m/>
    <m/>
    <m/>
    <m/>
    <m/>
    <x v="0"/>
    <x v="2"/>
    <x v="2"/>
    <s v="HSM-NT66-GH"/>
  </r>
  <r>
    <s v="Netherlands"/>
    <x v="104"/>
    <m/>
    <x v="0"/>
    <x v="12"/>
    <x v="3"/>
    <s v="NEW ACCOUNTS"/>
    <s v="EU"/>
    <m/>
    <m/>
    <m/>
    <m/>
    <m/>
    <m/>
    <n v="2"/>
    <n v="2"/>
    <n v="2"/>
    <m/>
    <m/>
    <m/>
    <m/>
    <m/>
    <m/>
    <x v="0"/>
    <x v="2"/>
    <x v="2"/>
    <s v="HSM-BE54-HD"/>
  </r>
  <r>
    <s v="Netherlands"/>
    <x v="104"/>
    <m/>
    <x v="9"/>
    <x v="44"/>
    <x v="2"/>
    <s v="BOOKED SOA SEND"/>
    <s v="EU"/>
    <m/>
    <m/>
    <m/>
    <n v="0.42"/>
    <m/>
    <m/>
    <m/>
    <m/>
    <m/>
    <m/>
    <m/>
    <m/>
    <m/>
    <m/>
    <m/>
    <x v="0"/>
    <x v="2"/>
    <x v="2"/>
    <s v="HSM-BD54-DA"/>
  </r>
  <r>
    <s v="Netherlands"/>
    <x v="106"/>
    <s v="Paul"/>
    <x v="1"/>
    <x v="34"/>
    <x v="2"/>
    <m/>
    <s v="EU"/>
    <m/>
    <n v="0.4"/>
    <m/>
    <m/>
    <m/>
    <m/>
    <m/>
    <m/>
    <m/>
    <m/>
    <m/>
    <m/>
    <m/>
    <m/>
    <m/>
    <x v="0"/>
    <x v="2"/>
    <x v="2"/>
    <s v="P7 COM S BF IT"/>
  </r>
  <r>
    <s v="Netherlands"/>
    <x v="107"/>
    <s v="Regis"/>
    <x v="9"/>
    <x v="44"/>
    <x v="2"/>
    <s v="CONSIGNEMENT"/>
    <s v="EU"/>
    <n v="0.45"/>
    <n v="0.45"/>
    <n v="0.45"/>
    <n v="0.45"/>
    <m/>
    <m/>
    <m/>
    <m/>
    <m/>
    <m/>
    <m/>
    <m/>
    <m/>
    <m/>
    <m/>
    <x v="0"/>
    <x v="2"/>
    <x v="2"/>
    <s v="HSM-BD54-DA"/>
  </r>
  <r>
    <s v="Netherlands"/>
    <x v="105"/>
    <s v="Regis"/>
    <x v="9"/>
    <x v="44"/>
    <x v="2"/>
    <s v="CONSIGNEMENT"/>
    <s v="EU"/>
    <m/>
    <m/>
    <n v="0.45"/>
    <n v="0.45"/>
    <m/>
    <m/>
    <m/>
    <m/>
    <m/>
    <m/>
    <m/>
    <m/>
    <m/>
    <m/>
    <m/>
    <x v="0"/>
    <x v="2"/>
    <x v="2"/>
    <s v="HSM-BD54-DA"/>
  </r>
  <r>
    <s v="Netherlands"/>
    <x v="105"/>
    <m/>
    <x v="2"/>
    <x v="5"/>
    <x v="5"/>
    <s v="TRINA Vertex 455 BLK at 0.110 DDP/Longi 460W BLK at 0.108 DDP_x000a_NEED BETTER ASP 455W"/>
    <s v="EU"/>
    <n v="0.4"/>
    <n v="1.2"/>
    <n v="1.2"/>
    <m/>
    <m/>
    <m/>
    <m/>
    <m/>
    <m/>
    <m/>
    <m/>
    <m/>
    <m/>
    <m/>
    <m/>
    <x v="0"/>
    <x v="2"/>
    <x v="2"/>
    <s v="HSM-ND48-DR"/>
  </r>
  <r>
    <s v="Netherlands"/>
    <x v="105"/>
    <m/>
    <x v="5"/>
    <x v="11"/>
    <x v="3"/>
    <s v="AWAITING FORECAST"/>
    <s v="EU"/>
    <m/>
    <m/>
    <m/>
    <m/>
    <m/>
    <n v="1.2"/>
    <n v="1.2"/>
    <n v="1.2"/>
    <n v="1.2"/>
    <m/>
    <m/>
    <m/>
    <m/>
    <m/>
    <m/>
    <x v="0"/>
    <x v="2"/>
    <x v="2"/>
    <s v="HSM-NT48-HH"/>
  </r>
  <r>
    <s v="Netherlands"/>
    <x v="105"/>
    <m/>
    <x v="0"/>
    <x v="12"/>
    <x v="3"/>
    <s v="AWAITING FORECAST"/>
    <s v="EU"/>
    <m/>
    <m/>
    <m/>
    <m/>
    <m/>
    <m/>
    <n v="0.4"/>
    <n v="0.4"/>
    <n v="0.4"/>
    <m/>
    <m/>
    <m/>
    <m/>
    <m/>
    <m/>
    <x v="0"/>
    <x v="2"/>
    <x v="2"/>
    <s v="HSM-BE54-HD"/>
  </r>
  <r>
    <s v="Netherlands"/>
    <x v="104"/>
    <m/>
    <x v="3"/>
    <x v="6"/>
    <x v="3"/>
    <s v="REVIVE DORMANT ACCOUNT"/>
    <s v="EU"/>
    <m/>
    <m/>
    <m/>
    <m/>
    <m/>
    <m/>
    <n v="2"/>
    <n v="2"/>
    <n v="2"/>
    <m/>
    <m/>
    <m/>
    <m/>
    <m/>
    <m/>
    <x v="0"/>
    <x v="2"/>
    <x v="2"/>
    <s v="SPR-BE54-HD"/>
  </r>
  <r>
    <s v="Netherlands"/>
    <x v="104"/>
    <s v="Regis"/>
    <x v="11"/>
    <x v="54"/>
    <x v="0"/>
    <s v="BETA TEST SCHEDULED"/>
    <s v="EU"/>
    <n v="0"/>
    <n v="0"/>
    <n v="0"/>
    <n v="1"/>
    <n v="1"/>
    <n v="1"/>
    <n v="1"/>
    <n v="10"/>
    <n v="20"/>
    <m/>
    <m/>
    <m/>
    <m/>
    <m/>
    <m/>
    <x v="2"/>
    <x v="2"/>
    <x v="2"/>
    <s v="HB12SP0"/>
  </r>
  <r>
    <s v="Nordic"/>
    <x v="108"/>
    <s v="Filip Abrahamsson"/>
    <x v="2"/>
    <x v="17"/>
    <x v="4"/>
    <s v="Asking for DDP price, Possible Caroline LI, Q2-Q3 Must win - Delayed Q4 due to permits----Long Cable---27Q1"/>
    <s v="Offshore/EU?"/>
    <m/>
    <m/>
    <m/>
    <m/>
    <m/>
    <m/>
    <n v="7"/>
    <n v="6"/>
    <m/>
    <m/>
    <m/>
    <m/>
    <m/>
    <m/>
    <m/>
    <x v="0"/>
    <x v="7"/>
    <x v="7"/>
    <s v="HSM-ND66-GR"/>
  </r>
  <r>
    <s v="Nordic"/>
    <x v="109"/>
    <m/>
    <x v="1"/>
    <x v="1"/>
    <x v="5"/>
    <s v="Q3 Order"/>
    <s v="EU"/>
    <m/>
    <m/>
    <m/>
    <n v="0.4"/>
    <m/>
    <m/>
    <m/>
    <m/>
    <m/>
    <m/>
    <m/>
    <m/>
    <m/>
    <m/>
    <m/>
    <x v="0"/>
    <x v="7"/>
    <x v="7"/>
    <s v="P7 RES BLK 2.0"/>
  </r>
  <r>
    <s v="Nordic"/>
    <x v="109"/>
    <m/>
    <x v="1"/>
    <x v="18"/>
    <x v="5"/>
    <s v="Q3 Order"/>
    <s v="EU"/>
    <m/>
    <m/>
    <m/>
    <n v="0.4"/>
    <m/>
    <m/>
    <m/>
    <m/>
    <m/>
    <m/>
    <m/>
    <m/>
    <m/>
    <m/>
    <m/>
    <x v="0"/>
    <x v="7"/>
    <x v="7"/>
    <s v="P7 RES BLK-P"/>
  </r>
  <r>
    <s v="Nordic"/>
    <x v="110"/>
    <m/>
    <x v="12"/>
    <x v="55"/>
    <x v="5"/>
    <s v="New Customer Depletion Maxeon 390-400 COM"/>
    <s v="EU"/>
    <m/>
    <m/>
    <m/>
    <n v="0.2"/>
    <m/>
    <m/>
    <m/>
    <m/>
    <m/>
    <m/>
    <m/>
    <m/>
    <m/>
    <m/>
    <m/>
    <x v="0"/>
    <x v="7"/>
    <x v="7"/>
    <s v="exclude"/>
  </r>
  <r>
    <s v="Nordic"/>
    <x v="111"/>
    <m/>
    <x v="11"/>
    <x v="54"/>
    <x v="5"/>
    <s v="New Customer 2 Units pilot installation"/>
    <s v="EU"/>
    <m/>
    <m/>
    <m/>
    <n v="2"/>
    <m/>
    <m/>
    <m/>
    <m/>
    <m/>
    <m/>
    <m/>
    <m/>
    <m/>
    <m/>
    <m/>
    <x v="2"/>
    <x v="7"/>
    <x v="7"/>
    <s v="HB12SP0"/>
  </r>
  <r>
    <s v="Nordic"/>
    <x v="109"/>
    <m/>
    <x v="5"/>
    <x v="39"/>
    <x v="5"/>
    <s v="Q3 Order"/>
    <s v="470 Black"/>
    <m/>
    <m/>
    <m/>
    <m/>
    <m/>
    <m/>
    <m/>
    <m/>
    <m/>
    <m/>
    <m/>
    <m/>
    <m/>
    <m/>
    <m/>
    <x v="0"/>
    <x v="7"/>
    <x v="7"/>
    <s v="exclude"/>
  </r>
  <r>
    <s v="Nordic"/>
    <x v="109"/>
    <m/>
    <x v="13"/>
    <x v="56"/>
    <x v="6"/>
    <s v="Rexel Launch of X1 in Sweden"/>
    <m/>
    <m/>
    <m/>
    <m/>
    <m/>
    <m/>
    <m/>
    <m/>
    <m/>
    <n v="50"/>
    <m/>
    <m/>
    <m/>
    <m/>
    <m/>
    <m/>
    <x v="1"/>
    <x v="7"/>
    <x v="7"/>
    <s v="BlueArk X1-10kW-SP"/>
  </r>
  <r>
    <s v="Nordic"/>
    <x v="108"/>
    <m/>
    <x v="4"/>
    <x v="10"/>
    <x v="6"/>
    <s v="Nordic Sun Test Unit - Solinteg whitelist sept"/>
    <m/>
    <m/>
    <m/>
    <m/>
    <m/>
    <m/>
    <n v="2"/>
    <m/>
    <m/>
    <m/>
    <m/>
    <m/>
    <m/>
    <m/>
    <m/>
    <m/>
    <x v="1"/>
    <x v="7"/>
    <x v="7"/>
    <s v="BlueArk X5-50K-100"/>
  </r>
  <r>
    <s v="Nordic"/>
    <x v="108"/>
    <m/>
    <x v="5"/>
    <x v="39"/>
    <x v="4"/>
    <s v="2 CT Confirmed 260812 @ €0.122 offer €0.126"/>
    <s v="470 Black"/>
    <m/>
    <m/>
    <m/>
    <m/>
    <m/>
    <n v="0.8"/>
    <m/>
    <m/>
    <m/>
    <m/>
    <m/>
    <m/>
    <m/>
    <m/>
    <m/>
    <x v="0"/>
    <x v="7"/>
    <x v="7"/>
    <s v="exclude"/>
  </r>
  <r>
    <s v="Nordic"/>
    <x v="108"/>
    <m/>
    <x v="1"/>
    <x v="1"/>
    <x v="0"/>
    <m/>
    <s v="FCA Rotterdam Price"/>
    <m/>
    <m/>
    <m/>
    <m/>
    <m/>
    <m/>
    <n v="1"/>
    <n v="1"/>
    <n v="1"/>
    <m/>
    <m/>
    <m/>
    <m/>
    <m/>
    <m/>
    <x v="0"/>
    <x v="7"/>
    <x v="7"/>
    <s v="P7 RES BLK 2.0"/>
  </r>
  <r>
    <s v="Nordic"/>
    <x v="108"/>
    <m/>
    <x v="1"/>
    <x v="34"/>
    <x v="0"/>
    <s v="H2 offer 6 month"/>
    <s v="FCA Rotterdam Price"/>
    <m/>
    <m/>
    <m/>
    <m/>
    <m/>
    <m/>
    <n v="1"/>
    <n v="1"/>
    <n v="1"/>
    <m/>
    <m/>
    <m/>
    <m/>
    <m/>
    <m/>
    <x v="0"/>
    <x v="7"/>
    <x v="7"/>
    <s v="P7 COM S BF IT"/>
  </r>
  <r>
    <s v="Nordic"/>
    <x v="108"/>
    <m/>
    <x v="2"/>
    <x v="16"/>
    <x v="0"/>
    <s v="H2 offer 6 month"/>
    <s v="FCA Rotterdam Price"/>
    <m/>
    <m/>
    <m/>
    <m/>
    <m/>
    <m/>
    <n v="2"/>
    <n v="2"/>
    <n v="2"/>
    <m/>
    <m/>
    <m/>
    <m/>
    <m/>
    <m/>
    <x v="0"/>
    <x v="7"/>
    <x v="7"/>
    <s v="HSM-ND66-GR"/>
  </r>
  <r>
    <s v="Nordic"/>
    <x v="108"/>
    <m/>
    <x v="5"/>
    <x v="39"/>
    <x v="4"/>
    <s v="10 CT"/>
    <s v="470 Black"/>
    <m/>
    <m/>
    <m/>
    <m/>
    <m/>
    <m/>
    <n v="2"/>
    <n v="2"/>
    <m/>
    <m/>
    <m/>
    <m/>
    <m/>
    <m/>
    <m/>
    <x v="0"/>
    <x v="7"/>
    <x v="7"/>
    <s v="exclude"/>
  </r>
  <r>
    <s v="Nordic"/>
    <x v="109"/>
    <m/>
    <x v="1"/>
    <x v="18"/>
    <x v="8"/>
    <s v="Awaiting confirmation"/>
    <m/>
    <m/>
    <m/>
    <m/>
    <m/>
    <m/>
    <m/>
    <n v="0.8"/>
    <m/>
    <m/>
    <m/>
    <m/>
    <m/>
    <m/>
    <m/>
    <m/>
    <x v="0"/>
    <x v="7"/>
    <x v="7"/>
    <s v="P7 RES BLK-P"/>
  </r>
  <r>
    <s v="Nordic"/>
    <x v="112"/>
    <m/>
    <x v="1"/>
    <x v="8"/>
    <x v="1"/>
    <s v="New Dist 2 CT SPR Offer €0.13 - MPO now - Sending distribution contract"/>
    <m/>
    <m/>
    <m/>
    <m/>
    <m/>
    <m/>
    <m/>
    <n v="1.2"/>
    <m/>
    <m/>
    <m/>
    <m/>
    <m/>
    <m/>
    <m/>
    <m/>
    <x v="0"/>
    <x v="7"/>
    <x v="7"/>
    <s v="P7 RES BLK 2.0"/>
  </r>
  <r>
    <s v="Nordic"/>
    <x v="109"/>
    <m/>
    <x v="4"/>
    <x v="10"/>
    <x v="4"/>
    <s v="3 Units - Asking price €14.000 to accept - Not accepted from me ---plus freight"/>
    <m/>
    <m/>
    <m/>
    <m/>
    <m/>
    <m/>
    <m/>
    <m/>
    <m/>
    <m/>
    <m/>
    <m/>
    <m/>
    <m/>
    <m/>
    <m/>
    <x v="1"/>
    <x v="7"/>
    <x v="7"/>
    <s v="BlueArk X5-50K-100"/>
  </r>
  <r>
    <s v="Nordic"/>
    <x v="109"/>
    <m/>
    <x v="0"/>
    <x v="12"/>
    <x v="5"/>
    <s v="Offer BC delivered in Sept Q3"/>
    <s v="Offshore"/>
    <m/>
    <m/>
    <m/>
    <m/>
    <m/>
    <m/>
    <n v="1.6"/>
    <m/>
    <m/>
    <m/>
    <m/>
    <m/>
    <m/>
    <m/>
    <m/>
    <x v="0"/>
    <x v="7"/>
    <x v="7"/>
    <s v="HSM-BE54-HD"/>
  </r>
  <r>
    <s v="Nordic"/>
    <x v="108"/>
    <m/>
    <x v="0"/>
    <x v="12"/>
    <x v="4"/>
    <s v="Offer BC delivered in Sept Q3 / Confirm WW 34"/>
    <s v="Offshore"/>
    <m/>
    <m/>
    <m/>
    <m/>
    <m/>
    <m/>
    <n v="2"/>
    <n v="2"/>
    <m/>
    <m/>
    <m/>
    <m/>
    <m/>
    <m/>
    <m/>
    <x v="0"/>
    <x v="7"/>
    <x v="7"/>
    <s v="HSM-BE54-HD"/>
  </r>
  <r>
    <s v="Nordic"/>
    <x v="108"/>
    <m/>
    <x v="2"/>
    <x v="40"/>
    <x v="3"/>
    <s v="Special SKU / short cable / HC connect"/>
    <s v="Offshore"/>
    <m/>
    <m/>
    <m/>
    <m/>
    <m/>
    <n v="10"/>
    <m/>
    <m/>
    <m/>
    <m/>
    <m/>
    <m/>
    <m/>
    <m/>
    <m/>
    <x v="0"/>
    <x v="7"/>
    <x v="7"/>
    <s v="HSM-ND66-GR"/>
  </r>
  <r>
    <s v="Nordic"/>
    <x v="108"/>
    <m/>
    <x v="2"/>
    <x v="16"/>
    <x v="3"/>
    <s v="Special SKU / short cable / HC connect"/>
    <s v="Offshore"/>
    <m/>
    <m/>
    <m/>
    <m/>
    <m/>
    <n v="5"/>
    <m/>
    <m/>
    <m/>
    <m/>
    <m/>
    <m/>
    <m/>
    <m/>
    <m/>
    <x v="0"/>
    <x v="7"/>
    <x v="7"/>
    <s v="HSM-ND66-GR"/>
  </r>
  <r>
    <s v="Nordic"/>
    <x v="113"/>
    <s v="Filip Abrahamsson"/>
    <x v="7"/>
    <x v="49"/>
    <x v="2"/>
    <s v="Upgrade to 485 or 480"/>
    <s v="EU"/>
    <m/>
    <n v="0.2"/>
    <m/>
    <m/>
    <m/>
    <m/>
    <m/>
    <m/>
    <m/>
    <m/>
    <m/>
    <m/>
    <m/>
    <m/>
    <m/>
    <x v="0"/>
    <x v="7"/>
    <x v="7"/>
    <s v="SPR-BE54-DC"/>
  </r>
  <r>
    <s v="Nordic"/>
    <x v="114"/>
    <s v="Filip Abrahamsson"/>
    <x v="5"/>
    <x v="57"/>
    <x v="6"/>
    <s v="New C&amp;I Norway, compete with AIKO"/>
    <s v="Offshore"/>
    <m/>
    <m/>
    <m/>
    <m/>
    <m/>
    <n v="2"/>
    <m/>
    <m/>
    <m/>
    <m/>
    <m/>
    <m/>
    <m/>
    <m/>
    <m/>
    <x v="0"/>
    <x v="7"/>
    <x v="7"/>
    <s v="exclude"/>
  </r>
  <r>
    <s v="Nordic"/>
    <x v="108"/>
    <s v="Filip Abrahamsson"/>
    <x v="2"/>
    <x v="17"/>
    <x v="4"/>
    <s v="C&amp;I 10 Containers"/>
    <s v="Offshore"/>
    <n v="2"/>
    <m/>
    <m/>
    <m/>
    <m/>
    <m/>
    <m/>
    <m/>
    <m/>
    <m/>
    <m/>
    <m/>
    <m/>
    <m/>
    <m/>
    <x v="0"/>
    <x v="7"/>
    <x v="7"/>
    <s v="HSM-ND66-GR"/>
  </r>
  <r>
    <s v="Nordic"/>
    <x v="115"/>
    <m/>
    <x v="2"/>
    <x v="14"/>
    <x v="5"/>
    <m/>
    <s v="Offshore"/>
    <n v="2.4"/>
    <m/>
    <m/>
    <m/>
    <m/>
    <m/>
    <m/>
    <m/>
    <m/>
    <m/>
    <m/>
    <m/>
    <m/>
    <m/>
    <m/>
    <x v="0"/>
    <x v="7"/>
    <x v="7"/>
    <s v="HSM-ND48-DR"/>
  </r>
  <r>
    <s v="Nordic"/>
    <x v="115"/>
    <m/>
    <x v="2"/>
    <x v="15"/>
    <x v="5"/>
    <m/>
    <s v="Offshore"/>
    <n v="2"/>
    <m/>
    <m/>
    <m/>
    <m/>
    <m/>
    <m/>
    <m/>
    <m/>
    <m/>
    <m/>
    <m/>
    <m/>
    <m/>
    <m/>
    <x v="0"/>
    <x v="7"/>
    <x v="7"/>
    <s v="HSM-ND54-DR"/>
  </r>
  <r>
    <s v="Nordic"/>
    <x v="109"/>
    <m/>
    <x v="2"/>
    <x v="14"/>
    <x v="3"/>
    <s v="Placement for Q2"/>
    <s v="EU"/>
    <m/>
    <n v="2"/>
    <n v="2"/>
    <m/>
    <n v="1"/>
    <n v="1"/>
    <m/>
    <m/>
    <m/>
    <m/>
    <m/>
    <m/>
    <m/>
    <m/>
    <m/>
    <x v="0"/>
    <x v="7"/>
    <x v="7"/>
    <s v="HSM-ND48-DR"/>
  </r>
  <r>
    <s v="Nordic"/>
    <x v="109"/>
    <m/>
    <x v="2"/>
    <x v="15"/>
    <x v="2"/>
    <s v="Placement for Q2"/>
    <s v="EU"/>
    <m/>
    <m/>
    <m/>
    <m/>
    <n v="1"/>
    <m/>
    <m/>
    <m/>
    <m/>
    <m/>
    <m/>
    <m/>
    <m/>
    <m/>
    <m/>
    <x v="0"/>
    <x v="7"/>
    <x v="7"/>
    <s v="HSM-ND54-DR"/>
  </r>
  <r>
    <s v="Nordic"/>
    <x v="109"/>
    <m/>
    <x v="4"/>
    <x v="7"/>
    <x v="3"/>
    <s v="14 Units - Tender - competition Shanghai ZOE ESS - €91 kWh"/>
    <m/>
    <m/>
    <m/>
    <m/>
    <m/>
    <m/>
    <m/>
    <m/>
    <m/>
    <m/>
    <m/>
    <m/>
    <m/>
    <m/>
    <m/>
    <m/>
    <x v="1"/>
    <x v="7"/>
    <x v="7"/>
    <s v="BlueArk W10-125K-261"/>
  </r>
  <r>
    <s v="Nordic"/>
    <x v="109"/>
    <m/>
    <x v="2"/>
    <x v="17"/>
    <x v="3"/>
    <s v="Placement for Q2"/>
    <s v="EU"/>
    <m/>
    <n v="0.8"/>
    <m/>
    <n v="0.8"/>
    <m/>
    <m/>
    <m/>
    <m/>
    <m/>
    <m/>
    <m/>
    <m/>
    <m/>
    <m/>
    <m/>
    <x v="0"/>
    <x v="7"/>
    <x v="7"/>
    <s v="HSM-ND66-GR"/>
  </r>
  <r>
    <s v="Nordic"/>
    <x v="108"/>
    <m/>
    <x v="1"/>
    <x v="8"/>
    <x v="6"/>
    <s v="Price ? €0.18 not compatible, DSB project - whitelist against DMEGC - Offer €0.135"/>
    <s v="Offshore"/>
    <m/>
    <m/>
    <n v="1"/>
    <n v="1"/>
    <n v="1"/>
    <m/>
    <m/>
    <m/>
    <m/>
    <m/>
    <m/>
    <m/>
    <m/>
    <m/>
    <m/>
    <x v="0"/>
    <x v="7"/>
    <x v="7"/>
    <s v="P7 RES BLK 2.0"/>
  </r>
  <r>
    <s v="Nordic"/>
    <x v="109"/>
    <m/>
    <x v="2"/>
    <x v="16"/>
    <x v="6"/>
    <s v="C&amp;I Panatoni Warehouse PAN Nordic"/>
    <s v="EU"/>
    <m/>
    <m/>
    <m/>
    <n v="0.5"/>
    <n v="0.5"/>
    <n v="0.5"/>
    <m/>
    <m/>
    <m/>
    <m/>
    <m/>
    <m/>
    <m/>
    <m/>
    <m/>
    <x v="0"/>
    <x v="7"/>
    <x v="7"/>
    <s v="HSM-ND66-GR"/>
  </r>
  <r>
    <s v="Nordic"/>
    <x v="109"/>
    <m/>
    <x v="1"/>
    <x v="1"/>
    <x v="6"/>
    <s v="Placement for Q3"/>
    <s v="EU"/>
    <m/>
    <m/>
    <m/>
    <n v="1"/>
    <m/>
    <n v="1"/>
    <m/>
    <m/>
    <m/>
    <m/>
    <m/>
    <m/>
    <m/>
    <m/>
    <m/>
    <x v="0"/>
    <x v="7"/>
    <x v="7"/>
    <s v="P7 RES BLK 2.0"/>
  </r>
  <r>
    <s v="Nordic"/>
    <x v="108"/>
    <m/>
    <x v="8"/>
    <x v="58"/>
    <x v="0"/>
    <s v="C&amp;I GM Denmark"/>
    <s v="Offshore"/>
    <m/>
    <n v="3"/>
    <n v="3"/>
    <m/>
    <m/>
    <m/>
    <m/>
    <m/>
    <m/>
    <m/>
    <m/>
    <m/>
    <m/>
    <m/>
    <m/>
    <x v="0"/>
    <x v="7"/>
    <x v="7"/>
    <s v="TCL-MG720DT210-68NS"/>
  </r>
  <r>
    <s v="Nordic"/>
    <x v="109"/>
    <m/>
    <x v="5"/>
    <x v="39"/>
    <x v="6"/>
    <s v="Offer €0.128"/>
    <s v="EU"/>
    <m/>
    <m/>
    <m/>
    <m/>
    <n v="1"/>
    <n v="1"/>
    <n v="1"/>
    <n v="1"/>
    <m/>
    <m/>
    <m/>
    <m/>
    <m/>
    <m/>
    <m/>
    <x v="0"/>
    <x v="7"/>
    <x v="7"/>
    <s v="exclude"/>
  </r>
  <r>
    <s v="Nordic"/>
    <x v="108"/>
    <m/>
    <x v="5"/>
    <x v="39"/>
    <x v="6"/>
    <s v="Offer €0.128"/>
    <s v="Offshore"/>
    <m/>
    <m/>
    <m/>
    <m/>
    <n v="1"/>
    <n v="1"/>
    <n v="1"/>
    <n v="1"/>
    <m/>
    <m/>
    <m/>
    <m/>
    <m/>
    <m/>
    <m/>
    <x v="0"/>
    <x v="7"/>
    <x v="7"/>
    <s v="exclude"/>
  </r>
  <r>
    <s v="Nordic"/>
    <x v="109"/>
    <m/>
    <x v="2"/>
    <x v="17"/>
    <x v="5"/>
    <m/>
    <s v="EU"/>
    <m/>
    <m/>
    <n v="0.4"/>
    <m/>
    <m/>
    <m/>
    <m/>
    <m/>
    <m/>
    <m/>
    <m/>
    <m/>
    <m/>
    <m/>
    <m/>
    <x v="0"/>
    <x v="7"/>
    <x v="7"/>
    <s v="HSM-ND66-GR"/>
  </r>
  <r>
    <s v="Nordic"/>
    <x v="108"/>
    <m/>
    <x v="2"/>
    <x v="14"/>
    <x v="6"/>
    <s v="Placement for Q2"/>
    <s v="Offshore"/>
    <m/>
    <m/>
    <n v="2"/>
    <n v="2"/>
    <n v="2"/>
    <n v="2"/>
    <m/>
    <m/>
    <m/>
    <m/>
    <m/>
    <m/>
    <m/>
    <m/>
    <m/>
    <x v="0"/>
    <x v="7"/>
    <x v="7"/>
    <s v="HSM-ND48-DR"/>
  </r>
  <r>
    <s v="Nordic"/>
    <x v="109"/>
    <m/>
    <x v="2"/>
    <x v="14"/>
    <x v="3"/>
    <s v="2 CT 455W - Price France."/>
    <m/>
    <m/>
    <m/>
    <m/>
    <m/>
    <m/>
    <m/>
    <m/>
    <m/>
    <m/>
    <m/>
    <m/>
    <m/>
    <m/>
    <m/>
    <m/>
    <x v="0"/>
    <x v="7"/>
    <x v="7"/>
    <s v="HSM-ND48-DR"/>
  </r>
  <r>
    <s v="North Macedonia"/>
    <x v="13"/>
    <m/>
    <x v="2"/>
    <x v="16"/>
    <x v="6"/>
    <s v="3 containers 1 project"/>
    <s v="Offshore"/>
    <m/>
    <m/>
    <m/>
    <m/>
    <m/>
    <m/>
    <m/>
    <n v="1.2"/>
    <m/>
    <m/>
    <m/>
    <m/>
    <m/>
    <m/>
    <m/>
    <x v="0"/>
    <x v="3"/>
    <x v="3"/>
    <s v="HSM-ND66-GR"/>
  </r>
  <r>
    <s v="Poland"/>
    <x v="116"/>
    <m/>
    <x v="1"/>
    <x v="34"/>
    <x v="0"/>
    <s v="public tender, still waiting for respond "/>
    <s v="EU"/>
    <m/>
    <m/>
    <n v="1.4"/>
    <m/>
    <m/>
    <m/>
    <m/>
    <m/>
    <m/>
    <m/>
    <m/>
    <m/>
    <m/>
    <m/>
    <m/>
    <x v="0"/>
    <x v="4"/>
    <x v="4"/>
    <s v="P7 COM S BF IT"/>
  </r>
  <r>
    <s v="Poland"/>
    <x v="117"/>
    <m/>
    <x v="2"/>
    <x v="41"/>
    <x v="0"/>
    <s v="10-15mw waiting for confirmation "/>
    <s v="Offshore"/>
    <m/>
    <m/>
    <m/>
    <m/>
    <n v="5"/>
    <n v="5"/>
    <n v="5"/>
    <m/>
    <m/>
    <m/>
    <m/>
    <m/>
    <m/>
    <m/>
    <m/>
    <x v="0"/>
    <x v="4"/>
    <x v="4"/>
    <s v="HSM-ND66-GK"/>
  </r>
  <r>
    <s v="Poland"/>
    <x v="118"/>
    <m/>
    <x v="2"/>
    <x v="17"/>
    <x v="3"/>
    <s v="620W waiting for the building to be constructed_x000a_"/>
    <s v="Offshore"/>
    <m/>
    <n v="1"/>
    <m/>
    <m/>
    <m/>
    <n v="1"/>
    <m/>
    <m/>
    <m/>
    <m/>
    <m/>
    <m/>
    <m/>
    <m/>
    <m/>
    <x v="0"/>
    <x v="4"/>
    <x v="4"/>
    <s v="HSM-ND66-GR"/>
  </r>
  <r>
    <s v="Poland"/>
    <x v="118"/>
    <m/>
    <x v="2"/>
    <x v="17"/>
    <x v="3"/>
    <s v="620W waiting for the building to be constructed_x000a_"/>
    <s v="Offshore"/>
    <m/>
    <m/>
    <m/>
    <m/>
    <m/>
    <m/>
    <n v="4"/>
    <m/>
    <m/>
    <m/>
    <m/>
    <m/>
    <m/>
    <m/>
    <m/>
    <x v="0"/>
    <x v="4"/>
    <x v="4"/>
    <s v="HSM-ND66-GR"/>
  </r>
  <r>
    <s v="Poland"/>
    <x v="118"/>
    <m/>
    <x v="2"/>
    <x v="17"/>
    <x v="3"/>
    <s v="620W waiting for the building to be constructed_x000a_"/>
    <s v="Offshore"/>
    <m/>
    <m/>
    <m/>
    <m/>
    <m/>
    <m/>
    <n v="4"/>
    <m/>
    <m/>
    <m/>
    <m/>
    <m/>
    <m/>
    <m/>
    <m/>
    <x v="0"/>
    <x v="4"/>
    <x v="4"/>
    <s v="HSM-ND66-GR"/>
  </r>
  <r>
    <s v="Poland"/>
    <x v="118"/>
    <m/>
    <x v="2"/>
    <x v="17"/>
    <x v="0"/>
    <s v="Polish army project "/>
    <s v="Offshore"/>
    <m/>
    <m/>
    <m/>
    <m/>
    <m/>
    <n v="5.2"/>
    <m/>
    <m/>
    <m/>
    <m/>
    <m/>
    <m/>
    <m/>
    <m/>
    <m/>
    <x v="0"/>
    <x v="4"/>
    <x v="4"/>
    <s v="HSM-ND66-GR"/>
  </r>
  <r>
    <s v="Poland"/>
    <x v="118"/>
    <m/>
    <x v="8"/>
    <x v="58"/>
    <x v="0"/>
    <s v="98 mw start offering"/>
    <s v="Offshore"/>
    <m/>
    <m/>
    <m/>
    <m/>
    <m/>
    <n v="1"/>
    <m/>
    <m/>
    <m/>
    <m/>
    <m/>
    <m/>
    <m/>
    <m/>
    <m/>
    <x v="0"/>
    <x v="4"/>
    <x v="4"/>
    <s v="TCL-MG720DT210-68NS"/>
  </r>
  <r>
    <s v="Poland"/>
    <x v="119"/>
    <m/>
    <x v="2"/>
    <x v="41"/>
    <x v="0"/>
    <s v="20mw project "/>
    <s v="Offshore"/>
    <m/>
    <m/>
    <m/>
    <m/>
    <m/>
    <m/>
    <n v="20"/>
    <m/>
    <m/>
    <m/>
    <m/>
    <m/>
    <m/>
    <m/>
    <m/>
    <x v="0"/>
    <x v="4"/>
    <x v="4"/>
    <s v="HSM-ND66-GK"/>
  </r>
  <r>
    <s v="Poland"/>
    <x v="118"/>
    <m/>
    <x v="2"/>
    <x v="17"/>
    <x v="6"/>
    <s v="start of offering  300 mw"/>
    <s v="Offshore"/>
    <m/>
    <m/>
    <m/>
    <m/>
    <m/>
    <n v="1"/>
    <m/>
    <m/>
    <m/>
    <m/>
    <m/>
    <m/>
    <m/>
    <m/>
    <m/>
    <x v="0"/>
    <x v="4"/>
    <x v="4"/>
    <s v="HSM-ND66-GR"/>
  </r>
  <r>
    <s v="Poland"/>
    <x v="118"/>
    <m/>
    <x v="2"/>
    <x v="17"/>
    <x v="6"/>
    <s v="start of offering  187 mw"/>
    <s v="Offshore"/>
    <m/>
    <m/>
    <m/>
    <m/>
    <m/>
    <n v="1"/>
    <m/>
    <m/>
    <m/>
    <m/>
    <m/>
    <m/>
    <m/>
    <m/>
    <m/>
    <x v="0"/>
    <x v="4"/>
    <x v="4"/>
    <s v="HSM-ND66-GR"/>
  </r>
  <r>
    <s v="Poland"/>
    <x v="117"/>
    <m/>
    <x v="2"/>
    <x v="2"/>
    <x v="1"/>
    <s v="100% confirmed"/>
    <s v="Offshore"/>
    <n v="6"/>
    <n v="6"/>
    <n v="6"/>
    <n v="4"/>
    <n v="4"/>
    <n v="4"/>
    <n v="5"/>
    <n v="5"/>
    <m/>
    <m/>
    <m/>
    <m/>
    <m/>
    <m/>
    <m/>
    <x v="0"/>
    <x v="4"/>
    <x v="4"/>
    <s v="HSM-ND54-DR"/>
  </r>
  <r>
    <s v="Poland"/>
    <x v="120"/>
    <m/>
    <x v="2"/>
    <x v="2"/>
    <x v="1"/>
    <s v="Waiting for answer, distribution politic issue"/>
    <s v="Offshore"/>
    <n v="5.2"/>
    <n v="5.2"/>
    <n v="7.8"/>
    <n v="4"/>
    <n v="4"/>
    <n v="4"/>
    <n v="4"/>
    <n v="4"/>
    <m/>
    <m/>
    <m/>
    <m/>
    <m/>
    <m/>
    <m/>
    <x v="0"/>
    <x v="4"/>
    <x v="4"/>
    <s v="HSM-ND54-DR"/>
  </r>
  <r>
    <s v="Poland"/>
    <x v="118"/>
    <m/>
    <x v="2"/>
    <x v="5"/>
    <x v="0"/>
    <s v="Polish army project "/>
    <s v="Offshore"/>
    <m/>
    <m/>
    <m/>
    <m/>
    <m/>
    <n v="0.7"/>
    <m/>
    <m/>
    <m/>
    <m/>
    <m/>
    <m/>
    <m/>
    <m/>
    <m/>
    <x v="0"/>
    <x v="4"/>
    <x v="4"/>
    <s v="HSM-ND48-DR"/>
  </r>
  <r>
    <s v="Poland"/>
    <x v="121"/>
    <m/>
    <x v="1"/>
    <x v="8"/>
    <x v="0"/>
    <s v="3MW - CIF Gdansk"/>
    <s v="Offshore"/>
    <m/>
    <m/>
    <m/>
    <m/>
    <n v="3"/>
    <m/>
    <m/>
    <m/>
    <m/>
    <m/>
    <m/>
    <m/>
    <m/>
    <m/>
    <m/>
    <x v="0"/>
    <x v="4"/>
    <x v="4"/>
    <s v="P7 RES BLK 2.0"/>
  </r>
  <r>
    <s v="Romania"/>
    <x v="122"/>
    <m/>
    <x v="5"/>
    <x v="57"/>
    <x v="0"/>
    <s v="2,6MW of 640W, CIP Romania"/>
    <s v="EU"/>
    <m/>
    <m/>
    <m/>
    <n v="2.6"/>
    <m/>
    <m/>
    <m/>
    <m/>
    <m/>
    <m/>
    <m/>
    <m/>
    <m/>
    <m/>
    <m/>
    <x v="0"/>
    <x v="4"/>
    <x v="4"/>
    <s v="exclude"/>
  </r>
  <r>
    <s v="Romania"/>
    <x v="123"/>
    <m/>
    <x v="1"/>
    <x v="8"/>
    <x v="5"/>
    <s v="3,5MW "/>
    <s v="EU"/>
    <m/>
    <n v="3.5"/>
    <m/>
    <m/>
    <m/>
    <m/>
    <m/>
    <m/>
    <m/>
    <m/>
    <m/>
    <m/>
    <m/>
    <m/>
    <m/>
    <x v="0"/>
    <x v="4"/>
    <x v="4"/>
    <s v="P7 RES BLK 2.0"/>
  </r>
  <r>
    <s v="Serbia"/>
    <x v="124"/>
    <m/>
    <x v="2"/>
    <x v="40"/>
    <x v="3"/>
    <s v="small projects of 450 kW"/>
    <s v="Offshore"/>
    <m/>
    <m/>
    <m/>
    <m/>
    <m/>
    <m/>
    <m/>
    <n v="8"/>
    <m/>
    <m/>
    <m/>
    <m/>
    <m/>
    <m/>
    <m/>
    <x v="0"/>
    <x v="3"/>
    <x v="3"/>
    <s v="HSM-ND66-GR"/>
  </r>
  <r>
    <s v="Serbia"/>
    <x v="125"/>
    <m/>
    <x v="2"/>
    <x v="4"/>
    <x v="0"/>
    <s v="2MW project - early stage - 720W BF DG - planned for end of 2026 or beginning of 2027"/>
    <s v="Offshore"/>
    <m/>
    <m/>
    <m/>
    <m/>
    <m/>
    <m/>
    <m/>
    <n v="2"/>
    <m/>
    <m/>
    <m/>
    <m/>
    <m/>
    <m/>
    <m/>
    <x v="0"/>
    <x v="3"/>
    <x v="3"/>
    <s v="HSM-ND66-GK"/>
  </r>
  <r>
    <s v="Serbia"/>
    <x v="126"/>
    <m/>
    <x v="2"/>
    <x v="40"/>
    <x v="3"/>
    <s v="8 MW CIF Thessaloniki"/>
    <s v="Offshore"/>
    <m/>
    <m/>
    <m/>
    <m/>
    <m/>
    <m/>
    <m/>
    <n v="8"/>
    <m/>
    <m/>
    <m/>
    <m/>
    <m/>
    <m/>
    <m/>
    <x v="0"/>
    <x v="3"/>
    <x v="3"/>
    <s v="HSM-ND66-GR"/>
  </r>
  <r>
    <s v="Spain"/>
    <x v="127"/>
    <m/>
    <x v="6"/>
    <x v="23"/>
    <x v="1"/>
    <m/>
    <s v="EU"/>
    <n v="20"/>
    <m/>
    <n v="25"/>
    <n v="30"/>
    <n v="10"/>
    <n v="25"/>
    <n v="25"/>
    <n v="25"/>
    <n v="10"/>
    <m/>
    <m/>
    <m/>
    <m/>
    <m/>
    <m/>
    <x v="1"/>
    <x v="3"/>
    <x v="8"/>
    <s v="Gen2 1P 6kw"/>
  </r>
  <r>
    <s v="Spain"/>
    <x v="128"/>
    <m/>
    <x v="5"/>
    <x v="53"/>
    <x v="3"/>
    <m/>
    <s v="Offshore"/>
    <n v="1"/>
    <m/>
    <m/>
    <m/>
    <m/>
    <m/>
    <m/>
    <m/>
    <n v="0.4"/>
    <m/>
    <m/>
    <m/>
    <m/>
    <m/>
    <m/>
    <x v="0"/>
    <x v="3"/>
    <x v="8"/>
    <s v="HSM-NT48-JH"/>
  </r>
  <r>
    <s v="Spain"/>
    <x v="129"/>
    <m/>
    <x v="5"/>
    <x v="9"/>
    <x v="3"/>
    <m/>
    <s v="Offshore"/>
    <m/>
    <m/>
    <m/>
    <n v="1.6"/>
    <m/>
    <n v="0.4"/>
    <n v="0.4"/>
    <n v="0.4"/>
    <n v="0.4"/>
    <m/>
    <m/>
    <m/>
    <m/>
    <m/>
    <m/>
    <x v="0"/>
    <x v="3"/>
    <x v="8"/>
    <s v="HSM-NT60-GH"/>
  </r>
  <r>
    <s v="Spain"/>
    <x v="129"/>
    <m/>
    <x v="5"/>
    <x v="13"/>
    <x v="3"/>
    <m/>
    <s v="Offshore"/>
    <m/>
    <n v="0.4"/>
    <n v="0.4"/>
    <n v="0.4"/>
    <m/>
    <n v="0.4"/>
    <m/>
    <m/>
    <m/>
    <m/>
    <m/>
    <m/>
    <m/>
    <m/>
    <m/>
    <x v="0"/>
    <x v="3"/>
    <x v="8"/>
    <s v="HSM-NT66-GH"/>
  </r>
  <r>
    <s v="Spain"/>
    <x v="130"/>
    <m/>
    <x v="5"/>
    <x v="9"/>
    <x v="1"/>
    <m/>
    <s v="EU"/>
    <m/>
    <m/>
    <m/>
    <m/>
    <m/>
    <n v="0.4"/>
    <m/>
    <n v="0.4"/>
    <m/>
    <m/>
    <m/>
    <m/>
    <m/>
    <m/>
    <m/>
    <x v="0"/>
    <x v="3"/>
    <x v="8"/>
    <s v="HSM-NT60-GH"/>
  </r>
  <r>
    <s v="Spain"/>
    <x v="130"/>
    <m/>
    <x v="2"/>
    <x v="15"/>
    <x v="1"/>
    <m/>
    <s v="EU"/>
    <m/>
    <m/>
    <m/>
    <m/>
    <m/>
    <m/>
    <n v="0.4"/>
    <m/>
    <m/>
    <m/>
    <m/>
    <m/>
    <m/>
    <m/>
    <m/>
    <x v="0"/>
    <x v="3"/>
    <x v="8"/>
    <s v="HSM-ND54-DR"/>
  </r>
  <r>
    <s v="Spain"/>
    <x v="130"/>
    <m/>
    <x v="5"/>
    <x v="13"/>
    <x v="4"/>
    <m/>
    <m/>
    <m/>
    <m/>
    <m/>
    <m/>
    <m/>
    <n v="0.4"/>
    <m/>
    <m/>
    <n v="0.4"/>
    <m/>
    <m/>
    <m/>
    <m/>
    <m/>
    <m/>
    <x v="0"/>
    <x v="3"/>
    <x v="8"/>
    <s v="HSM-NT66-GH"/>
  </r>
  <r>
    <s v="Spain"/>
    <x v="131"/>
    <m/>
    <x v="5"/>
    <x v="9"/>
    <x v="3"/>
    <m/>
    <m/>
    <m/>
    <m/>
    <m/>
    <m/>
    <m/>
    <n v="0.4"/>
    <m/>
    <m/>
    <m/>
    <m/>
    <m/>
    <m/>
    <m/>
    <m/>
    <m/>
    <x v="0"/>
    <x v="3"/>
    <x v="8"/>
    <s v="HSM-NT60-GH"/>
  </r>
  <r>
    <s v="Spain"/>
    <x v="131"/>
    <m/>
    <x v="2"/>
    <x v="15"/>
    <x v="3"/>
    <m/>
    <m/>
    <m/>
    <m/>
    <m/>
    <m/>
    <m/>
    <n v="0.4"/>
    <m/>
    <m/>
    <m/>
    <m/>
    <m/>
    <m/>
    <m/>
    <m/>
    <m/>
    <x v="0"/>
    <x v="3"/>
    <x v="8"/>
    <s v="HSM-ND54-DR"/>
  </r>
  <r>
    <s v="Spain"/>
    <x v="132"/>
    <m/>
    <x v="2"/>
    <x v="15"/>
    <x v="3"/>
    <m/>
    <m/>
    <m/>
    <m/>
    <m/>
    <m/>
    <n v="0.4"/>
    <m/>
    <m/>
    <m/>
    <m/>
    <m/>
    <m/>
    <m/>
    <m/>
    <m/>
    <m/>
    <x v="0"/>
    <x v="3"/>
    <x v="8"/>
    <s v="HSM-ND54-DR"/>
  </r>
  <r>
    <s v="Spain"/>
    <x v="132"/>
    <m/>
    <x v="2"/>
    <x v="16"/>
    <x v="3"/>
    <m/>
    <m/>
    <m/>
    <m/>
    <m/>
    <m/>
    <m/>
    <m/>
    <n v="0.4"/>
    <n v="0.8"/>
    <n v="0.4"/>
    <m/>
    <m/>
    <m/>
    <m/>
    <m/>
    <m/>
    <x v="0"/>
    <x v="3"/>
    <x v="8"/>
    <s v="HSM-ND66-GR"/>
  </r>
  <r>
    <s v="Spain"/>
    <x v="133"/>
    <m/>
    <x v="5"/>
    <x v="9"/>
    <x v="8"/>
    <m/>
    <m/>
    <m/>
    <m/>
    <m/>
    <m/>
    <m/>
    <m/>
    <n v="0.4"/>
    <m/>
    <m/>
    <m/>
    <m/>
    <m/>
    <m/>
    <m/>
    <m/>
    <x v="0"/>
    <x v="3"/>
    <x v="8"/>
    <s v="HSM-NT60-GH"/>
  </r>
  <r>
    <s v="Spain"/>
    <x v="133"/>
    <m/>
    <x v="2"/>
    <x v="16"/>
    <x v="8"/>
    <m/>
    <m/>
    <m/>
    <m/>
    <m/>
    <m/>
    <m/>
    <m/>
    <n v="0.4"/>
    <m/>
    <m/>
    <m/>
    <m/>
    <m/>
    <m/>
    <m/>
    <m/>
    <x v="0"/>
    <x v="3"/>
    <x v="8"/>
    <s v="HSM-ND66-GR"/>
  </r>
  <r>
    <s v="Spain"/>
    <x v="134"/>
    <m/>
    <x v="5"/>
    <x v="53"/>
    <x v="1"/>
    <m/>
    <m/>
    <m/>
    <m/>
    <m/>
    <m/>
    <m/>
    <m/>
    <n v="1.6"/>
    <m/>
    <n v="0.8"/>
    <m/>
    <m/>
    <m/>
    <m/>
    <m/>
    <m/>
    <x v="0"/>
    <x v="3"/>
    <x v="8"/>
    <s v="HSM-NT48-JH"/>
  </r>
  <r>
    <s v="Spain"/>
    <x v="135"/>
    <m/>
    <x v="5"/>
    <x v="13"/>
    <x v="4"/>
    <m/>
    <m/>
    <m/>
    <m/>
    <m/>
    <m/>
    <m/>
    <m/>
    <m/>
    <n v="0.4"/>
    <m/>
    <m/>
    <m/>
    <m/>
    <m/>
    <m/>
    <m/>
    <x v="0"/>
    <x v="3"/>
    <x v="8"/>
    <s v="HSM-NT66-GH"/>
  </r>
  <r>
    <s v="Spain"/>
    <x v="135"/>
    <m/>
    <x v="5"/>
    <x v="9"/>
    <x v="3"/>
    <m/>
    <m/>
    <m/>
    <m/>
    <m/>
    <m/>
    <m/>
    <n v="0.8"/>
    <m/>
    <n v="0.4"/>
    <m/>
    <m/>
    <m/>
    <m/>
    <m/>
    <m/>
    <m/>
    <x v="0"/>
    <x v="3"/>
    <x v="8"/>
    <s v="HSM-NT60-GH"/>
  </r>
  <r>
    <s v="Spain"/>
    <x v="127"/>
    <m/>
    <x v="13"/>
    <x v="59"/>
    <x v="0"/>
    <m/>
    <s v="EU"/>
    <m/>
    <m/>
    <m/>
    <m/>
    <m/>
    <m/>
    <m/>
    <n v="20"/>
    <n v="60"/>
    <m/>
    <m/>
    <m/>
    <m/>
    <m/>
    <m/>
    <x v="1"/>
    <x v="3"/>
    <x v="8"/>
    <s v="BlueArk X1-5kW-SP"/>
  </r>
  <r>
    <s v="Spain"/>
    <x v="127"/>
    <m/>
    <x v="13"/>
    <x v="60"/>
    <x v="0"/>
    <m/>
    <s v="EU"/>
    <m/>
    <m/>
    <m/>
    <m/>
    <m/>
    <m/>
    <m/>
    <n v="2"/>
    <n v="6"/>
    <m/>
    <m/>
    <m/>
    <m/>
    <m/>
    <m/>
    <x v="1"/>
    <x v="3"/>
    <x v="8"/>
    <s v="BlueArk X1-15kW-TP "/>
  </r>
  <r>
    <s v="Spain"/>
    <x v="128"/>
    <m/>
    <x v="5"/>
    <x v="9"/>
    <x v="1"/>
    <m/>
    <s v="Offshore"/>
    <m/>
    <n v="0.4"/>
    <m/>
    <m/>
    <m/>
    <n v="0.8"/>
    <m/>
    <n v="0.8"/>
    <m/>
    <m/>
    <m/>
    <m/>
    <m/>
    <m/>
    <m/>
    <x v="0"/>
    <x v="3"/>
    <x v="8"/>
    <s v="HSM-NT60-GH"/>
  </r>
  <r>
    <s v="Spain"/>
    <x v="127"/>
    <m/>
    <x v="4"/>
    <x v="10"/>
    <x v="4"/>
    <m/>
    <s v="EU"/>
    <m/>
    <m/>
    <m/>
    <m/>
    <m/>
    <n v="4"/>
    <n v="12"/>
    <n v="12"/>
    <n v="4"/>
    <m/>
    <m/>
    <m/>
    <m/>
    <m/>
    <m/>
    <x v="1"/>
    <x v="3"/>
    <x v="8"/>
    <s v="BlueArk X5-50K-100"/>
  </r>
  <r>
    <s v="Spain"/>
    <x v="136"/>
    <m/>
    <x v="0"/>
    <x v="19"/>
    <x v="1"/>
    <m/>
    <s v="Offshore"/>
    <m/>
    <m/>
    <n v="0.8"/>
    <m/>
    <m/>
    <n v="0.4"/>
    <n v="0.8"/>
    <n v="0.8"/>
    <m/>
    <m/>
    <m/>
    <m/>
    <m/>
    <m/>
    <m/>
    <x v="0"/>
    <x v="3"/>
    <x v="8"/>
    <s v="HSM-BE66-GD "/>
  </r>
  <r>
    <s v="Spain"/>
    <x v="136"/>
    <m/>
    <x v="5"/>
    <x v="9"/>
    <x v="4"/>
    <m/>
    <s v="Offshore"/>
    <m/>
    <m/>
    <n v="1"/>
    <m/>
    <m/>
    <n v="1.6"/>
    <m/>
    <n v="1.2"/>
    <n v="0.8"/>
    <m/>
    <m/>
    <m/>
    <m/>
    <m/>
    <m/>
    <x v="0"/>
    <x v="3"/>
    <x v="8"/>
    <s v="HSM-NT60-GH"/>
  </r>
  <r>
    <s v="Spain"/>
    <x v="127"/>
    <m/>
    <x v="6"/>
    <x v="50"/>
    <x v="1"/>
    <m/>
    <s v="EU"/>
    <n v="20"/>
    <m/>
    <n v="15"/>
    <n v="20"/>
    <n v="5"/>
    <n v="15"/>
    <n v="15"/>
    <n v="15"/>
    <n v="5"/>
    <m/>
    <m/>
    <m/>
    <m/>
    <m/>
    <m/>
    <x v="1"/>
    <x v="3"/>
    <x v="8"/>
    <s v="Gen2 1P 6kw"/>
  </r>
  <r>
    <s v="Spain"/>
    <x v="127"/>
    <m/>
    <x v="6"/>
    <x v="61"/>
    <x v="1"/>
    <m/>
    <s v="EU"/>
    <n v="20"/>
    <m/>
    <n v="20"/>
    <n v="20"/>
    <n v="20"/>
    <n v="30"/>
    <n v="35"/>
    <n v="35"/>
    <n v="15"/>
    <m/>
    <m/>
    <m/>
    <m/>
    <m/>
    <m/>
    <x v="1"/>
    <x v="3"/>
    <x v="8"/>
    <s v="Gen2 1P 10kw"/>
  </r>
  <r>
    <s v="Spain"/>
    <x v="137"/>
    <m/>
    <x v="3"/>
    <x v="6"/>
    <x v="1"/>
    <m/>
    <s v="EU"/>
    <n v="0.25"/>
    <m/>
    <m/>
    <n v="0.1"/>
    <n v="0.1"/>
    <n v="0.2"/>
    <m/>
    <m/>
    <n v="0.2"/>
    <m/>
    <m/>
    <m/>
    <m/>
    <m/>
    <m/>
    <x v="0"/>
    <x v="3"/>
    <x v="8"/>
    <s v="SPR-BE54-HD"/>
  </r>
  <r>
    <s v="Spain"/>
    <x v="137"/>
    <m/>
    <x v="3"/>
    <x v="35"/>
    <x v="4"/>
    <s v="Black Frame"/>
    <s v="EU"/>
    <m/>
    <m/>
    <m/>
    <m/>
    <m/>
    <m/>
    <m/>
    <m/>
    <m/>
    <m/>
    <m/>
    <m/>
    <m/>
    <m/>
    <m/>
    <x v="0"/>
    <x v="3"/>
    <x v="8"/>
    <s v="SPR-BE66-GD"/>
  </r>
  <r>
    <s v="Spain"/>
    <x v="137"/>
    <m/>
    <x v="1"/>
    <x v="18"/>
    <x v="1"/>
    <m/>
    <s v="EU"/>
    <n v="0"/>
    <n v="0.8"/>
    <n v="1.2"/>
    <n v="0.8"/>
    <n v="0.4"/>
    <n v="1.2"/>
    <n v="1.2"/>
    <n v="1.2"/>
    <n v="0.4"/>
    <m/>
    <m/>
    <m/>
    <m/>
    <m/>
    <m/>
    <x v="0"/>
    <x v="3"/>
    <x v="8"/>
    <s v="P7 RES BLK-P"/>
  </r>
  <r>
    <s v="Spain"/>
    <x v="137"/>
    <m/>
    <x v="1"/>
    <x v="34"/>
    <x v="1"/>
    <m/>
    <s v="EU"/>
    <n v="0.4"/>
    <n v="1"/>
    <n v="1"/>
    <n v="1.2"/>
    <n v="0.4"/>
    <n v="1"/>
    <n v="1.2"/>
    <n v="2"/>
    <n v="1.2"/>
    <m/>
    <m/>
    <m/>
    <m/>
    <m/>
    <m/>
    <x v="0"/>
    <x v="3"/>
    <x v="8"/>
    <s v="P7 COM S BF IT"/>
  </r>
  <r>
    <s v="Spain"/>
    <x v="137"/>
    <m/>
    <x v="1"/>
    <x v="1"/>
    <x v="1"/>
    <m/>
    <s v="EU"/>
    <n v="0.4"/>
    <n v="0.4"/>
    <n v="0.4"/>
    <n v="0.4"/>
    <m/>
    <n v="0.8"/>
    <n v="0.4"/>
    <n v="0.4"/>
    <n v="0.4"/>
    <m/>
    <m/>
    <m/>
    <m/>
    <m/>
    <m/>
    <x v="0"/>
    <x v="3"/>
    <x v="8"/>
    <s v="P7 RES BLK 2.0"/>
  </r>
  <r>
    <s v="Spain"/>
    <x v="137"/>
    <m/>
    <x v="5"/>
    <x v="13"/>
    <x v="1"/>
    <m/>
    <s v="Offshore"/>
    <n v="2"/>
    <n v="1"/>
    <n v="2"/>
    <n v="1.7"/>
    <m/>
    <m/>
    <m/>
    <m/>
    <m/>
    <m/>
    <m/>
    <m/>
    <m/>
    <m/>
    <m/>
    <x v="0"/>
    <x v="3"/>
    <x v="8"/>
    <s v="HSM-NT66-GH"/>
  </r>
  <r>
    <s v="Spain"/>
    <x v="137"/>
    <m/>
    <x v="5"/>
    <x v="9"/>
    <x v="1"/>
    <m/>
    <s v="Offshore"/>
    <m/>
    <m/>
    <n v="4"/>
    <m/>
    <m/>
    <m/>
    <m/>
    <m/>
    <m/>
    <m/>
    <m/>
    <m/>
    <m/>
    <m/>
    <m/>
    <x v="0"/>
    <x v="3"/>
    <x v="8"/>
    <s v="HSM-NT60-GH"/>
  </r>
  <r>
    <s v="Spain"/>
    <x v="137"/>
    <m/>
    <x v="5"/>
    <x v="53"/>
    <x v="1"/>
    <m/>
    <s v="Offshore"/>
    <m/>
    <m/>
    <n v="0.8"/>
    <n v="0.8"/>
    <m/>
    <m/>
    <m/>
    <m/>
    <m/>
    <m/>
    <m/>
    <m/>
    <m/>
    <m/>
    <m/>
    <x v="0"/>
    <x v="3"/>
    <x v="8"/>
    <s v="HSM-NT48-JH"/>
  </r>
  <r>
    <s v="Spain"/>
    <x v="137"/>
    <m/>
    <x v="2"/>
    <x v="15"/>
    <x v="1"/>
    <m/>
    <s v="Offshore"/>
    <n v="1"/>
    <m/>
    <m/>
    <m/>
    <m/>
    <m/>
    <m/>
    <m/>
    <m/>
    <m/>
    <m/>
    <m/>
    <m/>
    <m/>
    <m/>
    <x v="0"/>
    <x v="3"/>
    <x v="8"/>
    <s v="HSM-ND54-DR"/>
  </r>
  <r>
    <s v="Spain"/>
    <x v="137"/>
    <m/>
    <x v="2"/>
    <x v="40"/>
    <x v="1"/>
    <m/>
    <s v="Offshore"/>
    <n v="2"/>
    <n v="1"/>
    <m/>
    <m/>
    <m/>
    <m/>
    <m/>
    <m/>
    <m/>
    <m/>
    <m/>
    <m/>
    <m/>
    <m/>
    <m/>
    <x v="0"/>
    <x v="3"/>
    <x v="8"/>
    <s v="HSM-ND66-GR"/>
  </r>
  <r>
    <s v="Spain"/>
    <x v="137"/>
    <m/>
    <x v="0"/>
    <x v="12"/>
    <x v="1"/>
    <m/>
    <s v="Offshore"/>
    <m/>
    <n v="2"/>
    <m/>
    <n v="0.8"/>
    <m/>
    <m/>
    <m/>
    <m/>
    <m/>
    <m/>
    <m/>
    <m/>
    <m/>
    <m/>
    <m/>
    <x v="0"/>
    <x v="3"/>
    <x v="8"/>
    <s v="HSM-BE54-HD"/>
  </r>
  <r>
    <s v="Spain"/>
    <x v="137"/>
    <m/>
    <x v="0"/>
    <x v="19"/>
    <x v="1"/>
    <m/>
    <s v="Offshore"/>
    <m/>
    <n v="1"/>
    <m/>
    <m/>
    <m/>
    <m/>
    <m/>
    <m/>
    <m/>
    <m/>
    <m/>
    <m/>
    <m/>
    <m/>
    <m/>
    <x v="0"/>
    <x v="3"/>
    <x v="8"/>
    <s v="HSM-BE66-GD "/>
  </r>
  <r>
    <s v="Spain"/>
    <x v="137"/>
    <m/>
    <x v="2"/>
    <x v="41"/>
    <x v="1"/>
    <s v="725-730"/>
    <s v="EU"/>
    <m/>
    <m/>
    <m/>
    <m/>
    <m/>
    <m/>
    <n v="3.4"/>
    <n v="5"/>
    <n v="1.2"/>
    <m/>
    <m/>
    <m/>
    <m/>
    <m/>
    <m/>
    <x v="0"/>
    <x v="3"/>
    <x v="8"/>
    <s v="HSM-ND66-GK"/>
  </r>
  <r>
    <s v="Spain"/>
    <x v="136"/>
    <m/>
    <x v="5"/>
    <x v="13"/>
    <x v="4"/>
    <m/>
    <s v="Offshore"/>
    <n v="2"/>
    <m/>
    <m/>
    <m/>
    <m/>
    <n v="0.8"/>
    <m/>
    <m/>
    <m/>
    <m/>
    <m/>
    <m/>
    <m/>
    <m/>
    <m/>
    <x v="0"/>
    <x v="3"/>
    <x v="8"/>
    <s v="HSM-NT66-GH"/>
  </r>
  <r>
    <s v="Spain"/>
    <x v="136"/>
    <m/>
    <x v="5"/>
    <x v="62"/>
    <x v="4"/>
    <m/>
    <s v="Offshore"/>
    <m/>
    <n v="2"/>
    <m/>
    <m/>
    <m/>
    <m/>
    <m/>
    <m/>
    <m/>
    <m/>
    <m/>
    <m/>
    <m/>
    <m/>
    <m/>
    <x v="0"/>
    <x v="3"/>
    <x v="8"/>
    <s v="HSM-NT66-GL"/>
  </r>
  <r>
    <s v="Spain"/>
    <x v="136"/>
    <m/>
    <x v="2"/>
    <x v="15"/>
    <x v="4"/>
    <m/>
    <s v="Offshore"/>
    <m/>
    <m/>
    <m/>
    <m/>
    <m/>
    <n v="0.8"/>
    <m/>
    <m/>
    <m/>
    <m/>
    <m/>
    <m/>
    <m/>
    <m/>
    <m/>
    <x v="0"/>
    <x v="3"/>
    <x v="8"/>
    <s v="HSM-ND54-DR"/>
  </r>
  <r>
    <s v="Spain"/>
    <x v="127"/>
    <m/>
    <x v="4"/>
    <x v="7"/>
    <x v="4"/>
    <m/>
    <s v="EU"/>
    <m/>
    <m/>
    <m/>
    <m/>
    <m/>
    <m/>
    <n v="2"/>
    <n v="4"/>
    <n v="4"/>
    <m/>
    <m/>
    <m/>
    <m/>
    <m/>
    <m/>
    <x v="1"/>
    <x v="3"/>
    <x v="8"/>
    <s v="BlueArk W10-125K-261"/>
  </r>
  <r>
    <s v="UK"/>
    <x v="138"/>
    <s v="Jon Juxon"/>
    <x v="3"/>
    <x v="6"/>
    <x v="0"/>
    <s v="Long-standing, loyal SunPower Partner with decent run-rate on P7"/>
    <s v="EU"/>
    <n v="8.5000000000000006E-2"/>
    <n v="8.5000000000000006E-2"/>
    <n v="8.5000000000000006E-2"/>
    <m/>
    <m/>
    <m/>
    <m/>
    <n v="7.1999999999999995E-2"/>
    <n v="7.1999999999999995E-2"/>
    <m/>
    <m/>
    <m/>
    <m/>
    <m/>
    <m/>
    <x v="0"/>
    <x v="8"/>
    <x v="9"/>
    <s v="SPR-BE54-HD"/>
  </r>
  <r>
    <s v="UK"/>
    <x v="139"/>
    <s v="Jon Juxon"/>
    <x v="1"/>
    <x v="1"/>
    <x v="3"/>
    <s v="Business (TCL SunPower) unsure if it can supply; quoting COM projects, directing to Bimble"/>
    <s v="EU"/>
    <n v="0"/>
    <n v="0"/>
    <n v="0.14499999999999999"/>
    <n v="0"/>
    <n v="0.1"/>
    <n v="0"/>
    <n v="0"/>
    <n v="0.15"/>
    <n v="0.05"/>
    <m/>
    <m/>
    <m/>
    <m/>
    <m/>
    <m/>
    <x v="0"/>
    <x v="8"/>
    <x v="9"/>
    <s v="P7 RES BLK 2.0"/>
  </r>
  <r>
    <s v="UK"/>
    <x v="140"/>
    <s v="Matt "/>
    <x v="5"/>
    <x v="11"/>
    <x v="3"/>
    <s v="Links Electrical  needs to be 470wp"/>
    <s v="EU"/>
    <m/>
    <m/>
    <m/>
    <n v="0.879"/>
    <n v="0.879"/>
    <n v="0.879"/>
    <m/>
    <m/>
    <m/>
    <m/>
    <m/>
    <m/>
    <m/>
    <m/>
    <m/>
    <x v="0"/>
    <x v="8"/>
    <x v="9"/>
    <s v="HSM-NT48-HH"/>
  </r>
  <r>
    <s v="UK"/>
    <x v="140"/>
    <s v="Matt "/>
    <x v="2"/>
    <x v="16"/>
    <x v="3"/>
    <s v="UK Greentech - Rugby Branch"/>
    <s v="EU"/>
    <m/>
    <m/>
    <m/>
    <n v="0.45"/>
    <n v="0.45"/>
    <n v="0.9"/>
    <m/>
    <m/>
    <m/>
    <m/>
    <m/>
    <m/>
    <m/>
    <m/>
    <m/>
    <x v="0"/>
    <x v="8"/>
    <x v="9"/>
    <s v="HSM-ND66-GR"/>
  </r>
  <r>
    <s v="UK"/>
    <x v="140"/>
    <s v="Matt "/>
    <x v="2"/>
    <x v="16"/>
    <x v="2"/>
    <s v="Alternergy ASAP"/>
    <s v="EU"/>
    <m/>
    <n v="0.45"/>
    <m/>
    <m/>
    <m/>
    <m/>
    <m/>
    <m/>
    <m/>
    <m/>
    <m/>
    <m/>
    <m/>
    <m/>
    <m/>
    <x v="0"/>
    <x v="8"/>
    <x v="9"/>
    <s v="HSM-ND66-GR"/>
  </r>
  <r>
    <s v="UK"/>
    <x v="140"/>
    <s v="Matt "/>
    <x v="2"/>
    <x v="17"/>
    <x v="2"/>
    <s v="UK Greentech - Rugby Branch"/>
    <s v="EU"/>
    <m/>
    <n v="2.6779999999999999"/>
    <m/>
    <m/>
    <m/>
    <m/>
    <m/>
    <m/>
    <m/>
    <m/>
    <m/>
    <m/>
    <m/>
    <m/>
    <m/>
    <x v="0"/>
    <x v="8"/>
    <x v="9"/>
    <s v="HSM-ND66-GR"/>
  </r>
  <r>
    <s v="UK"/>
    <x v="140"/>
    <s v="Matt "/>
    <x v="2"/>
    <x v="15"/>
    <x v="2"/>
    <s v="Alternergy "/>
    <s v="EU"/>
    <m/>
    <n v="1.3080000000000001"/>
    <m/>
    <m/>
    <m/>
    <m/>
    <m/>
    <m/>
    <m/>
    <m/>
    <m/>
    <m/>
    <m/>
    <m/>
    <m/>
    <x v="0"/>
    <x v="8"/>
    <x v="9"/>
    <s v="HSM-ND54-DR"/>
  </r>
  <r>
    <s v="UK"/>
    <x v="140"/>
    <s v="Matt "/>
    <x v="2"/>
    <x v="5"/>
    <x v="3"/>
    <s v="Swanson new customer for May and June "/>
    <s v="EU"/>
    <m/>
    <n v="0.42099999999999999"/>
    <n v="0.42099999999999999"/>
    <m/>
    <m/>
    <m/>
    <m/>
    <m/>
    <m/>
    <m/>
    <m/>
    <m/>
    <m/>
    <m/>
    <m/>
    <x v="0"/>
    <x v="8"/>
    <x v="9"/>
    <s v="HSM-ND48-DR"/>
  </r>
  <r>
    <s v="UK"/>
    <x v="140"/>
    <s v="Matt "/>
    <x v="2"/>
    <x v="5"/>
    <x v="2"/>
    <s v="Links Electrical"/>
    <s v="EU"/>
    <m/>
    <n v="0.84199999999999997"/>
    <n v="0.84199999999999997"/>
    <n v="0.84199999999999997"/>
    <n v="0.84199999999999997"/>
    <n v="0.84199999999999997"/>
    <n v="0.84199999999999997"/>
    <n v="0.42099999999999999"/>
    <m/>
    <m/>
    <m/>
    <m/>
    <m/>
    <m/>
    <m/>
    <x v="0"/>
    <x v="8"/>
    <x v="9"/>
    <s v="HSM-ND48-DR"/>
  </r>
  <r>
    <s v="UK"/>
    <x v="140"/>
    <s v="Matt "/>
    <x v="8"/>
    <x v="51"/>
    <x v="2"/>
    <s v="Alternergy  2 containers May 1 x container June"/>
    <s v="EU"/>
    <m/>
    <n v="1.218"/>
    <m/>
    <m/>
    <m/>
    <m/>
    <m/>
    <m/>
    <m/>
    <m/>
    <m/>
    <m/>
    <m/>
    <m/>
    <m/>
    <x v="0"/>
    <x v="8"/>
    <x v="9"/>
    <s v="TCL-MR470DT182-58NS"/>
  </r>
  <r>
    <s v="UK"/>
    <x v="140"/>
    <s v="Matt "/>
    <x v="0"/>
    <x v="12"/>
    <x v="3"/>
    <s v="Needs to be BC 485/490wp (Alternergy)"/>
    <s v="EU"/>
    <m/>
    <m/>
    <m/>
    <m/>
    <n v="0.439"/>
    <n v="0.439"/>
    <m/>
    <m/>
    <m/>
    <m/>
    <m/>
    <m/>
    <m/>
    <m/>
    <m/>
    <x v="0"/>
    <x v="8"/>
    <x v="9"/>
    <s v="HSM-BE54-HD"/>
  </r>
  <r>
    <s v="UK"/>
    <x v="140"/>
    <s v="Matt "/>
    <x v="4"/>
    <x v="10"/>
    <x v="0"/>
    <s v="Links electrical- presented X5 to customer, for feedback "/>
    <s v="EU"/>
    <m/>
    <m/>
    <m/>
    <m/>
    <m/>
    <m/>
    <m/>
    <m/>
    <m/>
    <m/>
    <m/>
    <m/>
    <m/>
    <m/>
    <m/>
    <x v="1"/>
    <x v="8"/>
    <x v="9"/>
    <s v="BlueArk X5-50K-100"/>
  </r>
  <r>
    <s v="UK"/>
    <x v="140"/>
    <s v="Matt "/>
    <x v="0"/>
    <x v="12"/>
    <x v="3"/>
    <s v="Needs to be BC 485/490wp (Segen UK)"/>
    <s v="EU"/>
    <m/>
    <m/>
    <n v="4"/>
    <n v="16"/>
    <n v="0.94199999999999995"/>
    <n v="0.94199999999999995"/>
    <m/>
    <m/>
    <m/>
    <m/>
    <m/>
    <m/>
    <m/>
    <m/>
    <m/>
    <x v="0"/>
    <x v="8"/>
    <x v="9"/>
    <s v="HSM-BE54-HD"/>
  </r>
  <r>
    <s v="UK"/>
    <x v="140"/>
    <s v="Matt "/>
    <x v="0"/>
    <x v="12"/>
    <x v="3"/>
    <s v="Needs to be BC 485/490wp (Swanson)"/>
    <s v="EU"/>
    <m/>
    <m/>
    <m/>
    <n v="0.439"/>
    <n v="0.439"/>
    <n v="0.439"/>
    <m/>
    <m/>
    <m/>
    <m/>
    <m/>
    <m/>
    <m/>
    <m/>
    <m/>
    <x v="0"/>
    <x v="8"/>
    <x v="9"/>
    <s v="HSM-BE54-HD"/>
  </r>
  <r>
    <s v="UK"/>
    <x v="140"/>
    <s v="Matt "/>
    <x v="0"/>
    <x v="12"/>
    <x v="3"/>
    <s v="Swanson new customer 485wp/490wp only "/>
    <s v="EU"/>
    <m/>
    <m/>
    <m/>
    <m/>
    <n v="0.439"/>
    <n v="0.439"/>
    <m/>
    <m/>
    <m/>
    <m/>
    <m/>
    <m/>
    <m/>
    <m/>
    <m/>
    <x v="0"/>
    <x v="8"/>
    <x v="9"/>
    <s v="HSM-BE54-HD"/>
  </r>
  <r>
    <s v="UK"/>
    <x v="140"/>
    <s v="Nicholas Paget"/>
    <x v="0"/>
    <x v="12"/>
    <x v="3"/>
    <s v="Encouraging discussions with Midsummer"/>
    <s v="EU"/>
    <m/>
    <m/>
    <m/>
    <m/>
    <m/>
    <m/>
    <m/>
    <m/>
    <m/>
    <m/>
    <m/>
    <m/>
    <m/>
    <m/>
    <m/>
    <x v="0"/>
    <x v="8"/>
    <x v="9"/>
    <s v="HSM-BE54-HD"/>
  </r>
  <r>
    <s v="UK"/>
    <x v="140"/>
    <s v="ESS"/>
    <x v="6"/>
    <x v="30"/>
    <x v="6"/>
    <s v="Additional 2 5KWH per 10kW unit"/>
    <s v="EU"/>
    <m/>
    <m/>
    <m/>
    <m/>
    <m/>
    <n v="4"/>
    <n v="10"/>
    <n v="10"/>
    <n v="2"/>
    <m/>
    <m/>
    <m/>
    <m/>
    <m/>
    <m/>
    <x v="1"/>
    <x v="8"/>
    <x v="9"/>
    <s v="Gen2 BAT 5kWh"/>
  </r>
  <r>
    <s v="UK"/>
    <x v="140"/>
    <s v="ESS"/>
    <x v="6"/>
    <x v="50"/>
    <x v="6"/>
    <s v="Assumed % of Total 30%"/>
    <s v="EU"/>
    <m/>
    <m/>
    <m/>
    <m/>
    <m/>
    <m/>
    <n v="8"/>
    <n v="10"/>
    <n v="3"/>
    <m/>
    <m/>
    <m/>
    <m/>
    <m/>
    <m/>
    <x v="1"/>
    <x v="8"/>
    <x v="9"/>
    <s v="Gen2 1P 6kw"/>
  </r>
  <r>
    <s v="UK"/>
    <x v="140"/>
    <s v="ESS"/>
    <x v="6"/>
    <x v="63"/>
    <x v="6"/>
    <s v="Assumed % of Total 50%"/>
    <s v="EU"/>
    <m/>
    <m/>
    <m/>
    <m/>
    <m/>
    <n v="2"/>
    <n v="8"/>
    <n v="10"/>
    <n v="3"/>
    <m/>
    <m/>
    <m/>
    <m/>
    <m/>
    <m/>
    <x v="1"/>
    <x v="8"/>
    <x v="9"/>
    <s v="Gen2 1P 5kw"/>
  </r>
  <r>
    <s v="UK"/>
    <x v="140"/>
    <s v="ESS"/>
    <x v="6"/>
    <x v="61"/>
    <x v="6"/>
    <s v="Assumed % of Total 10%"/>
    <s v="EU"/>
    <m/>
    <m/>
    <m/>
    <m/>
    <m/>
    <m/>
    <n v="5"/>
    <n v="5"/>
    <n v="1"/>
    <m/>
    <m/>
    <m/>
    <m/>
    <m/>
    <m/>
    <x v="1"/>
    <x v="8"/>
    <x v="9"/>
    <s v="Gen2 1P 10kw"/>
  </r>
  <r>
    <s v="UK"/>
    <x v="141"/>
    <s v="Jon Juxon"/>
    <x v="2"/>
    <x v="15"/>
    <x v="2"/>
    <s v="Project Solar UK, 2yr agreement, 25 MW per year, 500-510w; own MCS-label"/>
    <s v="EU"/>
    <n v="0"/>
    <n v="1.75"/>
    <n v="3.5"/>
    <n v="2"/>
    <n v="2"/>
    <n v="3.5"/>
    <n v="2.6"/>
    <n v="2.6"/>
    <n v="2.6"/>
    <m/>
    <m/>
    <m/>
    <m/>
    <m/>
    <m/>
    <x v="0"/>
    <x v="8"/>
    <x v="9"/>
    <s v="HSM-ND54-DR"/>
  </r>
  <r>
    <s v="UK"/>
    <x v="140"/>
    <s v="Nicholas Paget"/>
    <x v="1"/>
    <x v="18"/>
    <x v="5"/>
    <s v="Nick Balance of Customers"/>
    <s v="EU"/>
    <n v="7.4999999999999997E-2"/>
    <n v="7.4999999999999997E-2"/>
    <n v="7.4999999999999997E-2"/>
    <n v="7.4999999999999997E-2"/>
    <n v="7.4999999999999997E-2"/>
    <n v="7.4999999999999997E-2"/>
    <n v="7.4999999999999997E-2"/>
    <n v="7.4999999999999997E-2"/>
    <n v="7.4999999999999997E-2"/>
    <m/>
    <m/>
    <m/>
    <m/>
    <m/>
    <m/>
    <x v="0"/>
    <x v="8"/>
    <x v="9"/>
    <s v="P7 RES BLK-P"/>
  </r>
  <r>
    <s v="UK"/>
    <x v="142"/>
    <s v="Nicholas Paget"/>
    <x v="1"/>
    <x v="1"/>
    <x v="5"/>
    <m/>
    <s v="EU"/>
    <n v="3.2000000000000001E-2"/>
    <m/>
    <n v="3.3000000000000002E-2"/>
    <m/>
    <n v="3.3000000000000002E-2"/>
    <m/>
    <n v="3.3000000000000002E-2"/>
    <m/>
    <n v="3.3000000000000002E-2"/>
    <m/>
    <m/>
    <m/>
    <m/>
    <m/>
    <m/>
    <x v="0"/>
    <x v="8"/>
    <x v="9"/>
    <s v="P7 RES BLK 2.0"/>
  </r>
  <r>
    <s v="UK"/>
    <x v="143"/>
    <s v="Nicholas Paget"/>
    <x v="1"/>
    <x v="1"/>
    <x v="5"/>
    <m/>
    <s v="EU"/>
    <n v="1.6E-2"/>
    <n v="1.6E-2"/>
    <n v="1.6E-2"/>
    <n v="1.6E-2"/>
    <n v="1.6E-2"/>
    <n v="1.6E-2"/>
    <n v="1.6E-2"/>
    <n v="1.6E-2"/>
    <n v="1.6E-2"/>
    <m/>
    <m/>
    <m/>
    <m/>
    <m/>
    <m/>
    <x v="0"/>
    <x v="8"/>
    <x v="9"/>
    <s v="P7 RES BLK 2.0"/>
  </r>
  <r>
    <s v="UK"/>
    <x v="144"/>
    <s v="Nicholas Paget"/>
    <x v="5"/>
    <x v="11"/>
    <x v="3"/>
    <s v="FULLY RELIANT ON GSE/S4 TESTING "/>
    <s v="EU"/>
    <m/>
    <m/>
    <m/>
    <m/>
    <m/>
    <m/>
    <m/>
    <n v="0.82399999999999995"/>
    <n v="0.82399999999999995"/>
    <m/>
    <m/>
    <m/>
    <m/>
    <m/>
    <m/>
    <x v="0"/>
    <x v="8"/>
    <x v="9"/>
    <s v="HSM-NT48-HH"/>
  </r>
  <r>
    <s v="UK"/>
    <x v="145"/>
    <s v="Nicholas Paget"/>
    <x v="2"/>
    <x v="64"/>
    <x v="0"/>
    <s v="Q3 Group Order Tendered - Assume CiF if DDP Q4"/>
    <s v="EU"/>
    <m/>
    <m/>
    <m/>
    <n v="11.5"/>
    <m/>
    <m/>
    <m/>
    <m/>
    <m/>
    <m/>
    <m/>
    <m/>
    <m/>
    <m/>
    <m/>
    <x v="0"/>
    <x v="8"/>
    <x v="9"/>
    <s v="HSM-ND54-DR CFP"/>
  </r>
  <r>
    <s v="UK"/>
    <x v="145"/>
    <s v="Nicholas Paget"/>
    <x v="2"/>
    <x v="2"/>
    <x v="1"/>
    <s v="Part of 12Ct offer "/>
    <s v="EU"/>
    <m/>
    <m/>
    <m/>
    <m/>
    <n v="2"/>
    <n v="2"/>
    <m/>
    <m/>
    <m/>
    <m/>
    <m/>
    <m/>
    <m/>
    <m/>
    <m/>
    <x v="0"/>
    <x v="8"/>
    <x v="9"/>
    <s v="HSM-ND54-DR"/>
  </r>
  <r>
    <s v="UK"/>
    <x v="145"/>
    <s v="Matt "/>
    <x v="0"/>
    <x v="12"/>
    <x v="3"/>
    <s v="Forward orders "/>
    <s v="EU"/>
    <m/>
    <m/>
    <m/>
    <m/>
    <m/>
    <m/>
    <m/>
    <n v="4.5"/>
    <m/>
    <m/>
    <m/>
    <m/>
    <m/>
    <m/>
    <m/>
    <x v="0"/>
    <x v="8"/>
    <x v="9"/>
    <s v="HSM-BE54-HD"/>
  </r>
  <r>
    <s v="UK"/>
    <x v="145"/>
    <s v="Nicholas Paget"/>
    <x v="0"/>
    <x v="12"/>
    <x v="2"/>
    <s v="Order placed assume Q3 peterborough (CiF) rest q4 (DDP)"/>
    <s v="EU"/>
    <m/>
    <m/>
    <m/>
    <n v="0.47099999999999997"/>
    <m/>
    <m/>
    <n v="5.2"/>
    <m/>
    <m/>
    <m/>
    <m/>
    <m/>
    <m/>
    <m/>
    <m/>
    <x v="0"/>
    <x v="8"/>
    <x v="9"/>
    <s v="HSM-BE54-HD"/>
  </r>
  <r>
    <s v="UK"/>
    <x v="146"/>
    <s v="Jon Juxon"/>
    <x v="3"/>
    <x v="6"/>
    <x v="0"/>
    <s v="Elite Partner, steady business across both RES &amp; COM"/>
    <s v="EU"/>
    <n v="0.13"/>
    <n v="0.13"/>
    <n v="0.13"/>
    <n v="0"/>
    <n v="0"/>
    <n v="0"/>
    <n v="0"/>
    <n v="0"/>
    <n v="0.14499999999999999"/>
    <m/>
    <m/>
    <m/>
    <m/>
    <m/>
    <m/>
    <x v="0"/>
    <x v="8"/>
    <x v="9"/>
    <s v="SPR-BE54-HD"/>
  </r>
  <r>
    <s v="UK"/>
    <x v="146"/>
    <s v="Jon Juxon"/>
    <x v="1"/>
    <x v="18"/>
    <x v="2"/>
    <s v="Elite Partner, steady business across both RES &amp; COM"/>
    <s v="EU"/>
    <n v="0.13"/>
    <n v="0.13"/>
    <n v="0.13"/>
    <n v="0.13"/>
    <n v="0.13"/>
    <n v="0.13"/>
    <n v="0.13"/>
    <n v="0.13"/>
    <n v="0.13"/>
    <m/>
    <m/>
    <m/>
    <m/>
    <m/>
    <m/>
    <x v="0"/>
    <x v="8"/>
    <x v="9"/>
    <s v="P7 RES BLK-P"/>
  </r>
  <r>
    <s v="UK"/>
    <x v="147"/>
    <s v="Jon Juxon"/>
    <x v="1"/>
    <x v="8"/>
    <x v="2"/>
    <s v="Occassional large COM + some small RES business"/>
    <s v="EU"/>
    <n v="0.03"/>
    <n v="0"/>
    <n v="0.03"/>
    <n v="0"/>
    <n v="0"/>
    <n v="0.03"/>
    <n v="0.03"/>
    <n v="0.03"/>
    <n v="0"/>
    <m/>
    <m/>
    <m/>
    <m/>
    <m/>
    <m/>
    <x v="0"/>
    <x v="8"/>
    <x v="9"/>
    <s v="P7 RES BLK 2.0"/>
  </r>
  <r>
    <s v="UK"/>
    <x v="148"/>
    <s v="Nicholas Paget"/>
    <x v="1"/>
    <x v="18"/>
    <x v="5"/>
    <m/>
    <s v="EU"/>
    <n v="3.6999999999999998E-2"/>
    <n v="3.6999999999999998E-2"/>
    <n v="3.6999999999999998E-2"/>
    <n v="3.6999999999999998E-2"/>
    <n v="3.6999999999999998E-2"/>
    <n v="3.6999999999999998E-2"/>
    <n v="3.6999999999999998E-2"/>
    <n v="3.6999999999999998E-2"/>
    <n v="3.6999999999999998E-2"/>
    <m/>
    <m/>
    <m/>
    <m/>
    <m/>
    <m/>
    <x v="0"/>
    <x v="8"/>
    <x v="9"/>
    <s v="P7 RES BLK-P"/>
  </r>
  <r>
    <s v="UK"/>
    <x v="148"/>
    <s v="Nicholas Paget"/>
    <x v="1"/>
    <x v="1"/>
    <x v="5"/>
    <m/>
    <s v="EU"/>
    <n v="4.1000000000000002E-2"/>
    <n v="4.1000000000000002E-2"/>
    <n v="4.1000000000000002E-2"/>
    <n v="4.1000000000000002E-2"/>
    <n v="4.1000000000000002E-2"/>
    <n v="4.1000000000000002E-2"/>
    <n v="4.1000000000000002E-2"/>
    <n v="4.1000000000000002E-2"/>
    <n v="4.1000000000000002E-2"/>
    <m/>
    <m/>
    <m/>
    <m/>
    <m/>
    <m/>
    <x v="0"/>
    <x v="8"/>
    <x v="9"/>
    <s v="P7 RES BLK 2.0"/>
  </r>
  <r>
    <s v="UK"/>
    <x v="149"/>
    <s v="Jon Juxon"/>
    <x v="3"/>
    <x v="6"/>
    <x v="0"/>
    <s v="Regular Premier Partner, loyal across RES &amp; COM"/>
    <s v="EU"/>
    <n v="0.13"/>
    <n v="0.13"/>
    <n v="0.13"/>
    <n v="0"/>
    <n v="0"/>
    <n v="0"/>
    <n v="0"/>
    <n v="0"/>
    <n v="0.14499999999999999"/>
    <m/>
    <m/>
    <m/>
    <m/>
    <m/>
    <m/>
    <x v="0"/>
    <x v="8"/>
    <x v="9"/>
    <s v="SPR-BE54-HD"/>
  </r>
  <r>
    <s v="UK"/>
    <x v="149"/>
    <s v="Jon Juxon"/>
    <x v="1"/>
    <x v="1"/>
    <x v="2"/>
    <s v="Regular Premier Partner, loyal across RES &amp; COM"/>
    <s v="EU"/>
    <n v="0.13"/>
    <n v="0.13"/>
    <n v="0.13"/>
    <n v="0.13"/>
    <n v="0"/>
    <n v="0.13"/>
    <n v="0.13"/>
    <n v="0"/>
    <n v="0"/>
    <m/>
    <m/>
    <m/>
    <m/>
    <m/>
    <m/>
    <x v="0"/>
    <x v="8"/>
    <x v="9"/>
    <s v="P7 RES BLK 2.0"/>
  </r>
  <r>
    <s v="UK"/>
    <x v="150"/>
    <s v="Matt "/>
    <x v="5"/>
    <x v="11"/>
    <x v="6"/>
    <m/>
    <s v="EU"/>
    <m/>
    <n v="1.72"/>
    <m/>
    <n v="1.72"/>
    <m/>
    <m/>
    <m/>
    <m/>
    <m/>
    <m/>
    <m/>
    <m/>
    <m/>
    <m/>
    <m/>
    <x v="0"/>
    <x v="8"/>
    <x v="9"/>
    <s v="HSM-NT48-HH"/>
  </r>
  <r>
    <s v="UK"/>
    <x v="150"/>
    <s v="Matt "/>
    <x v="2"/>
    <x v="14"/>
    <x v="6"/>
    <s v="Recovering"/>
    <s v="EU"/>
    <m/>
    <n v="2.34"/>
    <m/>
    <n v="2.34"/>
    <m/>
    <m/>
    <m/>
    <m/>
    <m/>
    <m/>
    <m/>
    <m/>
    <m/>
    <m/>
    <m/>
    <x v="0"/>
    <x v="8"/>
    <x v="9"/>
    <s v="HSM-ND48-DR"/>
  </r>
  <r>
    <s v="UK"/>
    <x v="151"/>
    <s v="Nicholas Paget"/>
    <x v="4"/>
    <x v="10"/>
    <x v="0"/>
    <m/>
    <s v="EU"/>
    <m/>
    <m/>
    <m/>
    <n v="1"/>
    <n v="2"/>
    <n v="2"/>
    <n v="2"/>
    <n v="2"/>
    <n v="2"/>
    <m/>
    <m/>
    <m/>
    <m/>
    <m/>
    <m/>
    <x v="1"/>
    <x v="8"/>
    <x v="9"/>
    <s v="BlueArk X5-50K-100"/>
  </r>
  <r>
    <s v="UK"/>
    <x v="151"/>
    <s v="Nicholas Paget"/>
    <x v="2"/>
    <x v="17"/>
    <x v="0"/>
    <s v="Large ground mount - customer awaiting update on project timings"/>
    <s v="EU"/>
    <m/>
    <m/>
    <m/>
    <m/>
    <m/>
    <m/>
    <n v="1.9"/>
    <m/>
    <m/>
    <m/>
    <m/>
    <m/>
    <m/>
    <m/>
    <m/>
    <x v="0"/>
    <x v="8"/>
    <x v="9"/>
    <s v="HSM-ND66-GR"/>
  </r>
  <r>
    <s v="UK"/>
    <x v="151"/>
    <s v="Nicholas Paget"/>
    <x v="8"/>
    <x v="51"/>
    <x v="2"/>
    <s v="Confirmed PO"/>
    <s v="EU"/>
    <n v="2"/>
    <n v="1.6"/>
    <n v="1.35"/>
    <m/>
    <m/>
    <m/>
    <n v="1.35"/>
    <n v="1.35"/>
    <n v="0.45"/>
    <m/>
    <m/>
    <m/>
    <m/>
    <m/>
    <m/>
    <x v="0"/>
    <x v="8"/>
    <x v="9"/>
    <s v="TCL-MR470DT182-58NS"/>
  </r>
  <r>
    <s v="UK"/>
    <x v="152"/>
    <s v="Matt "/>
    <x v="2"/>
    <x v="14"/>
    <x v="3"/>
    <m/>
    <s v="EU"/>
    <m/>
    <n v="0.82399999999999995"/>
    <m/>
    <m/>
    <m/>
    <m/>
    <m/>
    <m/>
    <m/>
    <m/>
    <m/>
    <m/>
    <m/>
    <m/>
    <m/>
    <x v="0"/>
    <x v="8"/>
    <x v="9"/>
    <s v="HSM-ND48-DR"/>
  </r>
  <r>
    <s v="UK"/>
    <x v="152"/>
    <s v="Matt "/>
    <x v="2"/>
    <x v="2"/>
    <x v="0"/>
    <m/>
    <s v="EU"/>
    <m/>
    <n v="1.296"/>
    <m/>
    <m/>
    <m/>
    <m/>
    <m/>
    <m/>
    <m/>
    <m/>
    <m/>
    <m/>
    <m/>
    <m/>
    <m/>
    <x v="0"/>
    <x v="8"/>
    <x v="9"/>
    <s v="HSM-ND54-DR"/>
  </r>
  <r>
    <s v="UK"/>
    <x v="142"/>
    <s v="Nicholas Paget"/>
    <x v="1"/>
    <x v="18"/>
    <x v="5"/>
    <m/>
    <s v="EU"/>
    <m/>
    <m/>
    <n v="1.7999999999999999E-2"/>
    <m/>
    <n v="1.7999999999999999E-2"/>
    <m/>
    <n v="1.7999999999999999E-2"/>
    <m/>
    <n v="1.7999999999999999E-2"/>
    <m/>
    <m/>
    <m/>
    <m/>
    <m/>
    <m/>
    <x v="0"/>
    <x v="8"/>
    <x v="9"/>
    <s v="P7 RES BLK-P"/>
  </r>
  <r>
    <s v="UK"/>
    <x v="140"/>
    <s v="Matt "/>
    <x v="8"/>
    <x v="51"/>
    <x v="0"/>
    <s v="Triple Solar / Midsummer / Wind&amp;Sun. Triple Solar and Midsummer are geographocally close =&gt; mutually exclusive."/>
    <s v="EU"/>
    <n v="10"/>
    <m/>
    <n v="25"/>
    <m/>
    <m/>
    <m/>
    <m/>
    <m/>
    <m/>
    <m/>
    <m/>
    <m/>
    <m/>
    <m/>
    <m/>
    <x v="0"/>
    <x v="8"/>
    <x v="9"/>
    <s v="TCL-MR470DT182-58NS"/>
  </r>
  <r>
    <s v="UK"/>
    <x v="140"/>
    <s v="Jon Juxon"/>
    <x v="1"/>
    <x v="1"/>
    <x v="0"/>
    <m/>
    <s v="EU"/>
    <n v="0"/>
    <n v="0.22"/>
    <n v="0.6"/>
    <n v="0"/>
    <n v="0"/>
    <n v="0"/>
    <n v="0"/>
    <n v="0"/>
    <n v="0"/>
    <m/>
    <m/>
    <m/>
    <m/>
    <m/>
    <m/>
    <x v="0"/>
    <x v="8"/>
    <x v="9"/>
    <s v="P7 RES BLK 2.0"/>
  </r>
  <r>
    <s v="UK"/>
    <x v="140"/>
    <s v="Nicholas Paget"/>
    <x v="1"/>
    <x v="1"/>
    <x v="5"/>
    <s v="City Plumbing Bristol, GeoGreen, GreenGen"/>
    <s v="EU"/>
    <n v="9.8000000000000004E-2"/>
    <n v="0.13300000000000001"/>
    <n v="0.1"/>
    <n v="0.1"/>
    <n v="0.1"/>
    <n v="0.1"/>
    <n v="0.1"/>
    <n v="0.1"/>
    <n v="0.1"/>
    <m/>
    <m/>
    <m/>
    <m/>
    <m/>
    <m/>
    <x v="0"/>
    <x v="8"/>
    <x v="9"/>
    <s v="P7 RES BLK 2.0"/>
  </r>
  <r>
    <s v="UK"/>
    <x v="153"/>
    <s v="Matt "/>
    <x v="1"/>
    <x v="3"/>
    <x v="2"/>
    <s v="Ireland only P7-510"/>
    <s v="Offshore"/>
    <m/>
    <n v="2.0499999999999998"/>
    <m/>
    <n v="2.0499999999999998"/>
    <m/>
    <n v="2.0499999999999998"/>
    <m/>
    <m/>
    <m/>
    <m/>
    <m/>
    <m/>
    <m/>
    <m/>
    <m/>
    <x v="0"/>
    <x v="8"/>
    <x v="9"/>
    <s v="P7 RES BLK-P"/>
  </r>
  <r>
    <s v="UK"/>
    <x v="153"/>
    <s v="Matt "/>
    <x v="1"/>
    <x v="1"/>
    <x v="2"/>
    <m/>
    <s v="Offshore"/>
    <n v="3.9744000000000002"/>
    <m/>
    <m/>
    <m/>
    <m/>
    <m/>
    <m/>
    <m/>
    <m/>
    <m/>
    <m/>
    <m/>
    <m/>
    <m/>
    <m/>
    <x v="0"/>
    <x v="8"/>
    <x v="9"/>
    <s v="P7 RES BLK 2.0"/>
  </r>
  <r>
    <s v="UK"/>
    <x v="153"/>
    <s v="Matt "/>
    <x v="2"/>
    <x v="5"/>
    <x v="6"/>
    <m/>
    <s v="Offshore"/>
    <m/>
    <n v="5.04"/>
    <m/>
    <m/>
    <m/>
    <m/>
    <m/>
    <m/>
    <m/>
    <m/>
    <m/>
    <m/>
    <m/>
    <m/>
    <m/>
    <x v="0"/>
    <x v="8"/>
    <x v="9"/>
    <s v="HSM-ND48-DR"/>
  </r>
  <r>
    <s v="UK"/>
    <x v="153"/>
    <s v="Matt "/>
    <x v="2"/>
    <x v="14"/>
    <x v="6"/>
    <m/>
    <s v="Offshore"/>
    <m/>
    <m/>
    <m/>
    <n v="2.66"/>
    <n v="2.66"/>
    <n v="2.66"/>
    <m/>
    <m/>
    <m/>
    <m/>
    <m/>
    <m/>
    <m/>
    <m/>
    <m/>
    <x v="0"/>
    <x v="8"/>
    <x v="9"/>
    <s v="HSM-ND48-DR"/>
  </r>
  <r>
    <s v="UK"/>
    <x v="153"/>
    <s v="Matt "/>
    <x v="5"/>
    <x v="11"/>
    <x v="6"/>
    <s v="need indicative pricing"/>
    <s v="Offshore"/>
    <m/>
    <n v="1.72"/>
    <n v="1.72"/>
    <m/>
    <n v="3.44"/>
    <m/>
    <m/>
    <m/>
    <m/>
    <m/>
    <m/>
    <m/>
    <m/>
    <m/>
    <m/>
    <x v="0"/>
    <x v="8"/>
    <x v="9"/>
    <s v="HSM-NT48-HH"/>
  </r>
  <r>
    <s v="UK"/>
    <x v="153"/>
    <s v="Matt "/>
    <x v="8"/>
    <x v="51"/>
    <x v="0"/>
    <m/>
    <s v="Offshore"/>
    <m/>
    <m/>
    <m/>
    <m/>
    <n v="2.3820000000000001"/>
    <m/>
    <m/>
    <m/>
    <m/>
    <m/>
    <m/>
    <m/>
    <m/>
    <m/>
    <m/>
    <x v="0"/>
    <x v="8"/>
    <x v="9"/>
    <s v="TCL-MR470DT182-58NS"/>
  </r>
  <r>
    <s v="UK"/>
    <x v="153"/>
    <s v="Matt "/>
    <x v="1"/>
    <x v="1"/>
    <x v="0"/>
    <m/>
    <s v="Offshore"/>
    <m/>
    <m/>
    <m/>
    <n v="4.0999999999999996"/>
    <m/>
    <n v="4.0999999999999996"/>
    <m/>
    <m/>
    <m/>
    <m/>
    <m/>
    <m/>
    <m/>
    <m/>
    <m/>
    <x v="0"/>
    <x v="8"/>
    <x v="9"/>
    <s v="P7 RES BLK 2.0"/>
  </r>
  <r>
    <s v="UK"/>
    <x v="153"/>
    <s v="Matt "/>
    <x v="1"/>
    <x v="8"/>
    <x v="5"/>
    <s v="Ireland only"/>
    <s v="Offshore"/>
    <m/>
    <n v="4.3"/>
    <m/>
    <m/>
    <m/>
    <m/>
    <m/>
    <m/>
    <m/>
    <m/>
    <m/>
    <m/>
    <m/>
    <m/>
    <m/>
    <x v="0"/>
    <x v="8"/>
    <x v="9"/>
    <s v="P7 RES BLK 2.0"/>
  </r>
  <r>
    <s v="UK"/>
    <x v="153"/>
    <s v="Matt "/>
    <x v="7"/>
    <x v="65"/>
    <x v="2"/>
    <m/>
    <s v="Offshore"/>
    <n v="1.274"/>
    <m/>
    <m/>
    <m/>
    <m/>
    <m/>
    <m/>
    <m/>
    <m/>
    <m/>
    <m/>
    <m/>
    <m/>
    <m/>
    <m/>
    <x v="0"/>
    <x v="8"/>
    <x v="9"/>
    <s v="SPR-BD54-DC"/>
  </r>
  <r>
    <s v="UK"/>
    <x v="154"/>
    <s v="Jon Juxon"/>
    <x v="1"/>
    <x v="1"/>
    <x v="3"/>
    <s v="Aiming to convert from Trina to TCL T/S-Class for C&amp;I business"/>
    <s v="EU"/>
    <n v="0"/>
    <n v="0"/>
    <n v="0.5"/>
    <n v="0"/>
    <n v="0"/>
    <n v="0"/>
    <n v="0"/>
    <n v="0.2"/>
    <n v="0"/>
    <m/>
    <m/>
    <m/>
    <m/>
    <m/>
    <m/>
    <x v="0"/>
    <x v="8"/>
    <x v="9"/>
    <s v="P7 RES BLK 2.0"/>
  </r>
  <r>
    <s v="UK"/>
    <x v="155"/>
    <s v="Nicholas Paget"/>
    <x v="1"/>
    <x v="1"/>
    <x v="5"/>
    <m/>
    <s v="EU"/>
    <n v="6.6000000000000003E-2"/>
    <n v="6.6000000000000003E-2"/>
    <n v="3.3000000000000002E-2"/>
    <n v="6.6000000000000003E-2"/>
    <n v="6.6000000000000003E-2"/>
    <n v="6.6000000000000003E-2"/>
    <n v="6.6000000000000003E-2"/>
    <n v="6.6000000000000003E-2"/>
    <n v="6.6000000000000003E-2"/>
    <m/>
    <m/>
    <m/>
    <m/>
    <m/>
    <m/>
    <x v="0"/>
    <x v="8"/>
    <x v="9"/>
    <s v="P7 RES BLK 2.0"/>
  </r>
  <r>
    <s v="UK"/>
    <x v="156"/>
    <s v="Jon Juxon"/>
    <x v="1"/>
    <x v="1"/>
    <x v="3"/>
    <s v="Credit/payment issues"/>
    <s v="EU"/>
    <n v="0"/>
    <n v="0"/>
    <n v="0"/>
    <n v="0"/>
    <n v="0"/>
    <n v="0"/>
    <n v="0"/>
    <n v="0"/>
    <n v="0"/>
    <m/>
    <m/>
    <m/>
    <m/>
    <m/>
    <m/>
    <x v="0"/>
    <x v="8"/>
    <x v="9"/>
    <s v="P7 RES BLK 2.0"/>
  </r>
  <r>
    <s v="UK"/>
    <x v="157"/>
    <s v="Jon Juxon"/>
    <x v="1"/>
    <x v="1"/>
    <x v="2"/>
    <m/>
    <s v="EU"/>
    <n v="0.03"/>
    <n v="0.03"/>
    <n v="0.03"/>
    <n v="0.03"/>
    <n v="0.03"/>
    <n v="0.03"/>
    <n v="0.03"/>
    <n v="0.03"/>
    <n v="0.03"/>
    <m/>
    <m/>
    <m/>
    <m/>
    <m/>
    <m/>
    <x v="0"/>
    <x v="8"/>
    <x v="9"/>
    <s v="P7 RES BLK 2.0"/>
  </r>
  <r>
    <s v="UK"/>
    <x v="157"/>
    <s v="Jon Juxon"/>
    <x v="3"/>
    <x v="6"/>
    <x v="0"/>
    <m/>
    <s v="EU"/>
    <n v="0.03"/>
    <n v="0.03"/>
    <n v="0.03"/>
    <m/>
    <m/>
    <m/>
    <m/>
    <m/>
    <n v="0.03"/>
    <m/>
    <m/>
    <m/>
    <m/>
    <m/>
    <m/>
    <x v="0"/>
    <x v="8"/>
    <x v="9"/>
    <s v="SPR-BE54-HD"/>
  </r>
  <r>
    <s v="UK"/>
    <x v="158"/>
    <s v="Nicholas Paget"/>
    <x v="5"/>
    <x v="11"/>
    <x v="5"/>
    <m/>
    <s v="EU"/>
    <m/>
    <m/>
    <m/>
    <m/>
    <n v="0.43099999999999999"/>
    <m/>
    <m/>
    <m/>
    <m/>
    <m/>
    <m/>
    <m/>
    <m/>
    <m/>
    <m/>
    <x v="0"/>
    <x v="8"/>
    <x v="9"/>
    <s v="HSM-NT48-HH"/>
  </r>
  <r>
    <s v="UK"/>
    <x v="158"/>
    <s v="Nicholas Paget"/>
    <x v="0"/>
    <x v="66"/>
    <x v="5"/>
    <m/>
    <s v="EU"/>
    <m/>
    <m/>
    <m/>
    <m/>
    <m/>
    <n v="0.43099999999999999"/>
    <m/>
    <m/>
    <m/>
    <m/>
    <m/>
    <m/>
    <m/>
    <m/>
    <m/>
    <x v="0"/>
    <x v="8"/>
    <x v="9"/>
    <s v="HSM-BE54-DD"/>
  </r>
  <r>
    <s v="UK"/>
    <x v="158"/>
    <s v="Nicholas Paget"/>
    <x v="4"/>
    <x v="7"/>
    <x v="0"/>
    <m/>
    <s v="EU"/>
    <m/>
    <m/>
    <m/>
    <m/>
    <m/>
    <m/>
    <n v="2"/>
    <m/>
    <m/>
    <m/>
    <m/>
    <m/>
    <m/>
    <m/>
    <m/>
    <x v="1"/>
    <x v="8"/>
    <x v="9"/>
    <s v="BlueArk W10-125K-261"/>
  </r>
  <r>
    <s v="UK"/>
    <x v="158"/>
    <s v="Nicholas Paget"/>
    <x v="4"/>
    <x v="10"/>
    <x v="5"/>
    <s v="Initial project damand potential far higher"/>
    <s v="EU"/>
    <m/>
    <n v="0.39700000000000002"/>
    <m/>
    <n v="2"/>
    <m/>
    <m/>
    <n v="4"/>
    <n v="4"/>
    <n v="4"/>
    <m/>
    <m/>
    <m/>
    <m/>
    <m/>
    <m/>
    <x v="1"/>
    <x v="8"/>
    <x v="9"/>
    <s v="BlueArk X5-50K-100"/>
  </r>
  <r>
    <s v="UK"/>
    <x v="138"/>
    <s v="Jon Juxon"/>
    <x v="1"/>
    <x v="1"/>
    <x v="2"/>
    <s v="Long-standing, loyal SunPower Partner with decent run-rate on P7"/>
    <s v="EU"/>
    <n v="8.5000000000000006E-2"/>
    <n v="8.5000000000000006E-2"/>
    <n v="8.5000000000000006E-2"/>
    <n v="8.5000000000000006E-2"/>
    <n v="8.5000000000000006E-2"/>
    <n v="8.5000000000000006E-2"/>
    <n v="8.5000000000000006E-2"/>
    <n v="8.5000000000000006E-2"/>
    <n v="8.5000000000000006E-2"/>
    <m/>
    <m/>
    <m/>
    <m/>
    <m/>
    <m/>
    <x v="0"/>
    <x v="8"/>
    <x v="9"/>
    <s v="P7 RES BLK 2.0"/>
  </r>
  <r>
    <s v="UK"/>
    <x v="153"/>
    <s v="Matt "/>
    <x v="2"/>
    <x v="5"/>
    <x v="2"/>
    <m/>
    <s v="Offshore"/>
    <n v="6.3179999999999996"/>
    <m/>
    <m/>
    <m/>
    <m/>
    <m/>
    <m/>
    <m/>
    <m/>
    <m/>
    <m/>
    <m/>
    <m/>
    <m/>
    <m/>
    <x v="0"/>
    <x v="8"/>
    <x v="9"/>
    <s v="HSM-ND48-DR"/>
  </r>
  <r>
    <s v="UK"/>
    <x v="159"/>
    <s v="Matt "/>
    <x v="3"/>
    <x v="6"/>
    <x v="3"/>
    <m/>
    <s v="EU"/>
    <m/>
    <m/>
    <m/>
    <m/>
    <m/>
    <m/>
    <m/>
    <m/>
    <m/>
    <m/>
    <m/>
    <m/>
    <m/>
    <m/>
    <m/>
    <x v="0"/>
    <x v="8"/>
    <x v="9"/>
    <s v="SPR-BE54-HD"/>
  </r>
  <r>
    <s v="UK"/>
    <x v="160"/>
    <s v="Matt "/>
    <x v="0"/>
    <x v="12"/>
    <x v="3"/>
    <s v="Forward orders "/>
    <s v="EU"/>
    <m/>
    <m/>
    <m/>
    <m/>
    <m/>
    <m/>
    <m/>
    <n v="4.5"/>
    <m/>
    <m/>
    <m/>
    <m/>
    <m/>
    <m/>
    <m/>
    <x v="0"/>
    <x v="8"/>
    <x v="9"/>
    <s v="HSM-BE54-HD"/>
  </r>
  <r>
    <s v="UK"/>
    <x v="161"/>
    <s v="Jon Juxon"/>
    <x v="1"/>
    <x v="1"/>
    <x v="2"/>
    <s v="14yr relationship with SunPower on Stirling Borough Council and COM projects"/>
    <s v="EU"/>
    <n v="0"/>
    <n v="0"/>
    <n v="0.125"/>
    <n v="0"/>
    <n v="0.14499999999999999"/>
    <n v="0.23100000000000001"/>
    <n v="0"/>
    <n v="0.125"/>
    <n v="0.25"/>
    <m/>
    <m/>
    <m/>
    <m/>
    <m/>
    <m/>
    <x v="0"/>
    <x v="8"/>
    <x v="9"/>
    <s v="P7 RES BLK 2.0"/>
  </r>
  <r>
    <s v="UK"/>
    <x v="140"/>
    <s v="Nicholas Paget"/>
    <x v="7"/>
    <x v="65"/>
    <x v="5"/>
    <s v="New Onboarded June 26"/>
    <s v="EU"/>
    <m/>
    <m/>
    <m/>
    <n v="0.105"/>
    <n v="0.105"/>
    <n v="0.105"/>
    <n v="0.2"/>
    <n v="0.2"/>
    <n v="0.2"/>
    <m/>
    <m/>
    <m/>
    <m/>
    <m/>
    <m/>
    <x v="0"/>
    <x v="8"/>
    <x v="9"/>
    <s v="SPR-BD54-DC"/>
  </r>
  <r>
    <s v="UK"/>
    <x v="162"/>
    <s v="Nicholas Paget"/>
    <x v="1"/>
    <x v="18"/>
    <x v="5"/>
    <m/>
    <s v="EU"/>
    <n v="5.6000000000000001E-2"/>
    <n v="5.6000000000000001E-2"/>
    <n v="5.6000000000000001E-2"/>
    <n v="3.6999999999999998E-2"/>
    <n v="3.6999999999999998E-2"/>
    <n v="3.6999999999999998E-2"/>
    <n v="3.6999999999999998E-2"/>
    <n v="3.6999999999999998E-2"/>
    <n v="3.6999999999999998E-2"/>
    <m/>
    <m/>
    <m/>
    <m/>
    <m/>
    <m/>
    <x v="0"/>
    <x v="8"/>
    <x v="9"/>
    <s v="P7 RES BLK-P"/>
  </r>
  <r>
    <s v="UK"/>
    <x v="162"/>
    <s v="Nicholas Paget"/>
    <x v="1"/>
    <x v="1"/>
    <x v="5"/>
    <m/>
    <s v="EU"/>
    <n v="0.13"/>
    <n v="0.13"/>
    <n v="0.13"/>
    <n v="6.6000000000000003E-2"/>
    <n v="6.6000000000000003E-2"/>
    <n v="6.6000000000000003E-2"/>
    <n v="6.6000000000000003E-2"/>
    <n v="6.6000000000000003E-2"/>
    <n v="6.6000000000000003E-2"/>
    <m/>
    <m/>
    <m/>
    <m/>
    <m/>
    <m/>
    <x v="0"/>
    <x v="8"/>
    <x v="9"/>
    <s v="P7 RES BLK 2.0"/>
  </r>
  <r>
    <s v="UK"/>
    <x v="162"/>
    <s v="Nicholas Paget"/>
    <x v="7"/>
    <x v="65"/>
    <x v="5"/>
    <m/>
    <s v="EU"/>
    <m/>
    <m/>
    <m/>
    <m/>
    <n v="0.05"/>
    <n v="0.05"/>
    <n v="7.0000000000000007E-2"/>
    <n v="7.0000000000000007E-2"/>
    <n v="7.0000000000000007E-2"/>
    <m/>
    <m/>
    <m/>
    <m/>
    <m/>
    <m/>
    <x v="0"/>
    <x v="8"/>
    <x v="9"/>
    <s v="SPR-BD54-DC"/>
  </r>
  <r>
    <s v="UK"/>
    <x v="163"/>
    <s v="Nicholas Paget"/>
    <x v="1"/>
    <x v="18"/>
    <x v="5"/>
    <m/>
    <s v="EU"/>
    <n v="7.2999999999999995E-2"/>
    <n v="7.2999999999999995E-2"/>
    <n v="7.2999999999999995E-2"/>
    <n v="8.3000000000000004E-2"/>
    <n v="8.3000000000000004E-2"/>
    <n v="8.3000000000000004E-2"/>
    <n v="8.3000000000000004E-2"/>
    <n v="8.3000000000000004E-2"/>
    <n v="8.3000000000000004E-2"/>
    <m/>
    <m/>
    <m/>
    <m/>
    <m/>
    <m/>
    <x v="0"/>
    <x v="8"/>
    <x v="9"/>
    <s v="P7 RES BLK-P"/>
  </r>
  <r>
    <s v="UK"/>
    <x v="164"/>
    <s v="Matt "/>
    <x v="2"/>
    <x v="5"/>
    <x v="3"/>
    <s v="forward orders "/>
    <s v="EU"/>
    <m/>
    <m/>
    <m/>
    <m/>
    <m/>
    <m/>
    <n v="0.84199999999999997"/>
    <m/>
    <m/>
    <m/>
    <m/>
    <m/>
    <m/>
    <m/>
    <m/>
    <x v="0"/>
    <x v="8"/>
    <x v="9"/>
    <s v="HSM-ND48-DR"/>
  </r>
  <r>
    <s v="UK"/>
    <x v="164"/>
    <s v="Matt "/>
    <x v="0"/>
    <x v="12"/>
    <x v="3"/>
    <s v="Forward orders "/>
    <s v="EU"/>
    <m/>
    <m/>
    <m/>
    <m/>
    <m/>
    <m/>
    <n v="0.90700000000000003"/>
    <n v="0.90700000000000003"/>
    <m/>
    <m/>
    <m/>
    <m/>
    <m/>
    <m/>
    <m/>
    <x v="0"/>
    <x v="8"/>
    <x v="9"/>
    <s v="HSM-BE54-HD"/>
  </r>
  <r>
    <s v="UK"/>
    <x v="164"/>
    <s v="Matt "/>
    <x v="4"/>
    <x v="7"/>
    <x v="0"/>
    <m/>
    <s v="EU"/>
    <m/>
    <m/>
    <m/>
    <m/>
    <m/>
    <n v="1"/>
    <n v="2"/>
    <m/>
    <m/>
    <m/>
    <m/>
    <m/>
    <m/>
    <m/>
    <m/>
    <x v="1"/>
    <x v="8"/>
    <x v="9"/>
    <s v="BlueArk W10-125K-261"/>
  </r>
  <r>
    <s v="UK"/>
    <x v="165"/>
    <s v="Nicholas Paget"/>
    <x v="2"/>
    <x v="16"/>
    <x v="3"/>
    <m/>
    <s v="EU"/>
    <m/>
    <m/>
    <m/>
    <m/>
    <m/>
    <n v="1"/>
    <m/>
    <m/>
    <m/>
    <m/>
    <m/>
    <m/>
    <m/>
    <m/>
    <m/>
    <x v="0"/>
    <x v="8"/>
    <x v="9"/>
    <s v="HSM-ND66-GR"/>
  </r>
  <r>
    <s v="UK"/>
    <x v="166"/>
    <s v="Jon Juxon"/>
    <x v="1"/>
    <x v="1"/>
    <x v="2"/>
    <s v="570kWp P7-455w won, Q2 delivery"/>
    <s v="EU"/>
    <n v="0"/>
    <n v="0"/>
    <n v="0.56999999999999995"/>
    <n v="0"/>
    <n v="0"/>
    <n v="0"/>
    <n v="0"/>
    <n v="0.125"/>
    <n v="0"/>
    <m/>
    <m/>
    <m/>
    <m/>
    <m/>
    <m/>
    <x v="0"/>
    <x v="8"/>
    <x v="9"/>
    <s v="P7 RES BLK 2.0"/>
  </r>
  <r>
    <s v="UK"/>
    <x v="167"/>
    <s v="Jon Juxon"/>
    <x v="3"/>
    <x v="6"/>
    <x v="0"/>
    <s v="Private landlord properties and standard domestic"/>
    <s v="EU"/>
    <n v="0"/>
    <n v="0.13"/>
    <n v="0.13"/>
    <n v="0"/>
    <n v="0"/>
    <n v="0"/>
    <n v="0"/>
    <n v="0"/>
    <n v="7.1999999999999995E-2"/>
    <m/>
    <m/>
    <m/>
    <m/>
    <m/>
    <m/>
    <x v="0"/>
    <x v="8"/>
    <x v="9"/>
    <s v="SPR-BE54-HD"/>
  </r>
  <r>
    <s v="UK"/>
    <x v="168"/>
    <s v="Jon Juxon"/>
    <x v="3"/>
    <x v="6"/>
    <x v="0"/>
    <s v="Elite Partner, steady business across both RES &amp; COM"/>
    <s v="EU"/>
    <n v="0"/>
    <n v="0"/>
    <n v="0.15"/>
    <n v="0"/>
    <m/>
    <m/>
    <m/>
    <m/>
    <n v="0.14299999999999999"/>
    <m/>
    <m/>
    <m/>
    <m/>
    <m/>
    <m/>
    <x v="0"/>
    <x v="8"/>
    <x v="9"/>
    <s v="SPR-BE54-HD"/>
  </r>
  <r>
    <s v="UK"/>
    <x v="168"/>
    <s v="Jon Juxon"/>
    <x v="1"/>
    <x v="18"/>
    <x v="2"/>
    <s v="Elite Partner, steady business across both RES &amp; COM"/>
    <s v="EU"/>
    <n v="0"/>
    <n v="0"/>
    <n v="0.13"/>
    <n v="0"/>
    <n v="0.252"/>
    <m/>
    <m/>
    <n v="7.1999999999999995E-2"/>
    <m/>
    <m/>
    <m/>
    <m/>
    <m/>
    <m/>
    <m/>
    <x v="0"/>
    <x v="8"/>
    <x v="9"/>
    <s v="P7 RES BLK-P"/>
  </r>
  <r>
    <s v="UK"/>
    <x v="169"/>
    <s v="Nicholas Paget"/>
    <x v="1"/>
    <x v="1"/>
    <x v="5"/>
    <m/>
    <s v="EU"/>
    <m/>
    <m/>
    <n v="3.3000000000000002E-2"/>
    <m/>
    <n v="3.3000000000000002E-2"/>
    <m/>
    <n v="3.3000000000000002E-2"/>
    <m/>
    <n v="3.3000000000000002E-2"/>
    <m/>
    <m/>
    <m/>
    <m/>
    <m/>
    <m/>
    <x v="0"/>
    <x v="8"/>
    <x v="9"/>
    <s v="P7 RES BLK 2.0"/>
  </r>
  <r>
    <s v="UK"/>
    <x v="170"/>
    <s v="Jon Juxon"/>
    <x v="1"/>
    <x v="18"/>
    <x v="2"/>
    <s v="Supply problem on 510w: Long-term supply deal potentially, (460 &amp; 510)"/>
    <s v="EU"/>
    <n v="0.17499999999999999"/>
    <n v="0"/>
    <n v="0.44500000000000001"/>
    <n v="0.44500000000000001"/>
    <n v="0.44500000000000001"/>
    <n v="0.44500000000000001"/>
    <n v="0.44500000000000001"/>
    <n v="0.44500000000000001"/>
    <n v="7.4999999999999997E-2"/>
    <m/>
    <m/>
    <m/>
    <m/>
    <m/>
    <m/>
    <x v="0"/>
    <x v="8"/>
    <x v="9"/>
    <s v="P7 RES BLK-P"/>
  </r>
  <r>
    <s v="UK"/>
    <x v="170"/>
    <s v="Jon Juxon"/>
    <x v="3"/>
    <x v="6"/>
    <x v="0"/>
    <s v="Supply problem on 510w: Long-term supply deal potentially, (460 &amp; 510)"/>
    <s v="EU"/>
    <n v="0.17499999999999999"/>
    <n v="0"/>
    <n v="0.44500000000000001"/>
    <n v="0"/>
    <n v="0"/>
    <n v="0"/>
    <n v="0"/>
    <n v="0"/>
    <n v="0.3"/>
    <m/>
    <m/>
    <m/>
    <m/>
    <m/>
    <m/>
    <x v="0"/>
    <x v="8"/>
    <x v="9"/>
    <s v="SPR-BE54-HD"/>
  </r>
  <r>
    <s v="UK"/>
    <x v="171"/>
    <s v="Nicholas Paget"/>
    <x v="5"/>
    <x v="11"/>
    <x v="0"/>
    <s v="SUPPLY VIA UK GREENTECH - negotiations underway"/>
    <s v="EU"/>
    <m/>
    <m/>
    <m/>
    <m/>
    <m/>
    <n v="1"/>
    <n v="1"/>
    <n v="1"/>
    <m/>
    <m/>
    <m/>
    <m/>
    <m/>
    <m/>
    <m/>
    <x v="0"/>
    <x v="8"/>
    <x v="9"/>
    <s v="HSM-NT48-HH"/>
  </r>
  <r>
    <s v="UK"/>
    <x v="171"/>
    <s v="Nicholas Paget"/>
    <x v="1"/>
    <x v="1"/>
    <x v="5"/>
    <m/>
    <s v="EU"/>
    <n v="6.6000000000000003E-2"/>
    <n v="6.6000000000000003E-2"/>
    <n v="6.6000000000000003E-2"/>
    <n v="6.6000000000000003E-2"/>
    <n v="6.6000000000000003E-2"/>
    <n v="6.6000000000000003E-2"/>
    <n v="6.6000000000000003E-2"/>
    <n v="6.6000000000000003E-2"/>
    <n v="6.6000000000000003E-2"/>
    <m/>
    <m/>
    <m/>
    <m/>
    <m/>
    <m/>
    <x v="0"/>
    <x v="8"/>
    <x v="9"/>
    <s v="P7 RES BLK 2.0"/>
  </r>
  <r>
    <s v="UK"/>
    <x v="171"/>
    <s v="Nicholas Paget"/>
    <x v="1"/>
    <x v="3"/>
    <x v="5"/>
    <s v="Product proposed for MoD Project"/>
    <s v="EU"/>
    <m/>
    <m/>
    <n v="0.3"/>
    <m/>
    <n v="0.3"/>
    <n v="0.3"/>
    <n v="0.3"/>
    <n v="0.3"/>
    <m/>
    <m/>
    <m/>
    <m/>
    <m/>
    <m/>
    <m/>
    <x v="0"/>
    <x v="8"/>
    <x v="9"/>
    <s v="P7 RES BLK-P"/>
  </r>
  <r>
    <s v="UK"/>
    <x v="161"/>
    <s v="Jon Juxon"/>
    <x v="3"/>
    <x v="6"/>
    <x v="0"/>
    <s v="14yr relationship with SunPower on Stirling Borough Council and COM projects"/>
    <s v="EU"/>
    <n v="0"/>
    <n v="0"/>
    <n v="0.125"/>
    <n v="0"/>
    <n v="0"/>
    <n v="0"/>
    <n v="0"/>
    <n v="0"/>
    <n v="0.17499999999999999"/>
    <m/>
    <m/>
    <m/>
    <m/>
    <m/>
    <m/>
    <x v="0"/>
    <x v="8"/>
    <x v="9"/>
    <s v="SPR-BE54-HD"/>
  </r>
  <r>
    <s v="UK"/>
    <x v="167"/>
    <s v="Jon Juxon"/>
    <x v="1"/>
    <x v="1"/>
    <x v="2"/>
    <s v="Private landlord properties and standard domestic"/>
    <s v="EU"/>
    <n v="0"/>
    <n v="0.13"/>
    <n v="0.13"/>
    <n v="0.13"/>
    <n v="0"/>
    <n v="0.13"/>
    <n v="0"/>
    <n v="0.13"/>
    <n v="0"/>
    <m/>
    <m/>
    <m/>
    <m/>
    <m/>
    <m/>
    <x v="0"/>
    <x v="8"/>
    <x v="9"/>
    <s v="P7 RES BLK 2.0"/>
  </r>
  <r>
    <s v="UK"/>
    <x v="166"/>
    <s v="Jon Juxon"/>
    <x v="8"/>
    <x v="43"/>
    <x v="3"/>
    <s v="Introduce TCL for standard/price sensitive COM projects"/>
    <s v="EU"/>
    <n v="0"/>
    <n v="0"/>
    <n v="0"/>
    <n v="0"/>
    <n v="0"/>
    <n v="0"/>
    <n v="0"/>
    <m/>
    <n v="0"/>
    <m/>
    <m/>
    <m/>
    <m/>
    <m/>
    <m/>
    <x v="0"/>
    <x v="8"/>
    <x v="9"/>
    <s v="TCL-MR470DT182-58NS"/>
  </r>
  <r>
    <s v="Ukraine"/>
    <x v="172"/>
    <m/>
    <x v="1"/>
    <x v="1"/>
    <x v="6"/>
    <s v="2 trucks of 460W - waiting for payment of open balance"/>
    <s v="EU"/>
    <m/>
    <s v=" "/>
    <n v="0.8"/>
    <m/>
    <m/>
    <m/>
    <m/>
    <m/>
    <m/>
    <m/>
    <m/>
    <m/>
    <m/>
    <m/>
    <m/>
    <x v="0"/>
    <x v="4"/>
    <x v="4"/>
    <s v="P7 RES BLK 2.0"/>
  </r>
  <r>
    <s v="Ukraine"/>
    <x v="172"/>
    <m/>
    <x v="1"/>
    <x v="34"/>
    <x v="6"/>
    <s v="2 trucks of 555W - waiting for payment of open balance"/>
    <s v="EU"/>
    <m/>
    <s v=" "/>
    <n v="0.8"/>
    <m/>
    <m/>
    <m/>
    <m/>
    <m/>
    <m/>
    <m/>
    <m/>
    <m/>
    <m/>
    <m/>
    <m/>
    <x v="0"/>
    <x v="4"/>
    <x v="4"/>
    <s v="P7 COM S BF IT"/>
  </r>
  <r>
    <s v="Italy"/>
    <x v="99"/>
    <s v="Ignazio Sasanelli"/>
    <x v="5"/>
    <x v="13"/>
    <x v="3"/>
    <m/>
    <s v="EU"/>
    <m/>
    <m/>
    <m/>
    <n v="0"/>
    <m/>
    <m/>
    <n v="0"/>
    <m/>
    <m/>
    <m/>
    <m/>
    <m/>
    <m/>
    <m/>
    <m/>
    <x v="0"/>
    <x v="6"/>
    <x v="6"/>
    <s v="HSM-NT66-GH"/>
  </r>
  <r>
    <s v="Italy"/>
    <x v="99"/>
    <s v="Ignazio Sasanelli"/>
    <x v="5"/>
    <x v="62"/>
    <x v="3"/>
    <m/>
    <s v="EU"/>
    <m/>
    <m/>
    <m/>
    <n v="0"/>
    <m/>
    <m/>
    <n v="0"/>
    <m/>
    <m/>
    <m/>
    <m/>
    <m/>
    <m/>
    <m/>
    <m/>
    <x v="0"/>
    <x v="6"/>
    <x v="6"/>
    <s v="HSM-NT66-GL"/>
  </r>
  <r>
    <s v="Italy"/>
    <x v="99"/>
    <s v="Ignazio Sasanelli"/>
    <x v="0"/>
    <x v="19"/>
    <x v="3"/>
    <m/>
    <s v="EU"/>
    <m/>
    <m/>
    <m/>
    <n v="0"/>
    <m/>
    <n v="5"/>
    <m/>
    <n v="8"/>
    <m/>
    <m/>
    <m/>
    <m/>
    <m/>
    <m/>
    <m/>
    <x v="0"/>
    <x v="6"/>
    <x v="6"/>
    <s v="HSM-BE66-GD "/>
  </r>
  <r>
    <s v="Italy"/>
    <x v="99"/>
    <s v="Ignazio Sasanelli"/>
    <x v="0"/>
    <x v="12"/>
    <x v="3"/>
    <m/>
    <s v="EU"/>
    <m/>
    <m/>
    <m/>
    <m/>
    <m/>
    <m/>
    <n v="10"/>
    <n v="8"/>
    <n v="5"/>
    <m/>
    <m/>
    <m/>
    <m/>
    <m/>
    <m/>
    <x v="0"/>
    <x v="6"/>
    <x v="6"/>
    <s v="HSM-BE54-HD"/>
  </r>
  <r>
    <s v="Italy"/>
    <x v="100"/>
    <s v="Ignazio Sasanelli"/>
    <x v="8"/>
    <x v="43"/>
    <x v="3"/>
    <m/>
    <s v="EU"/>
    <m/>
    <m/>
    <m/>
    <n v="3.6"/>
    <n v="1.8"/>
    <n v="4.4000000000000004"/>
    <m/>
    <m/>
    <m/>
    <m/>
    <m/>
    <m/>
    <m/>
    <m/>
    <m/>
    <x v="0"/>
    <x v="6"/>
    <x v="6"/>
    <s v="TCL-MR470DT182-58NS"/>
  </r>
  <r>
    <s v="Italy"/>
    <x v="100"/>
    <s v="Ignazio Sasanelli"/>
    <x v="2"/>
    <x v="2"/>
    <x v="3"/>
    <m/>
    <s v="EU"/>
    <m/>
    <m/>
    <m/>
    <n v="4.4000000000000004"/>
    <n v="1.8"/>
    <n v="5.6"/>
    <m/>
    <m/>
    <m/>
    <m/>
    <m/>
    <m/>
    <m/>
    <m/>
    <m/>
    <x v="0"/>
    <x v="6"/>
    <x v="6"/>
    <s v="HSM-ND54-DR"/>
  </r>
  <r>
    <s v="Italy"/>
    <x v="99"/>
    <s v="Ignazio Sasanelli"/>
    <x v="5"/>
    <x v="67"/>
    <x v="3"/>
    <m/>
    <s v="EU"/>
    <m/>
    <m/>
    <m/>
    <n v="0"/>
    <m/>
    <m/>
    <m/>
    <m/>
    <m/>
    <m/>
    <m/>
    <m/>
    <m/>
    <m/>
    <m/>
    <x v="0"/>
    <x v="6"/>
    <x v="6"/>
    <s v="exclude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8">
  <r>
    <x v="0"/>
    <s v="Solarmarkt"/>
    <s v="Manu"/>
    <x v="0"/>
    <x v="0"/>
    <x v="0"/>
    <s v="Amarenco // CFP, 470W, CFP PPE2 V1&lt;550 // "/>
    <s v="EU"/>
    <m/>
    <m/>
    <m/>
    <m/>
    <m/>
    <m/>
    <m/>
    <m/>
    <n v="0.4"/>
    <m/>
    <m/>
    <m/>
    <m/>
    <m/>
  </r>
  <r>
    <x v="0"/>
    <s v="Solarmarkt"/>
    <s v="Manu"/>
    <x v="1"/>
    <x v="1"/>
    <x v="1"/>
    <m/>
    <s v="EU"/>
    <n v="0.2"/>
    <n v="0"/>
    <n v="0.2"/>
    <n v="0.4"/>
    <n v="0.4"/>
    <n v="0.4"/>
    <n v="0.1"/>
    <n v="0.1"/>
    <n v="0.1"/>
    <m/>
    <m/>
    <m/>
    <m/>
    <m/>
  </r>
  <r>
    <x v="0"/>
    <s v="Solarmarkt"/>
    <s v="Manu"/>
    <x v="2"/>
    <x v="2"/>
    <x v="1"/>
    <m/>
    <s v="EU"/>
    <m/>
    <m/>
    <m/>
    <n v="1.3"/>
    <n v="1.3"/>
    <n v="1.3"/>
    <n v="0.1"/>
    <n v="0.1"/>
    <n v="0.1"/>
    <m/>
    <m/>
    <m/>
    <m/>
    <m/>
  </r>
  <r>
    <x v="0"/>
    <s v="Solexis"/>
    <s v="Manu"/>
    <x v="1"/>
    <x v="3"/>
    <x v="1"/>
    <m/>
    <s v="EU"/>
    <n v="0.2"/>
    <n v="0"/>
    <n v="0.2"/>
    <n v="0.4"/>
    <n v="0.4"/>
    <n v="0.4"/>
    <n v="0.4"/>
    <n v="0.4"/>
    <n v="0.4"/>
    <m/>
    <m/>
    <m/>
    <m/>
    <m/>
  </r>
  <r>
    <x v="0"/>
    <s v="Solexis"/>
    <s v="Manu"/>
    <x v="2"/>
    <x v="2"/>
    <x v="1"/>
    <m/>
    <s v="EU"/>
    <m/>
    <m/>
    <m/>
    <n v="1.3"/>
    <n v="1.3"/>
    <n v="1.3"/>
    <n v="0.4"/>
    <n v="0.4"/>
    <n v="0.4"/>
    <m/>
    <m/>
    <m/>
    <m/>
    <m/>
  </r>
  <r>
    <x v="1"/>
    <s v="Solexis"/>
    <s v="Manu"/>
    <x v="0"/>
    <x v="0"/>
    <x v="0"/>
    <s v="Amarenco // CFP, 470W, CFP PPE2 V1&lt;550 // "/>
    <s v="EU"/>
    <m/>
    <m/>
    <m/>
    <m/>
    <m/>
    <m/>
    <m/>
    <m/>
    <n v="0.4"/>
    <m/>
    <m/>
    <m/>
    <m/>
    <m/>
  </r>
  <r>
    <x v="2"/>
    <s v="Wien Energie"/>
    <m/>
    <x v="2"/>
    <x v="4"/>
    <x v="0"/>
    <m/>
    <s v="EU"/>
    <m/>
    <m/>
    <m/>
    <m/>
    <m/>
    <m/>
    <m/>
    <m/>
    <m/>
    <m/>
    <m/>
    <m/>
    <m/>
    <m/>
  </r>
  <r>
    <x v="3"/>
    <s v="ECOSTAL SPRL"/>
    <s v="Romain"/>
    <x v="2"/>
    <x v="5"/>
    <x v="2"/>
    <s v="BOOKED"/>
    <s v="Offshore"/>
    <m/>
    <n v="0.84"/>
    <n v="0.84"/>
    <n v="0.84"/>
    <n v="0.84"/>
    <m/>
    <m/>
    <m/>
    <m/>
    <m/>
    <m/>
    <m/>
    <m/>
    <m/>
  </r>
  <r>
    <x v="3"/>
    <s v="bvba BeliVert"/>
    <m/>
    <x v="3"/>
    <x v="6"/>
    <x v="3"/>
    <m/>
    <s v="EU"/>
    <m/>
    <m/>
    <m/>
    <m/>
    <m/>
    <m/>
    <m/>
    <n v="0.9"/>
    <n v="0.9"/>
    <m/>
    <m/>
    <m/>
    <m/>
    <m/>
  </r>
  <r>
    <x v="3"/>
    <s v="SOLARPRO BVBA"/>
    <s v="Regis"/>
    <x v="1"/>
    <x v="1"/>
    <x v="2"/>
    <m/>
    <s v="EU"/>
    <m/>
    <n v="0.1"/>
    <m/>
    <n v="0.1"/>
    <n v="0.1"/>
    <n v="0.1"/>
    <m/>
    <m/>
    <m/>
    <m/>
    <m/>
    <m/>
    <m/>
    <m/>
  </r>
  <r>
    <x v="3"/>
    <s v="SOLARPRO"/>
    <m/>
    <x v="3"/>
    <x v="6"/>
    <x v="3"/>
    <m/>
    <s v="EU"/>
    <m/>
    <m/>
    <m/>
    <m/>
    <m/>
    <m/>
    <n v="0.2"/>
    <n v="0.2"/>
    <n v="0.2"/>
    <m/>
    <m/>
    <m/>
    <m/>
    <m/>
  </r>
  <r>
    <x v="3"/>
    <s v="Reno.Energy SA"/>
    <m/>
    <x v="4"/>
    <x v="7"/>
    <x v="0"/>
    <s v="AWAITING FEEDBACK NEW ASP"/>
    <s v="EU"/>
    <m/>
    <m/>
    <m/>
    <m/>
    <m/>
    <m/>
    <n v="1"/>
    <n v="1"/>
    <n v="1"/>
    <m/>
    <m/>
    <m/>
    <m/>
    <m/>
  </r>
  <r>
    <x v="3"/>
    <s v="RENA SOLAR &amp; CHARGE"/>
    <m/>
    <x v="0"/>
    <x v="6"/>
    <x v="3"/>
    <m/>
    <s v="EU"/>
    <m/>
    <m/>
    <m/>
    <m/>
    <m/>
    <m/>
    <n v="0.1"/>
    <n v="0.1"/>
    <n v="0.1"/>
    <m/>
    <m/>
    <m/>
    <m/>
    <m/>
  </r>
  <r>
    <x v="3"/>
    <s v="Neopower"/>
    <s v="Romain"/>
    <x v="1"/>
    <x v="1"/>
    <x v="2"/>
    <m/>
    <s v="EU"/>
    <m/>
    <n v="0.1"/>
    <m/>
    <n v="0.1"/>
    <m/>
    <n v="0.1"/>
    <m/>
    <m/>
    <m/>
    <m/>
    <m/>
    <m/>
    <m/>
    <m/>
  </r>
  <r>
    <x v="3"/>
    <s v="bvba BeliVert"/>
    <s v="Regis"/>
    <x v="1"/>
    <x v="8"/>
    <x v="2"/>
    <s v="AWAITING ORDER"/>
    <s v="EU"/>
    <n v="0.42"/>
    <n v="0.42"/>
    <n v="0.42"/>
    <n v="0.42"/>
    <m/>
    <n v="0.42"/>
    <m/>
    <m/>
    <m/>
    <m/>
    <m/>
    <m/>
    <m/>
    <m/>
  </r>
  <r>
    <x v="3"/>
    <s v="Neopower"/>
    <m/>
    <x v="3"/>
    <x v="6"/>
    <x v="3"/>
    <m/>
    <s v="EU"/>
    <m/>
    <m/>
    <m/>
    <m/>
    <m/>
    <m/>
    <n v="0.1"/>
    <n v="0.1"/>
    <n v="0.1"/>
    <m/>
    <m/>
    <m/>
    <m/>
    <m/>
  </r>
  <r>
    <x v="3"/>
    <s v="ENR Lux"/>
    <m/>
    <x v="3"/>
    <x v="6"/>
    <x v="2"/>
    <m/>
    <s v="EU"/>
    <m/>
    <m/>
    <m/>
    <m/>
    <m/>
    <m/>
    <n v="0.2"/>
    <n v="0.2"/>
    <n v="0.2"/>
    <m/>
    <m/>
    <m/>
    <m/>
    <m/>
  </r>
  <r>
    <x v="3"/>
    <s v="MR group"/>
    <m/>
    <x v="5"/>
    <x v="9"/>
    <x v="0"/>
    <m/>
    <s v="EU"/>
    <m/>
    <m/>
    <m/>
    <m/>
    <m/>
    <m/>
    <n v="0.9"/>
    <n v="0.9"/>
    <n v="0.9"/>
    <m/>
    <m/>
    <m/>
    <m/>
    <m/>
  </r>
  <r>
    <x v="3"/>
    <s v="MR group"/>
    <m/>
    <x v="0"/>
    <x v="6"/>
    <x v="3"/>
    <m/>
    <s v="EU"/>
    <m/>
    <m/>
    <m/>
    <m/>
    <m/>
    <n v="0.9"/>
    <n v="0.9"/>
    <n v="0.9"/>
    <n v="0.9"/>
    <m/>
    <m/>
    <m/>
    <m/>
    <m/>
  </r>
  <r>
    <x v="3"/>
    <s v="ECOSTAL SPRL"/>
    <m/>
    <x v="4"/>
    <x v="10"/>
    <x v="0"/>
    <s v="AWAITING FEEDBACK NEW ASP"/>
    <s v="Offshore"/>
    <m/>
    <m/>
    <m/>
    <m/>
    <m/>
    <m/>
    <n v="2"/>
    <n v="2"/>
    <n v="2"/>
    <m/>
    <m/>
    <m/>
    <m/>
    <m/>
  </r>
  <r>
    <x v="3"/>
    <s v="ECOSTAL SPRL"/>
    <m/>
    <x v="4"/>
    <x v="7"/>
    <x v="0"/>
    <s v="AWAITING FEEDBACK NEW ASP"/>
    <s v="Offshore"/>
    <m/>
    <m/>
    <m/>
    <m/>
    <m/>
    <m/>
    <n v="2"/>
    <n v="3"/>
    <n v="3"/>
    <m/>
    <m/>
    <m/>
    <m/>
    <m/>
  </r>
  <r>
    <x v="3"/>
    <s v="Reno.Energy SA"/>
    <m/>
    <x v="4"/>
    <x v="10"/>
    <x v="0"/>
    <s v="AWAITING FEEDBACK NEW ASP"/>
    <s v="EU"/>
    <m/>
    <m/>
    <m/>
    <m/>
    <m/>
    <m/>
    <n v="1"/>
    <n v="1"/>
    <n v="1"/>
    <m/>
    <m/>
    <m/>
    <m/>
    <m/>
  </r>
  <r>
    <x v="3"/>
    <s v="ENR Lux"/>
    <m/>
    <x v="1"/>
    <x v="1"/>
    <x v="2"/>
    <m/>
    <s v="EU"/>
    <m/>
    <n v="0.2"/>
    <m/>
    <n v="0.2"/>
    <m/>
    <n v="0.2"/>
    <m/>
    <m/>
    <m/>
    <m/>
    <m/>
    <m/>
    <m/>
    <m/>
  </r>
  <r>
    <x v="3"/>
    <s v="Reno.Energy SA"/>
    <m/>
    <x v="3"/>
    <x v="6"/>
    <x v="3"/>
    <s v="AWAITING FORECAST"/>
    <s v="EU"/>
    <m/>
    <m/>
    <m/>
    <m/>
    <m/>
    <n v="1"/>
    <m/>
    <m/>
    <m/>
    <m/>
    <m/>
    <m/>
    <m/>
    <m/>
  </r>
  <r>
    <x v="3"/>
    <s v="RENA SOLAR &amp; CHARGE"/>
    <s v="Regis"/>
    <x v="1"/>
    <x v="1"/>
    <x v="2"/>
    <m/>
    <s v="EU"/>
    <m/>
    <n v="0.1"/>
    <m/>
    <n v="0.1"/>
    <m/>
    <n v="0.1"/>
    <m/>
    <n v="0.1"/>
    <m/>
    <m/>
    <m/>
    <m/>
    <m/>
    <m/>
  </r>
  <r>
    <x v="3"/>
    <s v="Reno.Energy SA"/>
    <m/>
    <x v="5"/>
    <x v="11"/>
    <x v="3"/>
    <s v="AWAITING FORECAST"/>
    <s v="EU"/>
    <m/>
    <m/>
    <m/>
    <m/>
    <m/>
    <n v="0.8"/>
    <n v="0.8"/>
    <n v="0.8"/>
    <n v="0.8"/>
    <m/>
    <m/>
    <m/>
    <m/>
    <m/>
  </r>
  <r>
    <x v="3"/>
    <s v="Reno.Energy SA"/>
    <m/>
    <x v="0"/>
    <x v="12"/>
    <x v="3"/>
    <s v="AWAITING FORECAST"/>
    <s v="EU"/>
    <m/>
    <m/>
    <m/>
    <m/>
    <m/>
    <n v="0.4"/>
    <n v="0.4"/>
    <n v="0.4"/>
    <n v="0.4"/>
    <m/>
    <m/>
    <m/>
    <m/>
    <m/>
  </r>
  <r>
    <x v="3"/>
    <s v="ECOSTAL SPRL"/>
    <m/>
    <x v="3"/>
    <x v="6"/>
    <x v="4"/>
    <s v="AWAITING FORECAST"/>
    <s v="Offshore"/>
    <m/>
    <m/>
    <m/>
    <m/>
    <m/>
    <m/>
    <m/>
    <n v="0.4"/>
    <n v="0.4"/>
    <m/>
    <m/>
    <m/>
    <m/>
    <m/>
  </r>
  <r>
    <x v="3"/>
    <s v="ECOSTAL SPRL"/>
    <m/>
    <x v="5"/>
    <x v="13"/>
    <x v="4"/>
    <s v="AWAITING FORECAST"/>
    <s v="Offshore"/>
    <m/>
    <m/>
    <m/>
    <m/>
    <m/>
    <m/>
    <n v="0.4"/>
    <n v="0.4"/>
    <n v="0.4"/>
    <m/>
    <m/>
    <m/>
    <m/>
    <m/>
  </r>
  <r>
    <x v="3"/>
    <s v="ECOSTAL SPRL"/>
    <s v="Romain"/>
    <x v="2"/>
    <x v="4"/>
    <x v="5"/>
    <s v="WON"/>
    <s v="Offshore"/>
    <m/>
    <m/>
    <m/>
    <m/>
    <m/>
    <n v="5.7"/>
    <m/>
    <m/>
    <m/>
    <m/>
    <m/>
    <m/>
    <m/>
    <m/>
  </r>
  <r>
    <x v="3"/>
    <s v="SOLAR DEPOT SARL."/>
    <s v="Romain"/>
    <x v="2"/>
    <x v="14"/>
    <x v="2"/>
    <s v="AWAITING ORDER"/>
    <s v="EU"/>
    <n v="0.42"/>
    <m/>
    <m/>
    <m/>
    <m/>
    <m/>
    <m/>
    <m/>
    <m/>
    <m/>
    <m/>
    <m/>
    <m/>
    <m/>
  </r>
  <r>
    <x v="3"/>
    <s v="ECOSTAL SPRL"/>
    <m/>
    <x v="2"/>
    <x v="15"/>
    <x v="2"/>
    <s v="Q1 PROJECT"/>
    <s v="Offshore"/>
    <m/>
    <n v="1.2"/>
    <n v="1.2"/>
    <m/>
    <m/>
    <m/>
    <m/>
    <m/>
    <m/>
    <m/>
    <m/>
    <m/>
    <m/>
    <m/>
  </r>
  <r>
    <x v="3"/>
    <s v="ECOSTAL SPRL"/>
    <m/>
    <x v="0"/>
    <x v="12"/>
    <x v="3"/>
    <s v="AWAITING FORECAST"/>
    <s v="Offshore"/>
    <m/>
    <m/>
    <m/>
    <m/>
    <m/>
    <m/>
    <n v="1"/>
    <n v="1"/>
    <n v="1"/>
    <m/>
    <m/>
    <m/>
    <m/>
    <m/>
  </r>
  <r>
    <x v="3"/>
    <s v="ECOSTAL SPRL"/>
    <m/>
    <x v="5"/>
    <x v="11"/>
    <x v="2"/>
    <s v="BOOKED"/>
    <s v="Offshore"/>
    <m/>
    <m/>
    <m/>
    <m/>
    <n v="2"/>
    <n v="2"/>
    <n v="2"/>
    <m/>
    <m/>
    <m/>
    <m/>
    <m/>
    <m/>
    <m/>
  </r>
  <r>
    <x v="3"/>
    <s v="ECOSTAL SPRL"/>
    <m/>
    <x v="2"/>
    <x v="5"/>
    <x v="2"/>
    <s v="H1-2026"/>
    <s v="Offshore"/>
    <m/>
    <n v="0.42"/>
    <n v="4"/>
    <n v="2.2999999999999998"/>
    <m/>
    <m/>
    <m/>
    <m/>
    <m/>
    <m/>
    <m/>
    <m/>
    <m/>
    <m/>
  </r>
  <r>
    <x v="3"/>
    <s v="SOLAR DEPOT SARL."/>
    <m/>
    <x v="5"/>
    <x v="11"/>
    <x v="2"/>
    <m/>
    <s v="EU"/>
    <m/>
    <m/>
    <m/>
    <m/>
    <m/>
    <m/>
    <m/>
    <m/>
    <m/>
    <m/>
    <m/>
    <m/>
    <m/>
    <m/>
  </r>
  <r>
    <x v="4"/>
    <s v="New customer"/>
    <m/>
    <x v="2"/>
    <x v="16"/>
    <x v="0"/>
    <s v="2 containers CIF Thessaloniki"/>
    <s v="Offshore"/>
    <m/>
    <m/>
    <m/>
    <n v="0.8"/>
    <m/>
    <m/>
    <m/>
    <m/>
    <m/>
    <m/>
    <m/>
    <m/>
    <m/>
    <m/>
  </r>
  <r>
    <x v="4"/>
    <s v="New customer"/>
    <m/>
    <x v="2"/>
    <x v="5"/>
    <x v="0"/>
    <s v="2 containers CIF Thessaloniki"/>
    <s v="Offshore"/>
    <m/>
    <m/>
    <m/>
    <n v="0.8"/>
    <m/>
    <m/>
    <m/>
    <m/>
    <m/>
    <m/>
    <m/>
    <m/>
    <m/>
    <m/>
  </r>
  <r>
    <x v="5"/>
    <s v="Mobis"/>
    <m/>
    <x v="2"/>
    <x v="4"/>
    <x v="2"/>
    <s v=" FCA RTD, 3 containers"/>
    <s v="Offshore"/>
    <m/>
    <n v="1.2"/>
    <m/>
    <m/>
    <m/>
    <m/>
    <m/>
    <m/>
    <m/>
    <m/>
    <m/>
    <m/>
    <m/>
    <m/>
  </r>
  <r>
    <x v="5"/>
    <s v="Mobis"/>
    <m/>
    <x v="2"/>
    <x v="17"/>
    <x v="0"/>
    <s v="4,9MW (11 containers) CIF Rijeka"/>
    <s v="Offshore"/>
    <m/>
    <m/>
    <m/>
    <m/>
    <m/>
    <n v="4.9000000000000004"/>
    <m/>
    <m/>
    <m/>
    <m/>
    <m/>
    <m/>
    <m/>
    <m/>
  </r>
  <r>
    <x v="6"/>
    <s v="Dracoudis"/>
    <m/>
    <x v="2"/>
    <x v="14"/>
    <x v="3"/>
    <s v="3 containers CIF Limassol"/>
    <s v="Offshore"/>
    <m/>
    <m/>
    <m/>
    <m/>
    <m/>
    <n v="1"/>
    <m/>
    <m/>
    <m/>
    <m/>
    <m/>
    <m/>
    <m/>
    <m/>
  </r>
  <r>
    <x v="7"/>
    <s v="Spark Invest"/>
    <m/>
    <x v="2"/>
    <x v="17"/>
    <x v="0"/>
    <s v="5MW / delivered to Europe Q3"/>
    <s v="Offshore"/>
    <m/>
    <m/>
    <m/>
    <m/>
    <n v="5"/>
    <m/>
    <m/>
    <m/>
    <m/>
    <m/>
    <m/>
    <m/>
    <m/>
    <m/>
  </r>
  <r>
    <x v="7"/>
    <s v="Solsol"/>
    <m/>
    <x v="2"/>
    <x v="4"/>
    <x v="0"/>
    <s v="130MW of 720W - delivery Q3-Q4 price sensitive tender-low probablity"/>
    <s v="Offshore"/>
    <m/>
    <m/>
    <m/>
    <m/>
    <m/>
    <n v="43.3"/>
    <n v="43.3"/>
    <n v="43.3"/>
    <m/>
    <m/>
    <m/>
    <m/>
    <m/>
    <m/>
  </r>
  <r>
    <x v="7"/>
    <s v="Krannich"/>
    <m/>
    <x v="1"/>
    <x v="18"/>
    <x v="0"/>
    <s v="1,8MW CIP Czech Rep. - lower probablity as requested TCL, not Sunpower "/>
    <s v="EU"/>
    <m/>
    <m/>
    <n v="1.8"/>
    <m/>
    <m/>
    <m/>
    <m/>
    <m/>
    <m/>
    <m/>
    <m/>
    <m/>
    <m/>
    <m/>
  </r>
  <r>
    <x v="7"/>
    <s v="Solsol"/>
    <m/>
    <x v="0"/>
    <x v="19"/>
    <x v="0"/>
    <s v="128MW of 650/655"/>
    <s v="Offshore"/>
    <m/>
    <m/>
    <m/>
    <m/>
    <m/>
    <m/>
    <n v="64"/>
    <n v="64"/>
    <m/>
    <m/>
    <m/>
    <m/>
    <m/>
    <m/>
  </r>
  <r>
    <x v="7"/>
    <s v="Solsol"/>
    <m/>
    <x v="2"/>
    <x v="4"/>
    <x v="0"/>
    <s v="44MW of 720W ? one power bin only allowed"/>
    <s v="Offshore"/>
    <m/>
    <m/>
    <m/>
    <m/>
    <m/>
    <m/>
    <n v="22"/>
    <n v="22"/>
    <m/>
    <m/>
    <m/>
    <m/>
    <m/>
    <m/>
  </r>
  <r>
    <x v="8"/>
    <s v="Richardson"/>
    <s v="Antoine"/>
    <x v="5"/>
    <x v="20"/>
    <x v="1"/>
    <m/>
    <s v="EU"/>
    <m/>
    <m/>
    <m/>
    <m/>
    <m/>
    <n v="0.4"/>
    <n v="0.8"/>
    <n v="0.8"/>
    <n v="0.8"/>
    <m/>
    <m/>
    <m/>
    <m/>
    <m/>
  </r>
  <r>
    <x v="8"/>
    <s v="Voltaneo"/>
    <s v="Antoine"/>
    <x v="5"/>
    <x v="20"/>
    <x v="1"/>
    <m/>
    <s v="EU"/>
    <m/>
    <m/>
    <m/>
    <m/>
    <m/>
    <n v="0.8"/>
    <n v="0.8"/>
    <n v="0.8"/>
    <n v="0.8"/>
    <m/>
    <m/>
    <m/>
    <m/>
    <m/>
  </r>
  <r>
    <x v="8"/>
    <s v="NED"/>
    <s v="Antoine"/>
    <x v="5"/>
    <x v="20"/>
    <x v="1"/>
    <m/>
    <s v="EU"/>
    <m/>
    <m/>
    <m/>
    <m/>
    <m/>
    <m/>
    <n v="1.2"/>
    <n v="1.2"/>
    <n v="1.2"/>
    <m/>
    <m/>
    <m/>
    <m/>
    <m/>
  </r>
  <r>
    <x v="8"/>
    <s v="ISOSSUN"/>
    <s v="Antoine"/>
    <x v="5"/>
    <x v="20"/>
    <x v="1"/>
    <m/>
    <s v="EU"/>
    <m/>
    <m/>
    <m/>
    <m/>
    <m/>
    <m/>
    <m/>
    <m/>
    <m/>
    <m/>
    <m/>
    <m/>
    <m/>
    <m/>
  </r>
  <r>
    <x v="8"/>
    <s v="Courant Naturel"/>
    <s v="Cedric"/>
    <x v="2"/>
    <x v="21"/>
    <x v="0"/>
    <m/>
    <s v="EU"/>
    <m/>
    <m/>
    <m/>
    <m/>
    <m/>
    <m/>
    <n v="2"/>
    <m/>
    <m/>
    <m/>
    <m/>
    <m/>
    <m/>
    <m/>
  </r>
  <r>
    <x v="8"/>
    <s v="Lamazouade"/>
    <s v="Cedric"/>
    <x v="5"/>
    <x v="22"/>
    <x v="0"/>
    <s v="LAMAZOUADE // CFP // 465Wp/470Wp // Need BIF for 1.5MW"/>
    <s v="EU"/>
    <m/>
    <m/>
    <m/>
    <m/>
    <m/>
    <n v="3"/>
    <m/>
    <m/>
    <m/>
    <m/>
    <m/>
    <m/>
    <m/>
    <m/>
  </r>
  <r>
    <x v="8"/>
    <s v="Richardson"/>
    <s v="Antoine"/>
    <x v="6"/>
    <x v="23"/>
    <x v="1"/>
    <m/>
    <s v="EU"/>
    <m/>
    <m/>
    <m/>
    <m/>
    <m/>
    <m/>
    <m/>
    <m/>
    <m/>
    <m/>
    <m/>
    <m/>
    <m/>
    <m/>
  </r>
  <r>
    <x v="8"/>
    <s v="Ecostal"/>
    <s v="Antoine"/>
    <x v="5"/>
    <x v="20"/>
    <x v="1"/>
    <m/>
    <s v="Offshore"/>
    <m/>
    <m/>
    <m/>
    <m/>
    <m/>
    <m/>
    <n v="0.8"/>
    <n v="1.2"/>
    <n v="1.2"/>
    <m/>
    <m/>
    <m/>
    <m/>
    <m/>
  </r>
  <r>
    <x v="8"/>
    <s v="APPROSUD ENVIRONNEMENT"/>
    <s v="Antoine"/>
    <x v="5"/>
    <x v="20"/>
    <x v="1"/>
    <m/>
    <s v="EU"/>
    <m/>
    <m/>
    <m/>
    <m/>
    <m/>
    <m/>
    <n v="0.8"/>
    <n v="1.2"/>
    <n v="1.2"/>
    <m/>
    <m/>
    <m/>
    <m/>
    <m/>
  </r>
  <r>
    <x v="8"/>
    <s v="Richardson"/>
    <s v="Antoine"/>
    <x v="2"/>
    <x v="2"/>
    <x v="1"/>
    <m/>
    <s v="EU"/>
    <n v="0.4"/>
    <n v="0.8"/>
    <n v="0.8"/>
    <n v="0.8"/>
    <n v="0.4"/>
    <n v="0.4"/>
    <n v="0.4"/>
    <n v="0.4"/>
    <n v="0.4"/>
    <m/>
    <m/>
    <m/>
    <m/>
    <m/>
  </r>
  <r>
    <x v="8"/>
    <s v="LARIVIERE"/>
    <s v="Antoine"/>
    <x v="2"/>
    <x v="24"/>
    <x v="1"/>
    <m/>
    <s v="Offshore"/>
    <n v="0.8"/>
    <n v="0.8"/>
    <n v="0.8"/>
    <n v="0.8"/>
    <n v="0.8"/>
    <n v="0"/>
    <n v="0"/>
    <n v="0"/>
    <n v="0"/>
    <m/>
    <m/>
    <m/>
    <m/>
    <m/>
  </r>
  <r>
    <x v="8"/>
    <s v="LARIVIERE"/>
    <s v="Antoine"/>
    <x v="6"/>
    <x v="23"/>
    <x v="1"/>
    <m/>
    <s v="EU"/>
    <m/>
    <m/>
    <m/>
    <m/>
    <m/>
    <m/>
    <m/>
    <m/>
    <m/>
    <m/>
    <m/>
    <m/>
    <m/>
    <m/>
  </r>
  <r>
    <x v="8"/>
    <s v="Richardson"/>
    <s v="Antoine"/>
    <x v="2"/>
    <x v="24"/>
    <x v="1"/>
    <m/>
    <s v="EU"/>
    <n v="0.4"/>
    <n v="0.4"/>
    <n v="0.4"/>
    <n v="0.4"/>
    <n v="0.4"/>
    <n v="0"/>
    <n v="0"/>
    <n v="0"/>
    <n v="0"/>
    <m/>
    <m/>
    <m/>
    <m/>
    <m/>
  </r>
  <r>
    <x v="8"/>
    <s v="Voltaneo"/>
    <s v="Antoine"/>
    <x v="2"/>
    <x v="2"/>
    <x v="1"/>
    <m/>
    <s v="EU"/>
    <n v="1.2"/>
    <n v="1.2"/>
    <n v="2"/>
    <n v="2"/>
    <n v="0.2"/>
    <n v="0.2"/>
    <n v="0.4"/>
    <n v="0.4"/>
    <n v="0.4"/>
    <m/>
    <m/>
    <m/>
    <m/>
    <m/>
  </r>
  <r>
    <x v="8"/>
    <s v="Voltaneo"/>
    <s v="Antoine"/>
    <x v="2"/>
    <x v="25"/>
    <x v="1"/>
    <m/>
    <s v="EU"/>
    <n v="0.8"/>
    <n v="0.8"/>
    <n v="0.8"/>
    <n v="0.8"/>
    <m/>
    <m/>
    <n v="0.4"/>
    <n v="0.4"/>
    <n v="0.4"/>
    <m/>
    <m/>
    <m/>
    <m/>
    <m/>
  </r>
  <r>
    <x v="8"/>
    <s v="Voltaneo"/>
    <s v="Antoine"/>
    <x v="2"/>
    <x v="24"/>
    <x v="1"/>
    <m/>
    <s v="EU"/>
    <n v="1.2"/>
    <n v="1"/>
    <n v="1"/>
    <n v="1.2"/>
    <n v="0.4"/>
    <n v="0"/>
    <n v="0"/>
    <n v="0"/>
    <n v="0"/>
    <m/>
    <m/>
    <m/>
    <m/>
    <m/>
  </r>
  <r>
    <x v="8"/>
    <s v="NED"/>
    <s v="Antoine"/>
    <x v="2"/>
    <x v="2"/>
    <x v="1"/>
    <m/>
    <s v="EU"/>
    <n v="1.2"/>
    <n v="0.8"/>
    <n v="0.8"/>
    <n v="0.8"/>
    <n v="0.4"/>
    <n v="0.4"/>
    <n v="0.4"/>
    <n v="0.4"/>
    <n v="0.4"/>
    <m/>
    <m/>
    <m/>
    <m/>
    <m/>
  </r>
  <r>
    <x v="8"/>
    <s v="Voltaneo"/>
    <m/>
    <x v="6"/>
    <x v="26"/>
    <x v="1"/>
    <m/>
    <s v="EU"/>
    <n v="4"/>
    <n v="0"/>
    <n v="0"/>
    <n v="0"/>
    <n v="2"/>
    <n v="2"/>
    <n v="2"/>
    <n v="2"/>
    <n v="2"/>
    <m/>
    <m/>
    <m/>
    <m/>
    <m/>
  </r>
  <r>
    <x v="8"/>
    <s v="Voltaneo"/>
    <s v="Antoine"/>
    <x v="6"/>
    <x v="27"/>
    <x v="1"/>
    <m/>
    <s v="EU"/>
    <n v="4"/>
    <n v="0"/>
    <n v="0"/>
    <n v="8"/>
    <n v="0"/>
    <n v="3"/>
    <n v="3"/>
    <n v="3"/>
    <n v="3"/>
    <m/>
    <m/>
    <m/>
    <m/>
    <m/>
  </r>
  <r>
    <x v="8"/>
    <s v="LARIVIERE"/>
    <s v="Antoine"/>
    <x v="2"/>
    <x v="2"/>
    <x v="1"/>
    <m/>
    <s v="EU"/>
    <n v="0.8"/>
    <n v="0.8"/>
    <n v="0.8"/>
    <n v="0.8"/>
    <n v="0.4"/>
    <n v="0.4"/>
    <n v="0.4"/>
    <n v="0.4"/>
    <n v="0.4"/>
    <m/>
    <m/>
    <m/>
    <m/>
    <m/>
  </r>
  <r>
    <x v="8"/>
    <s v="New Customer / Balance of others customers FR"/>
    <s v="Cedric / Systeko"/>
    <x v="5"/>
    <x v="28"/>
    <x v="0"/>
    <s v="SUNZIL // CFP // Price point 0,115€/Wc"/>
    <s v="EU"/>
    <m/>
    <m/>
    <m/>
    <m/>
    <m/>
    <n v="3"/>
    <m/>
    <m/>
    <m/>
    <m/>
    <m/>
    <m/>
    <m/>
    <m/>
  </r>
  <r>
    <x v="8"/>
    <s v="New Customer / Balance of others customers FR"/>
    <s v="Seb / GreenPower"/>
    <x v="0"/>
    <x v="29"/>
    <x v="0"/>
    <s v="WeWise // CFP // 470Wp/475Wp, CFP "/>
    <s v="EU"/>
    <m/>
    <m/>
    <m/>
    <m/>
    <m/>
    <m/>
    <m/>
    <m/>
    <m/>
    <n v="5"/>
    <n v="5"/>
    <n v="5"/>
    <n v="5"/>
    <n v="5"/>
  </r>
  <r>
    <x v="8"/>
    <s v="New Customer / Balance of others customers FR"/>
    <s v="Seb / Synapsun"/>
    <x v="0"/>
    <x v="29"/>
    <x v="0"/>
    <s v="WeWise // CFP // 470Wp/475Wp, CFP "/>
    <s v="EU"/>
    <m/>
    <m/>
    <m/>
    <m/>
    <m/>
    <m/>
    <m/>
    <m/>
    <m/>
    <n v="4"/>
    <n v="4"/>
    <n v="4"/>
    <n v="4"/>
    <n v="4"/>
  </r>
  <r>
    <x v="8"/>
    <s v="LARIVIERE"/>
    <s v="Antoine"/>
    <x v="5"/>
    <x v="20"/>
    <x v="1"/>
    <m/>
    <s v="EU"/>
    <m/>
    <m/>
    <m/>
    <m/>
    <m/>
    <m/>
    <n v="0.8"/>
    <m/>
    <m/>
    <m/>
    <m/>
    <m/>
    <m/>
    <m/>
  </r>
  <r>
    <x v="8"/>
    <s v="divers"/>
    <s v="Antoine"/>
    <x v="6"/>
    <x v="30"/>
    <x v="1"/>
    <m/>
    <s v="EU"/>
    <m/>
    <m/>
    <m/>
    <n v="80"/>
    <n v="60"/>
    <n v="120"/>
    <n v="30"/>
    <n v="30"/>
    <n v="30"/>
    <m/>
    <m/>
    <m/>
    <m/>
    <m/>
  </r>
  <r>
    <x v="8"/>
    <s v="Voltaneo"/>
    <s v="Romain / Solstice HD"/>
    <x v="4"/>
    <x v="10"/>
    <x v="6"/>
    <m/>
    <s v="EU"/>
    <m/>
    <m/>
    <m/>
    <m/>
    <m/>
    <m/>
    <m/>
    <m/>
    <n v="8"/>
    <m/>
    <m/>
    <m/>
    <m/>
    <m/>
  </r>
  <r>
    <x v="8"/>
    <s v="NED"/>
    <s v="Patrice / LTE"/>
    <x v="4"/>
    <x v="10"/>
    <x v="6"/>
    <m/>
    <s v="EU"/>
    <m/>
    <m/>
    <m/>
    <m/>
    <m/>
    <m/>
    <m/>
    <m/>
    <n v="1"/>
    <m/>
    <m/>
    <m/>
    <m/>
    <m/>
  </r>
  <r>
    <x v="8"/>
    <s v="Voltaneo"/>
    <s v="Julien / Rolhion"/>
    <x v="4"/>
    <x v="10"/>
    <x v="6"/>
    <m/>
    <s v="EU"/>
    <m/>
    <m/>
    <m/>
    <m/>
    <m/>
    <m/>
    <m/>
    <m/>
    <n v="1"/>
    <m/>
    <m/>
    <m/>
    <m/>
    <m/>
  </r>
  <r>
    <x v="8"/>
    <s v="Ecostal"/>
    <s v="Cedric / Gallium"/>
    <x v="4"/>
    <x v="10"/>
    <x v="6"/>
    <m/>
    <s v="EU"/>
    <m/>
    <m/>
    <m/>
    <m/>
    <m/>
    <m/>
    <m/>
    <m/>
    <n v="1"/>
    <m/>
    <m/>
    <m/>
    <m/>
    <m/>
  </r>
  <r>
    <x v="8"/>
    <s v="Dubecq et Fils Sarl"/>
    <s v="Cedric"/>
    <x v="4"/>
    <x v="10"/>
    <x v="0"/>
    <m/>
    <s v="EU"/>
    <m/>
    <m/>
    <m/>
    <m/>
    <m/>
    <m/>
    <m/>
    <m/>
    <n v="2"/>
    <m/>
    <m/>
    <m/>
    <m/>
    <m/>
  </r>
  <r>
    <x v="8"/>
    <s v="New Customer / Balance of others customers FR"/>
    <s v="Sebastien/ Mexens Q2 27"/>
    <x v="4"/>
    <x v="7"/>
    <x v="6"/>
    <m/>
    <s v="EU"/>
    <m/>
    <m/>
    <m/>
    <m/>
    <m/>
    <m/>
    <m/>
    <m/>
    <m/>
    <n v="3"/>
    <n v="3"/>
    <m/>
    <m/>
    <m/>
  </r>
  <r>
    <x v="8"/>
    <s v="New Customer / Balance of others customers FR"/>
    <s v="Sebastien/ GreenYellow "/>
    <x v="4"/>
    <x v="7"/>
    <x v="6"/>
    <m/>
    <s v="EU"/>
    <m/>
    <m/>
    <m/>
    <m/>
    <m/>
    <m/>
    <m/>
    <m/>
    <m/>
    <m/>
    <n v="10"/>
    <n v="10"/>
    <n v="10"/>
    <n v="10"/>
  </r>
  <r>
    <x v="8"/>
    <s v="Ecostal"/>
    <s v="Patrice / Tokeim"/>
    <x v="4"/>
    <x v="10"/>
    <x v="0"/>
    <m/>
    <s v="EU"/>
    <m/>
    <m/>
    <m/>
    <m/>
    <m/>
    <n v="1"/>
    <m/>
    <m/>
    <m/>
    <m/>
    <m/>
    <m/>
    <m/>
    <m/>
  </r>
  <r>
    <x v="8"/>
    <s v="NED"/>
    <s v="Patrice / Solair3tech"/>
    <x v="4"/>
    <x v="10"/>
    <x v="3"/>
    <m/>
    <s v="EU"/>
    <m/>
    <m/>
    <m/>
    <m/>
    <m/>
    <n v="1"/>
    <m/>
    <m/>
    <m/>
    <m/>
    <m/>
    <m/>
    <m/>
    <m/>
  </r>
  <r>
    <x v="8"/>
    <s v="Voltaneo"/>
    <s v="Romain / Solstice HD"/>
    <x v="4"/>
    <x v="10"/>
    <x v="1"/>
    <m/>
    <s v="EU"/>
    <m/>
    <m/>
    <m/>
    <m/>
    <n v="1"/>
    <m/>
    <m/>
    <m/>
    <m/>
    <m/>
    <m/>
    <m/>
    <m/>
    <m/>
  </r>
  <r>
    <x v="8"/>
    <s v="New Customer / Balance of others customers FR"/>
    <s v="Patrice / LTDS unit"/>
    <x v="4"/>
    <x v="10"/>
    <x v="5"/>
    <m/>
    <s v="EU"/>
    <m/>
    <m/>
    <m/>
    <m/>
    <m/>
    <n v="1"/>
    <m/>
    <m/>
    <m/>
    <m/>
    <m/>
    <m/>
    <m/>
    <m/>
  </r>
  <r>
    <x v="8"/>
    <s v="New Customer / Balance of others customers FR"/>
    <s v="Cedric / AgriSolarPv"/>
    <x v="5"/>
    <x v="20"/>
    <x v="0"/>
    <m/>
    <s v="EU"/>
    <m/>
    <m/>
    <m/>
    <m/>
    <m/>
    <m/>
    <n v="5"/>
    <m/>
    <m/>
    <m/>
    <m/>
    <m/>
    <m/>
    <m/>
  </r>
  <r>
    <x v="8"/>
    <s v="Maisolia"/>
    <s v="Cedric"/>
    <x v="6"/>
    <x v="26"/>
    <x v="1"/>
    <m/>
    <s v="EU"/>
    <m/>
    <m/>
    <n v="3"/>
    <m/>
    <m/>
    <m/>
    <n v="4"/>
    <m/>
    <m/>
    <m/>
    <m/>
    <m/>
    <m/>
    <m/>
  </r>
  <r>
    <x v="8"/>
    <s v="Maisolia"/>
    <s v="Cedric"/>
    <x v="6"/>
    <x v="31"/>
    <x v="1"/>
    <m/>
    <s v="EU"/>
    <m/>
    <n v="4"/>
    <m/>
    <m/>
    <n v="4"/>
    <m/>
    <n v="4"/>
    <n v="4"/>
    <m/>
    <m/>
    <m/>
    <m/>
    <m/>
    <m/>
  </r>
  <r>
    <x v="8"/>
    <s v="New Customer / Balance of others customers FR"/>
    <s v="Seb / Reden"/>
    <x v="5"/>
    <x v="22"/>
    <x v="0"/>
    <s v="GreenYellow // CFP // 470Wp BIF, CFP "/>
    <s v="EU"/>
    <m/>
    <m/>
    <m/>
    <m/>
    <m/>
    <m/>
    <m/>
    <m/>
    <m/>
    <m/>
    <n v="4"/>
    <m/>
    <m/>
    <m/>
  </r>
  <r>
    <x v="8"/>
    <s v="New Customer / Balance of others customers FR"/>
    <s v="Seb / Ineo Equans"/>
    <x v="5"/>
    <x v="22"/>
    <x v="0"/>
    <s v="GreenYellow // CFP // 470Wp BIF, CFP "/>
    <s v="EU"/>
    <m/>
    <m/>
    <m/>
    <m/>
    <m/>
    <m/>
    <m/>
    <m/>
    <m/>
    <n v="4"/>
    <m/>
    <m/>
    <m/>
    <m/>
  </r>
  <r>
    <x v="8"/>
    <s v="Voltaneo"/>
    <s v="Antoine"/>
    <x v="6"/>
    <x v="32"/>
    <x v="1"/>
    <m/>
    <s v="EU"/>
    <n v="8"/>
    <n v="0"/>
    <n v="0"/>
    <n v="8"/>
    <m/>
    <n v="5"/>
    <n v="5"/>
    <n v="5"/>
    <n v="5"/>
    <m/>
    <m/>
    <m/>
    <m/>
    <m/>
  </r>
  <r>
    <x v="8"/>
    <s v="New Customer / Balance of others customers FR"/>
    <s v="Cedric"/>
    <x v="5"/>
    <x v="20"/>
    <x v="0"/>
    <s v="WEGREEN // CFP // 465Wp/470Wp"/>
    <s v="EU"/>
    <m/>
    <m/>
    <m/>
    <m/>
    <m/>
    <m/>
    <m/>
    <m/>
    <n v="5"/>
    <m/>
    <m/>
    <m/>
    <m/>
    <m/>
  </r>
  <r>
    <x v="8"/>
    <s v="APPROSUD ENVIRONNEMENT"/>
    <s v="Antoine"/>
    <x v="6"/>
    <x v="23"/>
    <x v="1"/>
    <m/>
    <s v="EU"/>
    <n v="8"/>
    <n v="0"/>
    <n v="0"/>
    <n v="16"/>
    <n v="12"/>
    <n v="8"/>
    <n v="8"/>
    <n v="8"/>
    <n v="8"/>
    <m/>
    <m/>
    <m/>
    <m/>
    <m/>
  </r>
  <r>
    <x v="8"/>
    <s v="Voltaneo"/>
    <s v="Antoine"/>
    <x v="6"/>
    <x v="23"/>
    <x v="1"/>
    <m/>
    <s v="EU"/>
    <n v="12"/>
    <n v="0"/>
    <n v="0"/>
    <n v="40"/>
    <n v="8"/>
    <n v="25"/>
    <n v="25"/>
    <n v="25"/>
    <n v="25"/>
    <m/>
    <m/>
    <m/>
    <m/>
    <m/>
  </r>
  <r>
    <x v="8"/>
    <s v="NED"/>
    <s v="Antoine"/>
    <x v="2"/>
    <x v="24"/>
    <x v="1"/>
    <m/>
    <s v="EU"/>
    <n v="0.8"/>
    <n v="0.4"/>
    <n v="0.4"/>
    <n v="0.8"/>
    <n v="0.4"/>
    <n v="0"/>
    <n v="0"/>
    <n v="0"/>
    <n v="0"/>
    <m/>
    <m/>
    <m/>
    <m/>
    <m/>
  </r>
  <r>
    <x v="8"/>
    <s v="LARIVIERE"/>
    <s v="Antoine"/>
    <x v="1"/>
    <x v="3"/>
    <x v="1"/>
    <m/>
    <s v="EU"/>
    <m/>
    <m/>
    <m/>
    <m/>
    <m/>
    <n v="0.2"/>
    <n v="0.1"/>
    <n v="0.1"/>
    <n v="0.1"/>
    <m/>
    <m/>
    <m/>
    <m/>
    <m/>
  </r>
  <r>
    <x v="8"/>
    <s v="Richardson"/>
    <s v="Antoine"/>
    <x v="1"/>
    <x v="3"/>
    <x v="1"/>
    <m/>
    <s v="EU"/>
    <n v="0.4"/>
    <n v="0"/>
    <n v="0.4"/>
    <n v="0.4"/>
    <n v="0.2"/>
    <n v="0.2"/>
    <n v="0.1"/>
    <n v="0.1"/>
    <n v="0.1"/>
    <m/>
    <m/>
    <m/>
    <m/>
    <m/>
  </r>
  <r>
    <x v="8"/>
    <s v="Ecostal"/>
    <s v="Antoine"/>
    <x v="2"/>
    <x v="15"/>
    <x v="7"/>
    <m/>
    <s v="EU"/>
    <m/>
    <m/>
    <m/>
    <m/>
    <m/>
    <n v="0.87"/>
    <n v="0.87"/>
    <n v="0.87"/>
    <n v="0.87"/>
    <m/>
    <m/>
    <m/>
    <m/>
    <m/>
  </r>
  <r>
    <x v="8"/>
    <s v="Voltaneo"/>
    <s v="Antoine"/>
    <x v="1"/>
    <x v="3"/>
    <x v="1"/>
    <m/>
    <s v="EU"/>
    <n v="0.6"/>
    <n v="0"/>
    <n v="0.6"/>
    <n v="0.6"/>
    <n v="0.6"/>
    <n v="0.6"/>
    <n v="0.4"/>
    <n v="0.4"/>
    <n v="0.4"/>
    <m/>
    <m/>
    <m/>
    <m/>
    <m/>
  </r>
  <r>
    <x v="8"/>
    <s v="Voltaneo"/>
    <s v="Antoine"/>
    <x v="1"/>
    <x v="33"/>
    <x v="1"/>
    <m/>
    <s v="EU"/>
    <n v="0.3"/>
    <n v="0.3"/>
    <n v="0.5"/>
    <m/>
    <m/>
    <m/>
    <n v="0"/>
    <n v="0"/>
    <n v="0"/>
    <m/>
    <m/>
    <m/>
    <m/>
    <m/>
  </r>
  <r>
    <x v="8"/>
    <s v="VIVARAIS ENERGIES SARL"/>
    <m/>
    <x v="1"/>
    <x v="33"/>
    <x v="1"/>
    <m/>
    <s v="EU"/>
    <m/>
    <n v="0.3"/>
    <m/>
    <m/>
    <m/>
    <m/>
    <m/>
    <m/>
    <m/>
    <m/>
    <m/>
    <m/>
    <m/>
    <m/>
  </r>
  <r>
    <x v="8"/>
    <s v="REXEL FRANCE SAS"/>
    <m/>
    <x v="1"/>
    <x v="33"/>
    <x v="1"/>
    <m/>
    <s v="EU"/>
    <n v="0.3"/>
    <n v="0.3"/>
    <n v="0.3"/>
    <m/>
    <m/>
    <m/>
    <m/>
    <m/>
    <m/>
    <m/>
    <m/>
    <m/>
    <m/>
    <m/>
  </r>
  <r>
    <x v="8"/>
    <s v="Ecostal"/>
    <s v="Antoine"/>
    <x v="6"/>
    <x v="26"/>
    <x v="1"/>
    <m/>
    <s v="EU"/>
    <n v="4"/>
    <n v="0"/>
    <n v="0"/>
    <n v="0"/>
    <n v="0"/>
    <n v="0"/>
    <n v="8"/>
    <n v="8"/>
    <n v="2"/>
    <m/>
    <m/>
    <m/>
    <m/>
    <m/>
  </r>
  <r>
    <x v="8"/>
    <s v="Ecostal"/>
    <s v="Antoine"/>
    <x v="6"/>
    <x v="27"/>
    <x v="1"/>
    <m/>
    <s v="EU"/>
    <n v="4"/>
    <n v="0"/>
    <n v="0"/>
    <n v="8"/>
    <n v="0"/>
    <n v="4"/>
    <n v="2"/>
    <n v="8"/>
    <n v="2"/>
    <m/>
    <m/>
    <m/>
    <m/>
    <m/>
  </r>
  <r>
    <x v="8"/>
    <s v="Ecostal"/>
    <s v="Antoine"/>
    <x v="6"/>
    <x v="32"/>
    <x v="1"/>
    <m/>
    <s v="EU"/>
    <n v="8"/>
    <n v="0"/>
    <n v="0"/>
    <n v="8"/>
    <n v="8"/>
    <n v="4"/>
    <n v="4"/>
    <n v="4"/>
    <n v="4"/>
    <m/>
    <m/>
    <m/>
    <m/>
    <m/>
  </r>
  <r>
    <x v="8"/>
    <s v="Ecostal"/>
    <s v="Antoine"/>
    <x v="6"/>
    <x v="23"/>
    <x v="1"/>
    <m/>
    <s v="EU"/>
    <n v="8"/>
    <n v="0"/>
    <n v="0"/>
    <n v="8"/>
    <n v="3"/>
    <n v="8"/>
    <n v="8"/>
    <n v="8"/>
    <n v="8"/>
    <m/>
    <m/>
    <m/>
    <m/>
    <m/>
  </r>
  <r>
    <x v="8"/>
    <s v="New Customer / Balance of others customers FR"/>
    <m/>
    <x v="1"/>
    <x v="3"/>
    <x v="1"/>
    <m/>
    <s v="EU"/>
    <m/>
    <n v="0"/>
    <m/>
    <m/>
    <n v="1"/>
    <m/>
    <m/>
    <m/>
    <m/>
    <m/>
    <m/>
    <m/>
    <m/>
    <m/>
  </r>
  <r>
    <x v="8"/>
    <s v="NED"/>
    <s v="Antoine"/>
    <x v="1"/>
    <x v="3"/>
    <x v="1"/>
    <m/>
    <s v="EU"/>
    <n v="0.2"/>
    <n v="0"/>
    <n v="0.2"/>
    <n v="0.4"/>
    <n v="0.4"/>
    <n v="0.4"/>
    <m/>
    <m/>
    <m/>
    <m/>
    <m/>
    <m/>
    <m/>
    <m/>
  </r>
  <r>
    <x v="8"/>
    <s v="ISOSSUN"/>
    <s v="Antoine"/>
    <x v="1"/>
    <x v="3"/>
    <x v="1"/>
    <m/>
    <s v="EU"/>
    <n v="0.2"/>
    <n v="0"/>
    <n v="0.2"/>
    <n v="0.2"/>
    <n v="0.2"/>
    <n v="0.2"/>
    <n v="0.1"/>
    <n v="0.1"/>
    <n v="0.1"/>
    <m/>
    <m/>
    <m/>
    <m/>
    <m/>
  </r>
  <r>
    <x v="8"/>
    <s v="Ecostal"/>
    <s v="Antoine"/>
    <x v="1"/>
    <x v="3"/>
    <x v="1"/>
    <m/>
    <s v="EU"/>
    <n v="0.2"/>
    <n v="0"/>
    <n v="0.2"/>
    <n v="0.2"/>
    <n v="0.2"/>
    <n v="0.2"/>
    <n v="0.2"/>
    <n v="0.2"/>
    <n v="0.2"/>
    <m/>
    <m/>
    <m/>
    <m/>
    <m/>
  </r>
  <r>
    <x v="8"/>
    <s v="Dubecq et Fils Sarl"/>
    <s v="Cedric"/>
    <x v="1"/>
    <x v="33"/>
    <x v="1"/>
    <m/>
    <s v="EU"/>
    <m/>
    <n v="0.4"/>
    <n v="0.75"/>
    <n v="0.51300000000000001"/>
    <m/>
    <n v="1.135"/>
    <n v="0.89700000000000002"/>
    <n v="0.4"/>
    <n v="1.25"/>
    <m/>
    <m/>
    <m/>
    <m/>
    <m/>
  </r>
  <r>
    <x v="8"/>
    <s v="APPROSUD ENVIRONNEMENT"/>
    <s v="Antoine"/>
    <x v="1"/>
    <x v="3"/>
    <x v="1"/>
    <m/>
    <s v="EU"/>
    <n v="0.4"/>
    <n v="0"/>
    <n v="0.4"/>
    <n v="0.4"/>
    <n v="0.4"/>
    <n v="0.4"/>
    <n v="0.4"/>
    <n v="0.4"/>
    <n v="0.4"/>
    <m/>
    <m/>
    <m/>
    <m/>
    <m/>
  </r>
  <r>
    <x v="8"/>
    <s v="APPROSUD ENVIRONNEMENT"/>
    <s v="Antoine"/>
    <x v="1"/>
    <x v="33"/>
    <x v="1"/>
    <m/>
    <s v="EU"/>
    <n v="0.2"/>
    <n v="0.2"/>
    <n v="0.2"/>
    <n v="0.2"/>
    <n v="0.2"/>
    <n v="0"/>
    <n v="0"/>
    <n v="0"/>
    <n v="0"/>
    <m/>
    <m/>
    <m/>
    <m/>
    <m/>
  </r>
  <r>
    <x v="8"/>
    <s v="APPROSUD ENVIRONNEMENT"/>
    <s v="Antoine"/>
    <x v="6"/>
    <x v="26"/>
    <x v="1"/>
    <m/>
    <s v="EU"/>
    <n v="4"/>
    <n v="0"/>
    <n v="0"/>
    <n v="0"/>
    <n v="2"/>
    <n v="2"/>
    <n v="2"/>
    <n v="2"/>
    <n v="2"/>
    <m/>
    <m/>
    <m/>
    <m/>
    <m/>
  </r>
  <r>
    <x v="8"/>
    <s v="APPROSUD ENVIRONNEMENT"/>
    <s v="Antoine"/>
    <x v="6"/>
    <x v="27"/>
    <x v="1"/>
    <m/>
    <s v="EU"/>
    <n v="4"/>
    <n v="0"/>
    <n v="0"/>
    <n v="0"/>
    <n v="0"/>
    <n v="4"/>
    <n v="0"/>
    <n v="4"/>
    <n v="4"/>
    <m/>
    <m/>
    <m/>
    <m/>
    <m/>
  </r>
  <r>
    <x v="8"/>
    <s v="APPROSUD ENVIRONNEMENT"/>
    <s v="Antoine"/>
    <x v="6"/>
    <x v="32"/>
    <x v="1"/>
    <m/>
    <s v="EU"/>
    <n v="4"/>
    <n v="0"/>
    <n v="0"/>
    <n v="4"/>
    <n v="4"/>
    <n v="4"/>
    <n v="4"/>
    <n v="4"/>
    <n v="4"/>
    <m/>
    <m/>
    <m/>
    <m/>
    <m/>
  </r>
  <r>
    <x v="8"/>
    <s v="ISOSSUN"/>
    <s v="Antoine"/>
    <x v="6"/>
    <x v="23"/>
    <x v="1"/>
    <m/>
    <s v="EU"/>
    <n v="4"/>
    <n v="0"/>
    <n v="0"/>
    <m/>
    <m/>
    <m/>
    <m/>
    <m/>
    <m/>
    <m/>
    <m/>
    <m/>
    <m/>
    <m/>
  </r>
  <r>
    <x v="8"/>
    <s v="MAISOLIA"/>
    <s v="Cedric"/>
    <x v="1"/>
    <x v="3"/>
    <x v="1"/>
    <m/>
    <s v="EU"/>
    <m/>
    <m/>
    <m/>
    <n v="0.14399999999999999"/>
    <m/>
    <n v="0.14399999999999999"/>
    <m/>
    <m/>
    <m/>
    <m/>
    <m/>
    <m/>
    <m/>
    <m/>
  </r>
  <r>
    <x v="8"/>
    <s v="APPROSUD ENVIRONNEMENT"/>
    <s v="Antoine"/>
    <x v="2"/>
    <x v="24"/>
    <x v="1"/>
    <m/>
    <s v="EU"/>
    <n v="0.4"/>
    <n v="0.4"/>
    <n v="0.4"/>
    <n v="0.4"/>
    <n v="0"/>
    <n v="0.4"/>
    <n v="0"/>
    <n v="0"/>
    <n v="0"/>
    <m/>
    <m/>
    <m/>
    <m/>
    <m/>
  </r>
  <r>
    <x v="8"/>
    <s v="APPROSUD ENVIRONNEMENT"/>
    <s v="Antoine"/>
    <x v="2"/>
    <x v="25"/>
    <x v="1"/>
    <m/>
    <s v="EU"/>
    <n v="0.8"/>
    <n v="0.8"/>
    <n v="0.8"/>
    <n v="0.8"/>
    <n v="2.16"/>
    <n v="1.296"/>
    <n v="0.8"/>
    <n v="0.8"/>
    <n v="0.8"/>
    <m/>
    <m/>
    <m/>
    <m/>
    <m/>
  </r>
  <r>
    <x v="8"/>
    <s v="ISOSSUN"/>
    <s v="Antoine"/>
    <x v="2"/>
    <x v="2"/>
    <x v="1"/>
    <m/>
    <s v="EU"/>
    <n v="0.6"/>
    <n v="1"/>
    <n v="1"/>
    <n v="0.6"/>
    <n v="0.4"/>
    <n v="0.8"/>
    <n v="0.4"/>
    <n v="0.4"/>
    <n v="0.4"/>
    <m/>
    <m/>
    <m/>
    <m/>
    <m/>
  </r>
  <r>
    <x v="8"/>
    <s v="New Customer / Balance of others customers FR"/>
    <s v="Seb / BayWa"/>
    <x v="0"/>
    <x v="29"/>
    <x v="0"/>
    <s v="Corsicasole // CFP, 490W/495W//500W, CFP PPE2 V1&lt;474// "/>
    <s v="EU"/>
    <m/>
    <m/>
    <m/>
    <m/>
    <m/>
    <m/>
    <m/>
    <m/>
    <m/>
    <n v="5"/>
    <n v="5"/>
    <n v="5"/>
    <n v="5"/>
    <n v="5"/>
  </r>
  <r>
    <x v="8"/>
    <s v="New Customer / Balance of others customers FR"/>
    <s v="Seb / WeWise"/>
    <x v="5"/>
    <x v="20"/>
    <x v="0"/>
    <s v="Phenix Solar // CFP // 470Wp/475Wp"/>
    <s v="EU"/>
    <m/>
    <m/>
    <m/>
    <m/>
    <m/>
    <m/>
    <m/>
    <n v="4"/>
    <n v="4"/>
    <n v="5"/>
    <n v="5"/>
    <n v="5"/>
    <n v="5"/>
    <n v="5"/>
  </r>
  <r>
    <x v="8"/>
    <s v="New Customer / Balance of others customers FR"/>
    <s v="Seb / GreenYellow"/>
    <x v="5"/>
    <x v="20"/>
    <x v="0"/>
    <s v="Solveo // CFP // 470Wp, CFP &lt;620 // "/>
    <s v="EU"/>
    <m/>
    <m/>
    <m/>
    <m/>
    <m/>
    <m/>
    <m/>
    <m/>
    <m/>
    <n v="4"/>
    <n v="4"/>
    <n v="4"/>
    <n v="4"/>
    <n v="4"/>
  </r>
  <r>
    <x v="8"/>
    <s v="New Customer / Balance of others customers FR"/>
    <s v="Seb / Apex"/>
    <x v="5"/>
    <x v="20"/>
    <x v="0"/>
    <s v="Terre et Lac // CFP // 470Wp/475Wp, CFP &lt;620 // "/>
    <s v="EU"/>
    <m/>
    <m/>
    <m/>
    <m/>
    <m/>
    <m/>
    <m/>
    <m/>
    <m/>
    <n v="5"/>
    <n v="5"/>
    <n v="5"/>
    <n v="5"/>
    <n v="5"/>
  </r>
  <r>
    <x v="8"/>
    <s v="New Customer / Balance of others customers FR"/>
    <s v="Seb / Amarenco"/>
    <x v="5"/>
    <x v="20"/>
    <x v="0"/>
    <s v="Technique Solaire // CFP // 470Wp/475Wp, CFP &lt;630 // "/>
    <s v="EU"/>
    <m/>
    <m/>
    <m/>
    <m/>
    <m/>
    <m/>
    <m/>
    <m/>
    <m/>
    <m/>
    <n v="4"/>
    <n v="4"/>
    <m/>
    <m/>
  </r>
  <r>
    <x v="8"/>
    <s v="New Customer / Balance of others customers FR"/>
    <s v="Seb / WeWise"/>
    <x v="2"/>
    <x v="21"/>
    <x v="5"/>
    <s v="WeWise // CFP // 445/450/455Wp, CFP // "/>
    <s v="EU"/>
    <n v="2.129"/>
    <m/>
    <m/>
    <m/>
    <m/>
    <m/>
    <m/>
    <m/>
    <m/>
    <m/>
    <m/>
    <m/>
    <m/>
    <m/>
  </r>
  <r>
    <x v="8"/>
    <s v="New Customer / Balance of others customers FR"/>
    <s v="Seb / WeWise"/>
    <x v="2"/>
    <x v="24"/>
    <x v="5"/>
    <s v="WeWise // CFP // 445/450/455Wp, CFP // "/>
    <s v="EU"/>
    <n v="2.1"/>
    <m/>
    <m/>
    <m/>
    <m/>
    <m/>
    <m/>
    <m/>
    <m/>
    <m/>
    <m/>
    <m/>
    <m/>
    <m/>
  </r>
  <r>
    <x v="8"/>
    <s v="New Customer / Balance of others customers FR"/>
    <s v="Seb / WeWise"/>
    <x v="2"/>
    <x v="24"/>
    <x v="5"/>
    <s v="WeWise // CFP // 445/450/455Wp, CFP // "/>
    <s v="EU"/>
    <m/>
    <m/>
    <m/>
    <m/>
    <n v="0.84199999999999997"/>
    <n v="2.1"/>
    <m/>
    <m/>
    <m/>
    <m/>
    <m/>
    <m/>
    <m/>
    <m/>
  </r>
  <r>
    <x v="8"/>
    <s v="New Customer / Balance of others customers FR"/>
    <s v="Seb / WeWise"/>
    <x v="0"/>
    <x v="29"/>
    <x v="0"/>
    <s v="Amarenco // CFP, 470W, CFP PPE2 V1&lt;550 // "/>
    <s v="EU"/>
    <m/>
    <m/>
    <m/>
    <m/>
    <m/>
    <m/>
    <m/>
    <m/>
    <m/>
    <m/>
    <n v="4"/>
    <n v="4"/>
    <n v="4"/>
    <n v="4"/>
  </r>
  <r>
    <x v="8"/>
    <s v="NED"/>
    <s v="Antoine"/>
    <x v="2"/>
    <x v="25"/>
    <x v="1"/>
    <m/>
    <s v="EU"/>
    <n v="0.8"/>
    <n v="0.8"/>
    <n v="0.8"/>
    <n v="0.8"/>
    <n v="0.8"/>
    <n v="0.8"/>
    <n v="0.8"/>
    <n v="0.8"/>
    <n v="0.8"/>
    <m/>
    <m/>
    <m/>
    <m/>
    <m/>
  </r>
  <r>
    <x v="8"/>
    <s v="ISOSSUN"/>
    <s v="Antoine"/>
    <x v="2"/>
    <x v="24"/>
    <x v="1"/>
    <m/>
    <s v="EU"/>
    <n v="0.4"/>
    <n v="1"/>
    <n v="1"/>
    <n v="0.4"/>
    <n v="0.4"/>
    <n v="0"/>
    <n v="0"/>
    <n v="0"/>
    <n v="0"/>
    <m/>
    <m/>
    <m/>
    <m/>
    <m/>
  </r>
  <r>
    <x v="8"/>
    <s v="Ecostal"/>
    <s v="Antoine"/>
    <x v="2"/>
    <x v="2"/>
    <x v="1"/>
    <m/>
    <s v="EU"/>
    <n v="0.8"/>
    <n v="0.8"/>
    <n v="0.8"/>
    <n v="0.6"/>
    <n v="0"/>
    <n v="0"/>
    <n v="0"/>
    <n v="0"/>
    <n v="0"/>
    <m/>
    <m/>
    <m/>
    <m/>
    <m/>
  </r>
  <r>
    <x v="8"/>
    <s v="Ecostal"/>
    <s v="Antoine"/>
    <x v="2"/>
    <x v="21"/>
    <x v="1"/>
    <m/>
    <s v="Offshore"/>
    <m/>
    <m/>
    <m/>
    <m/>
    <n v="0.85"/>
    <n v="0.85"/>
    <n v="0"/>
    <n v="0"/>
    <n v="0"/>
    <m/>
    <m/>
    <m/>
    <m/>
    <m/>
  </r>
  <r>
    <x v="8"/>
    <s v="Ecostal"/>
    <s v="Antoine"/>
    <x v="2"/>
    <x v="24"/>
    <x v="1"/>
    <m/>
    <s v="Offshore"/>
    <n v="2"/>
    <n v="1"/>
    <n v="1"/>
    <n v="2"/>
    <n v="3.37"/>
    <n v="0"/>
    <n v="0"/>
    <n v="0"/>
    <n v="0"/>
    <m/>
    <m/>
    <m/>
    <m/>
    <m/>
  </r>
  <r>
    <x v="8"/>
    <s v="NED"/>
    <s v="ESS_Gen2"/>
    <x v="6"/>
    <x v="26"/>
    <x v="1"/>
    <m/>
    <s v="EU"/>
    <n v="4"/>
    <n v="0"/>
    <n v="0"/>
    <n v="0"/>
    <n v="2"/>
    <n v="2"/>
    <n v="2"/>
    <n v="2"/>
    <n v="2"/>
    <m/>
    <m/>
    <m/>
    <m/>
    <m/>
  </r>
  <r>
    <x v="8"/>
    <s v="NED"/>
    <s v="ESS_Gen2"/>
    <x v="6"/>
    <x v="27"/>
    <x v="1"/>
    <m/>
    <s v="EU"/>
    <n v="4"/>
    <n v="0"/>
    <n v="0"/>
    <n v="8"/>
    <n v="0"/>
    <n v="4"/>
    <n v="0"/>
    <n v="4"/>
    <n v="4"/>
    <m/>
    <m/>
    <m/>
    <m/>
    <m/>
  </r>
  <r>
    <x v="8"/>
    <s v="NED"/>
    <s v="Antoine"/>
    <x v="6"/>
    <x v="32"/>
    <x v="1"/>
    <m/>
    <s v="EU"/>
    <n v="4"/>
    <n v="0"/>
    <n v="0"/>
    <n v="4"/>
    <n v="4"/>
    <n v="4"/>
    <n v="4"/>
    <n v="4"/>
    <n v="4"/>
    <m/>
    <m/>
    <m/>
    <m/>
    <m/>
  </r>
  <r>
    <x v="8"/>
    <s v="NED"/>
    <s v="Antoine"/>
    <x v="6"/>
    <x v="23"/>
    <x v="1"/>
    <m/>
    <s v="EU"/>
    <n v="6"/>
    <n v="0"/>
    <n v="0"/>
    <n v="16"/>
    <n v="12"/>
    <n v="12"/>
    <n v="8"/>
    <n v="8"/>
    <n v="8"/>
    <m/>
    <m/>
    <m/>
    <m/>
    <m/>
  </r>
  <r>
    <x v="8"/>
    <s v="JR ENERGIE Conseil"/>
    <m/>
    <x v="1"/>
    <x v="33"/>
    <x v="2"/>
    <m/>
    <s v="EU"/>
    <n v="0.4"/>
    <n v="0.4"/>
    <n v="0.4"/>
    <m/>
    <m/>
    <m/>
    <m/>
    <m/>
    <m/>
    <m/>
    <m/>
    <m/>
    <m/>
    <m/>
  </r>
  <r>
    <x v="8"/>
    <s v="JR ENERGIE Conseil"/>
    <m/>
    <x v="2"/>
    <x v="24"/>
    <x v="3"/>
    <m/>
    <s v="EU"/>
    <n v="0.4"/>
    <n v="0.2"/>
    <n v="0.2"/>
    <m/>
    <m/>
    <m/>
    <m/>
    <m/>
    <m/>
    <m/>
    <m/>
    <m/>
    <m/>
    <m/>
  </r>
  <r>
    <x v="8"/>
    <s v="APPROSUD ENVIRONNEMENT"/>
    <s v="Antoine"/>
    <x v="2"/>
    <x v="2"/>
    <x v="1"/>
    <m/>
    <s v="EU"/>
    <n v="0.4"/>
    <n v="1"/>
    <n v="1"/>
    <n v="1"/>
    <n v="0"/>
    <n v="0.4"/>
    <n v="0.4"/>
    <n v="0.4"/>
    <n v="0.4"/>
    <m/>
    <m/>
    <m/>
    <m/>
    <m/>
  </r>
  <r>
    <x v="8"/>
    <s v="Ecostal"/>
    <s v="Antoine"/>
    <x v="2"/>
    <x v="25"/>
    <x v="1"/>
    <m/>
    <s v="EU"/>
    <m/>
    <m/>
    <m/>
    <n v="1.3"/>
    <n v="1.3"/>
    <n v="1.3"/>
    <n v="0.2"/>
    <n v="0.2"/>
    <n v="0.2"/>
    <m/>
    <m/>
    <m/>
    <m/>
    <m/>
  </r>
  <r>
    <x v="8"/>
    <s v="Voltaneo"/>
    <s v="Steven"/>
    <x v="0"/>
    <x v="29"/>
    <x v="0"/>
    <s v="Voltaneo/ 485/490"/>
    <s v="EU"/>
    <m/>
    <m/>
    <m/>
    <m/>
    <m/>
    <m/>
    <m/>
    <m/>
    <n v="0"/>
    <n v="10"/>
    <m/>
    <m/>
    <m/>
    <m/>
  </r>
  <r>
    <x v="9"/>
    <s v="Baka LLC"/>
    <m/>
    <x v="1"/>
    <x v="34"/>
    <x v="0"/>
    <s v="600kW of 555W FCA RTD"/>
    <s v="EU"/>
    <m/>
    <m/>
    <s v=" "/>
    <m/>
    <n v="0.6"/>
    <m/>
    <m/>
    <m/>
    <m/>
    <m/>
    <m/>
    <m/>
    <m/>
    <m/>
  </r>
  <r>
    <x v="10"/>
    <s v="Schur GmbH"/>
    <s v="Matthias Doering"/>
    <x v="1"/>
    <x v="34"/>
    <x v="1"/>
    <s v="MAX3 delaminaiton CASE to solve"/>
    <s v="EU"/>
    <n v="5.0000000000000001E-3"/>
    <m/>
    <m/>
    <m/>
    <m/>
    <m/>
    <m/>
    <m/>
    <n v="2.4639999999999999E-2"/>
    <m/>
    <m/>
    <m/>
    <m/>
    <m/>
  </r>
  <r>
    <x v="10"/>
    <s v="solar-activ-GmbH"/>
    <s v="Matthias Doering"/>
    <x v="1"/>
    <x v="1"/>
    <x v="1"/>
    <m/>
    <s v="EU"/>
    <n v="0.23183999999999999"/>
    <n v="0.23183999999999999"/>
    <n v="0.23183999999999999"/>
    <n v="0.19872000000000001"/>
    <n v="0.19872000000000001"/>
    <n v="0.19872000000000001"/>
    <n v="0.19872000000000001"/>
    <n v="0.19872000000000001"/>
    <n v="0.19872000000000001"/>
    <m/>
    <m/>
    <m/>
    <m/>
    <m/>
  </r>
  <r>
    <x v="10"/>
    <s v="solar-activ-GmbH"/>
    <s v="Matthias Doering"/>
    <x v="1"/>
    <x v="18"/>
    <x v="1"/>
    <m/>
    <s v="EU"/>
    <m/>
    <m/>
    <n v="3.7080000000000002E-2"/>
    <m/>
    <m/>
    <m/>
    <n v="3.7080000000000002E-2"/>
    <m/>
    <m/>
    <m/>
    <m/>
    <m/>
    <m/>
    <m/>
  </r>
  <r>
    <x v="10"/>
    <s v="solar-activ-GmbH"/>
    <s v="Matthias Doering"/>
    <x v="1"/>
    <x v="34"/>
    <x v="1"/>
    <m/>
    <s v="EU"/>
    <m/>
    <n v="0.2"/>
    <m/>
    <m/>
    <n v="0.10989"/>
    <m/>
    <m/>
    <m/>
    <m/>
    <m/>
    <m/>
    <m/>
    <m/>
    <m/>
  </r>
  <r>
    <x v="10"/>
    <s v="solar-activ-GmbH"/>
    <s v="Matthias Doering"/>
    <x v="3"/>
    <x v="6"/>
    <x v="1"/>
    <s v="if price is below 18ct/W"/>
    <s v="EU"/>
    <m/>
    <m/>
    <m/>
    <n v="3.5639999999999998E-2"/>
    <n v="3.5639999999999998E-2"/>
    <n v="3.5639999999999998E-2"/>
    <n v="3.5639999999999998E-2"/>
    <n v="3.5639999999999998E-2"/>
    <n v="3.5639999999999998E-2"/>
    <m/>
    <m/>
    <m/>
    <m/>
    <m/>
  </r>
  <r>
    <x v="10"/>
    <s v="solar-activ-GmbH"/>
    <s v="Matthias Doering"/>
    <x v="3"/>
    <x v="35"/>
    <x v="1"/>
    <s v="if price is below 15ct/W"/>
    <s v="EU"/>
    <m/>
    <m/>
    <m/>
    <m/>
    <n v="8.6400000000000005E-2"/>
    <m/>
    <m/>
    <m/>
    <m/>
    <m/>
    <m/>
    <m/>
    <m/>
    <m/>
  </r>
  <r>
    <x v="10"/>
    <s v="Wieser Elektro GmbH"/>
    <s v="Matthias Doering"/>
    <x v="1"/>
    <x v="1"/>
    <x v="1"/>
    <m/>
    <s v="EU"/>
    <n v="0.13247999999999999"/>
    <m/>
    <m/>
    <n v="0.13247999999999999"/>
    <m/>
    <m/>
    <n v="0.13247999999999999"/>
    <m/>
    <m/>
    <m/>
    <m/>
    <m/>
    <m/>
    <m/>
  </r>
  <r>
    <x v="10"/>
    <s v="Wieser Elektro GmbH"/>
    <s v="Matthias Doering"/>
    <x v="1"/>
    <x v="18"/>
    <x v="1"/>
    <m/>
    <s v="EU"/>
    <n v="0.14832000000000001"/>
    <m/>
    <m/>
    <n v="0.14832000000000001"/>
    <m/>
    <m/>
    <n v="0.14832000000000001"/>
    <m/>
    <m/>
    <m/>
    <m/>
    <m/>
    <m/>
    <m/>
  </r>
  <r>
    <x v="10"/>
    <s v="Wieser Elektro GmbH"/>
    <s v="Matthias Doering"/>
    <x v="1"/>
    <x v="34"/>
    <x v="1"/>
    <m/>
    <s v="EU"/>
    <m/>
    <m/>
    <m/>
    <n v="0.10989"/>
    <m/>
    <m/>
    <n v="0.10989"/>
    <m/>
    <m/>
    <m/>
    <m/>
    <m/>
    <m/>
    <m/>
  </r>
  <r>
    <x v="10"/>
    <s v="Wieser Elektro GmbH"/>
    <s v="Matthias Doering"/>
    <x v="3"/>
    <x v="6"/>
    <x v="1"/>
    <m/>
    <s v="EU"/>
    <m/>
    <m/>
    <m/>
    <n v="3.5999999999999997E-2"/>
    <m/>
    <m/>
    <n v="3.5999999999999997E-2"/>
    <m/>
    <m/>
    <m/>
    <m/>
    <m/>
    <m/>
    <m/>
  </r>
  <r>
    <x v="10"/>
    <s v="Wohnico GmbH"/>
    <s v="Matthias Doering"/>
    <x v="1"/>
    <x v="34"/>
    <x v="1"/>
    <m/>
    <s v="EU"/>
    <m/>
    <m/>
    <m/>
    <n v="0.1"/>
    <m/>
    <m/>
    <m/>
    <n v="0.1"/>
    <m/>
    <m/>
    <m/>
    <m/>
    <m/>
    <m/>
  </r>
  <r>
    <x v="10"/>
    <s v="Beck Elektrotechnik GmbH"/>
    <s v="Sven Braunstein"/>
    <x v="6"/>
    <x v="26"/>
    <x v="1"/>
    <m/>
    <s v="EU"/>
    <m/>
    <n v="2"/>
    <n v="3"/>
    <n v="3"/>
    <n v="3"/>
    <n v="3"/>
    <n v="4"/>
    <n v="4"/>
    <n v="2"/>
    <m/>
    <m/>
    <m/>
    <m/>
    <m/>
  </r>
  <r>
    <x v="10"/>
    <s v="Beck Elektrotechnik GmbH"/>
    <s v="Sven Braunstein"/>
    <x v="6"/>
    <x v="30"/>
    <x v="1"/>
    <m/>
    <s v="EU"/>
    <m/>
    <n v="2"/>
    <n v="2"/>
    <n v="2"/>
    <n v="2"/>
    <n v="1"/>
    <n v="2"/>
    <n v="2"/>
    <n v="1"/>
    <m/>
    <m/>
    <m/>
    <m/>
    <m/>
  </r>
  <r>
    <x v="10"/>
    <s v="Beck Elektrotechnik GmbH"/>
    <s v="Sven Braunstein"/>
    <x v="1"/>
    <x v="1"/>
    <x v="1"/>
    <m/>
    <s v="EU"/>
    <m/>
    <n v="3.3000000000000002E-2"/>
    <m/>
    <n v="6.6000000000000003E-2"/>
    <m/>
    <n v="6.6000000000000003E-2"/>
    <m/>
    <n v="6.6000000000000003E-2"/>
    <m/>
    <m/>
    <m/>
    <m/>
    <m/>
    <m/>
  </r>
  <r>
    <x v="10"/>
    <s v="Betterliving GmbH"/>
    <s v="Sven Braunstein"/>
    <x v="1"/>
    <x v="8"/>
    <x v="1"/>
    <m/>
    <s v="EU"/>
    <n v="0.06"/>
    <m/>
    <m/>
    <m/>
    <m/>
    <m/>
    <m/>
    <m/>
    <m/>
    <m/>
    <m/>
    <m/>
    <m/>
    <m/>
  </r>
  <r>
    <x v="10"/>
    <s v="retec MERZ GmbH"/>
    <s v="Matthias Doering"/>
    <x v="3"/>
    <x v="6"/>
    <x v="1"/>
    <s v="if price is below 20ct/W"/>
    <s v="EU"/>
    <m/>
    <m/>
    <m/>
    <m/>
    <m/>
    <m/>
    <n v="0.14399999999999999"/>
    <n v="0.14399999999999999"/>
    <m/>
    <m/>
    <m/>
    <m/>
    <m/>
    <m/>
  </r>
  <r>
    <x v="10"/>
    <s v="Betterliving GmbH"/>
    <s v="Sven Braunstein"/>
    <x v="1"/>
    <x v="1"/>
    <x v="1"/>
    <m/>
    <s v="EU"/>
    <m/>
    <n v="0.06"/>
    <m/>
    <n v="6.6000000000000003E-2"/>
    <m/>
    <n v="6.6000000000000003E-2"/>
    <m/>
    <n v="6.6000000000000003E-2"/>
    <m/>
    <m/>
    <m/>
    <m/>
    <m/>
    <m/>
  </r>
  <r>
    <x v="10"/>
    <s v="retec MERZ GmbH"/>
    <s v="Matthias Doering"/>
    <x v="1"/>
    <x v="34"/>
    <x v="1"/>
    <m/>
    <s v="EU"/>
    <m/>
    <m/>
    <n v="0.10989"/>
    <m/>
    <n v="0.10989"/>
    <m/>
    <m/>
    <n v="0.10989"/>
    <m/>
    <m/>
    <m/>
    <m/>
    <m/>
    <m/>
  </r>
  <r>
    <x v="10"/>
    <s v="retec MERZ GmbH"/>
    <s v="Matthias Doering"/>
    <x v="1"/>
    <x v="1"/>
    <x v="1"/>
    <m/>
    <s v="EU"/>
    <m/>
    <m/>
    <n v="0.1656"/>
    <m/>
    <n v="0.1656"/>
    <m/>
    <m/>
    <n v="0.1656"/>
    <m/>
    <m/>
    <m/>
    <m/>
    <m/>
    <m/>
  </r>
  <r>
    <x v="10"/>
    <s v="Hauser Solartechnik GmbH"/>
    <s v="Matthias Doering"/>
    <x v="3"/>
    <x v="35"/>
    <x v="1"/>
    <m/>
    <s v="EU"/>
    <m/>
    <m/>
    <m/>
    <m/>
    <n v="8.6400000000000005E-2"/>
    <m/>
    <m/>
    <n v="8.6400000000000005E-2"/>
    <m/>
    <m/>
    <m/>
    <m/>
    <m/>
    <m/>
  </r>
  <r>
    <x v="10"/>
    <s v="Holzbau Deuerling"/>
    <s v="Matthias Doering"/>
    <x v="6"/>
    <x v="27"/>
    <x v="1"/>
    <m/>
    <s v="EU"/>
    <n v="1"/>
    <m/>
    <m/>
    <m/>
    <n v="1"/>
    <m/>
    <m/>
    <n v="1"/>
    <m/>
    <m/>
    <m/>
    <m/>
    <m/>
    <m/>
  </r>
  <r>
    <x v="10"/>
    <s v="Holzbau Deuerling"/>
    <s v="Matthias Doering"/>
    <x v="1"/>
    <x v="18"/>
    <x v="1"/>
    <m/>
    <s v="EU"/>
    <n v="3.7079999999999999E-3"/>
    <m/>
    <m/>
    <m/>
    <n v="3.7079999999999999E-3"/>
    <m/>
    <m/>
    <n v="3.7079999999999999E-3"/>
    <m/>
    <m/>
    <m/>
    <m/>
    <m/>
    <m/>
  </r>
  <r>
    <x v="10"/>
    <s v="iKratos Solar- und Energietechnik GmbH"/>
    <s v="Matthias Doering"/>
    <x v="1"/>
    <x v="1"/>
    <x v="1"/>
    <m/>
    <s v="EU"/>
    <m/>
    <n v="0.23183999999999999"/>
    <m/>
    <n v="0.23183999999999999"/>
    <m/>
    <n v="0.23183999999999999"/>
    <m/>
    <n v="0.23183999999999999"/>
    <m/>
    <m/>
    <m/>
    <m/>
    <m/>
    <m/>
  </r>
  <r>
    <x v="10"/>
    <s v="iKratos Solar- und Energietechnik GmbH"/>
    <s v="Matthias Doering"/>
    <x v="1"/>
    <x v="36"/>
    <x v="1"/>
    <m/>
    <s v="EU"/>
    <n v="0.11015999999999999"/>
    <n v="0.11015999999999999"/>
    <m/>
    <m/>
    <m/>
    <m/>
    <m/>
    <m/>
    <m/>
    <m/>
    <m/>
    <m/>
    <m/>
    <m/>
  </r>
  <r>
    <x v="10"/>
    <s v="iKratos Solar- und Energietechnik GmbH"/>
    <s v="Matthias Doering"/>
    <x v="1"/>
    <x v="18"/>
    <x v="1"/>
    <m/>
    <s v="EU"/>
    <n v="0.25956000000000001"/>
    <n v="0.25956000000000001"/>
    <n v="0.25956000000000001"/>
    <n v="0.25956000000000001"/>
    <n v="0.25956000000000001"/>
    <n v="0.25956000000000001"/>
    <n v="0.25956000000000001"/>
    <n v="0.25956000000000001"/>
    <n v="0.25956000000000001"/>
    <m/>
    <m/>
    <m/>
    <m/>
    <m/>
  </r>
  <r>
    <x v="10"/>
    <s v="iKratos Solar- und Energietechnik GmbH"/>
    <s v="Matthias Doering"/>
    <x v="1"/>
    <x v="34"/>
    <x v="1"/>
    <m/>
    <s v="EU"/>
    <m/>
    <m/>
    <m/>
    <m/>
    <n v="0.14652000000000001"/>
    <m/>
    <m/>
    <m/>
    <m/>
    <m/>
    <m/>
    <m/>
    <m/>
    <m/>
  </r>
  <r>
    <x v="10"/>
    <s v="iKratos Solar- und Energietechnik GmbH"/>
    <s v="Matthias Doering"/>
    <x v="7"/>
    <x v="37"/>
    <x v="1"/>
    <m/>
    <s v="EU"/>
    <n v="3.6260000000000001E-2"/>
    <n v="3.6260000000000001E-2"/>
    <n v="3.6260000000000001E-2"/>
    <n v="3.6260000000000001E-2"/>
    <n v="3.6260000000000001E-2"/>
    <m/>
    <m/>
    <m/>
    <m/>
    <m/>
    <m/>
    <m/>
    <m/>
    <m/>
  </r>
  <r>
    <x v="10"/>
    <s v="iKratos Solar- und Energietechnik GmbH"/>
    <s v="Matthias Doering"/>
    <x v="3"/>
    <x v="6"/>
    <x v="1"/>
    <m/>
    <s v="EU"/>
    <m/>
    <m/>
    <m/>
    <m/>
    <m/>
    <n v="3.5999999999999997E-2"/>
    <n v="3.5999999999999997E-2"/>
    <n v="3.5999999999999997E-2"/>
    <n v="3.5999999999999997E-2"/>
    <m/>
    <m/>
    <m/>
    <m/>
    <m/>
  </r>
  <r>
    <x v="10"/>
    <s v="iKratos Solar- und Energietechnik GmbH"/>
    <s v="Matthias Doering"/>
    <x v="3"/>
    <x v="35"/>
    <x v="1"/>
    <m/>
    <s v="EU"/>
    <m/>
    <m/>
    <m/>
    <m/>
    <m/>
    <n v="4.3200000000000002E-2"/>
    <n v="4.3200000000000002E-2"/>
    <n v="4.3200000000000002E-2"/>
    <n v="4.3200000000000002E-2"/>
    <m/>
    <m/>
    <m/>
    <m/>
    <m/>
  </r>
  <r>
    <x v="10"/>
    <s v="MAK Solarsysteme Photovoltaik, Inh. Marius Kraus"/>
    <s v="Matthias Doering"/>
    <x v="1"/>
    <x v="18"/>
    <x v="1"/>
    <m/>
    <s v="EU"/>
    <m/>
    <m/>
    <m/>
    <m/>
    <n v="3.7080000000000002E-2"/>
    <m/>
    <m/>
    <m/>
    <m/>
    <m/>
    <m/>
    <m/>
    <m/>
    <m/>
  </r>
  <r>
    <x v="10"/>
    <s v="MAK Solarsysteme Photovoltaik, Inh. Marius Kraus"/>
    <s v="Matthias Doering"/>
    <x v="6"/>
    <x v="27"/>
    <x v="3"/>
    <m/>
    <s v="EU"/>
    <m/>
    <m/>
    <n v="1"/>
    <m/>
    <m/>
    <n v="1"/>
    <m/>
    <n v="1"/>
    <m/>
    <m/>
    <m/>
    <m/>
    <m/>
    <m/>
  </r>
  <r>
    <x v="10"/>
    <s v="nrg4.eco GmbH"/>
    <s v="Matthias Doering"/>
    <x v="1"/>
    <x v="34"/>
    <x v="1"/>
    <m/>
    <s v="EU"/>
    <m/>
    <m/>
    <m/>
    <n v="7.3260000000000006E-2"/>
    <m/>
    <m/>
    <n v="7.3260000000000006E-2"/>
    <m/>
    <m/>
    <m/>
    <m/>
    <m/>
    <m/>
    <m/>
  </r>
  <r>
    <x v="10"/>
    <s v="ÖKO-HAUS GmbH"/>
    <s v="Matthias Doering"/>
    <x v="1"/>
    <x v="38"/>
    <x v="1"/>
    <m/>
    <s v="EU"/>
    <n v="0.42120000000000002"/>
    <m/>
    <m/>
    <m/>
    <m/>
    <m/>
    <m/>
    <m/>
    <m/>
    <m/>
    <m/>
    <m/>
    <m/>
    <m/>
  </r>
  <r>
    <x v="10"/>
    <s v="ÖKO-HAUS GmbH"/>
    <s v="Matthias Doering"/>
    <x v="3"/>
    <x v="6"/>
    <x v="4"/>
    <s v="if pricing is at 14,5-16ct/W"/>
    <s v="EU"/>
    <m/>
    <m/>
    <m/>
    <n v="0.216"/>
    <m/>
    <m/>
    <n v="0.216"/>
    <m/>
    <m/>
    <m/>
    <m/>
    <m/>
    <m/>
    <m/>
  </r>
  <r>
    <x v="10"/>
    <s v="retec MERZ GmbH"/>
    <s v="Matthias Doering"/>
    <x v="1"/>
    <x v="18"/>
    <x v="1"/>
    <m/>
    <s v="EU"/>
    <m/>
    <m/>
    <n v="0.11124000000000001"/>
    <m/>
    <n v="0.11124000000000001"/>
    <m/>
    <m/>
    <n v="0.11124000000000001"/>
    <m/>
    <m/>
    <m/>
    <m/>
    <m/>
    <m/>
  </r>
  <r>
    <x v="10"/>
    <s v="Die Energieschmiede GmbH"/>
    <s v="Sven Braunstein"/>
    <x v="3"/>
    <x v="6"/>
    <x v="1"/>
    <s v="P Class is postponed/Canceled"/>
    <s v="EU"/>
    <m/>
    <m/>
    <m/>
    <m/>
    <m/>
    <m/>
    <n v="0.14112"/>
    <m/>
    <m/>
    <m/>
    <m/>
    <m/>
    <m/>
    <m/>
  </r>
  <r>
    <x v="10"/>
    <s v="EnSolar GmbH"/>
    <s v="Sven Braunstein"/>
    <x v="3"/>
    <x v="6"/>
    <x v="1"/>
    <s v="P Class is postponed/Canceled"/>
    <s v="EU"/>
    <m/>
    <m/>
    <m/>
    <m/>
    <m/>
    <m/>
    <n v="0.14112"/>
    <m/>
    <m/>
    <m/>
    <m/>
    <m/>
    <m/>
    <m/>
  </r>
  <r>
    <x v="10"/>
    <s v="Galicium Solar GmbH"/>
    <s v="Sven Braunstein"/>
    <x v="1"/>
    <x v="34"/>
    <x v="1"/>
    <m/>
    <s v="EU"/>
    <m/>
    <m/>
    <m/>
    <n v="0.2"/>
    <m/>
    <n v="0.25"/>
    <m/>
    <m/>
    <m/>
    <m/>
    <m/>
    <m/>
    <m/>
    <m/>
  </r>
  <r>
    <x v="10"/>
    <s v="Energy3000"/>
    <m/>
    <x v="2"/>
    <x v="4"/>
    <x v="3"/>
    <s v="TCL Topcon 730"/>
    <s v="Offshore"/>
    <m/>
    <m/>
    <m/>
    <m/>
    <m/>
    <n v="4"/>
    <n v="4"/>
    <n v="4"/>
    <m/>
    <m/>
    <m/>
    <m/>
    <m/>
    <m/>
  </r>
  <r>
    <x v="10"/>
    <s v="Energy3000"/>
    <m/>
    <x v="5"/>
    <x v="39"/>
    <x v="3"/>
    <s v="TCL T5 FB 465"/>
    <s v="Offshore"/>
    <m/>
    <m/>
    <m/>
    <m/>
    <m/>
    <n v="20"/>
    <n v="20"/>
    <n v="20"/>
    <m/>
    <m/>
    <m/>
    <m/>
    <m/>
    <m/>
  </r>
  <r>
    <x v="10"/>
    <s v="Energy3000"/>
    <m/>
    <x v="3"/>
    <x v="6"/>
    <x v="3"/>
    <s v="SunPower 500"/>
    <s v="Offshore"/>
    <m/>
    <m/>
    <m/>
    <m/>
    <m/>
    <n v="1"/>
    <n v="1"/>
    <n v="1"/>
    <m/>
    <m/>
    <m/>
    <m/>
    <m/>
    <m/>
  </r>
  <r>
    <x v="10"/>
    <s v="pvXchange"/>
    <s v="TCL BC 490"/>
    <x v="0"/>
    <x v="12"/>
    <x v="3"/>
    <s v="TCL BC 490"/>
    <s v="Offshore"/>
    <m/>
    <m/>
    <m/>
    <m/>
    <m/>
    <n v="0"/>
    <n v="1"/>
    <n v="3"/>
    <n v="3"/>
    <m/>
    <m/>
    <m/>
    <m/>
    <m/>
  </r>
  <r>
    <x v="10"/>
    <s v="pvXchange"/>
    <s v="TCL BC485"/>
    <x v="0"/>
    <x v="12"/>
    <x v="3"/>
    <s v="TCL BC 485"/>
    <s v="EU"/>
    <m/>
    <m/>
    <m/>
    <m/>
    <m/>
    <n v="0"/>
    <n v="1"/>
    <n v="1"/>
    <n v="1"/>
    <m/>
    <m/>
    <m/>
    <m/>
    <m/>
  </r>
  <r>
    <x v="10"/>
    <s v="pvXchange"/>
    <s v="TCL BC485"/>
    <x v="0"/>
    <x v="19"/>
    <x v="3"/>
    <s v="TCL BC 650"/>
    <s v="EU"/>
    <m/>
    <m/>
    <m/>
    <m/>
    <m/>
    <n v="2"/>
    <n v="2"/>
    <n v="2"/>
    <m/>
    <m/>
    <m/>
    <m/>
    <m/>
    <m/>
  </r>
  <r>
    <x v="10"/>
    <s v="pvXchange"/>
    <s v="TCL BC485"/>
    <x v="2"/>
    <x v="40"/>
    <x v="3"/>
    <s v="TCL Topcon 630"/>
    <s v="EU"/>
    <m/>
    <m/>
    <m/>
    <m/>
    <m/>
    <n v="2"/>
    <n v="2"/>
    <n v="2"/>
    <m/>
    <m/>
    <m/>
    <m/>
    <m/>
    <m/>
  </r>
  <r>
    <x v="10"/>
    <s v="pvXchange"/>
    <s v="TCL BC485"/>
    <x v="2"/>
    <x v="41"/>
    <x v="3"/>
    <s v="TCL Topcon 730"/>
    <s v="EU"/>
    <m/>
    <m/>
    <m/>
    <m/>
    <m/>
    <n v="2"/>
    <n v="2"/>
    <n v="2"/>
    <m/>
    <m/>
    <m/>
    <m/>
    <m/>
    <m/>
  </r>
  <r>
    <x v="10"/>
    <s v="Rexel"/>
    <s v="TCL BC490"/>
    <x v="0"/>
    <x v="12"/>
    <x v="3"/>
    <s v="TCL BC 490"/>
    <s v="EU"/>
    <m/>
    <m/>
    <m/>
    <m/>
    <m/>
    <n v="0"/>
    <n v="2"/>
    <n v="1"/>
    <n v="1"/>
    <m/>
    <m/>
    <m/>
    <m/>
    <m/>
  </r>
  <r>
    <x v="10"/>
    <s v="Rexel"/>
    <s v="TCL BC490"/>
    <x v="2"/>
    <x v="40"/>
    <x v="3"/>
    <s v="TCL Topcon 630"/>
    <s v="EU"/>
    <m/>
    <m/>
    <m/>
    <m/>
    <m/>
    <n v="1"/>
    <n v="1"/>
    <n v="1"/>
    <m/>
    <m/>
    <m/>
    <m/>
    <m/>
    <m/>
  </r>
  <r>
    <x v="10"/>
    <s v="Rexel"/>
    <s v="TCL BC490"/>
    <x v="2"/>
    <x v="41"/>
    <x v="3"/>
    <s v="TCL Topcon 730"/>
    <s v="EU"/>
    <m/>
    <m/>
    <m/>
    <m/>
    <m/>
    <n v="1"/>
    <n v="1"/>
    <n v="1"/>
    <m/>
    <m/>
    <m/>
    <m/>
    <m/>
    <m/>
  </r>
  <r>
    <x v="10"/>
    <s v="Solakon"/>
    <m/>
    <x v="2"/>
    <x v="5"/>
    <x v="0"/>
    <m/>
    <s v="EU"/>
    <m/>
    <m/>
    <m/>
    <m/>
    <m/>
    <n v="10"/>
    <n v="10"/>
    <n v="10"/>
    <n v="20"/>
    <m/>
    <m/>
    <m/>
    <m/>
    <m/>
  </r>
  <r>
    <x v="10"/>
    <s v="Solakon"/>
    <m/>
    <x v="2"/>
    <x v="2"/>
    <x v="0"/>
    <m/>
    <s v="EU"/>
    <m/>
    <m/>
    <m/>
    <m/>
    <m/>
    <n v="10"/>
    <n v="10"/>
    <n v="10"/>
    <n v="70"/>
    <m/>
    <m/>
    <m/>
    <m/>
    <m/>
  </r>
  <r>
    <x v="10"/>
    <s v="Pfalzwerke"/>
    <m/>
    <x v="2"/>
    <x v="16"/>
    <x v="0"/>
    <m/>
    <s v="EU"/>
    <m/>
    <m/>
    <m/>
    <m/>
    <m/>
    <m/>
    <m/>
    <m/>
    <m/>
    <m/>
    <m/>
    <m/>
    <m/>
    <m/>
  </r>
  <r>
    <x v="10"/>
    <s v="Badenova"/>
    <m/>
    <x v="2"/>
    <x v="4"/>
    <x v="3"/>
    <m/>
    <s v="EU"/>
    <m/>
    <m/>
    <m/>
    <m/>
    <m/>
    <m/>
    <m/>
    <m/>
    <m/>
    <m/>
    <m/>
    <m/>
    <m/>
    <m/>
  </r>
  <r>
    <x v="10"/>
    <s v="Energy3000"/>
    <m/>
    <x v="2"/>
    <x v="40"/>
    <x v="3"/>
    <s v="TCL Topcon 630"/>
    <s v="Offshore"/>
    <m/>
    <m/>
    <m/>
    <m/>
    <m/>
    <n v="4"/>
    <n v="4"/>
    <n v="4"/>
    <m/>
    <m/>
    <m/>
    <m/>
    <m/>
    <m/>
  </r>
  <r>
    <x v="10"/>
    <s v="Energy3000"/>
    <m/>
    <x v="0"/>
    <x v="19"/>
    <x v="3"/>
    <s v="TCL BC 650"/>
    <s v="Offshore"/>
    <m/>
    <m/>
    <m/>
    <m/>
    <m/>
    <n v="3"/>
    <n v="3"/>
    <n v="3"/>
    <m/>
    <m/>
    <m/>
    <m/>
    <m/>
    <m/>
  </r>
  <r>
    <x v="10"/>
    <s v="Energy3000"/>
    <s v="TCL BC 490"/>
    <x v="0"/>
    <x v="12"/>
    <x v="3"/>
    <s v="TCL BC 490"/>
    <s v="Offshore"/>
    <m/>
    <m/>
    <m/>
    <m/>
    <m/>
    <n v="1"/>
    <n v="3"/>
    <n v="5"/>
    <n v="5"/>
    <m/>
    <m/>
    <m/>
    <m/>
    <m/>
  </r>
  <r>
    <x v="10"/>
    <s v="Energy3000"/>
    <s v="TCL BC 485"/>
    <x v="0"/>
    <x v="12"/>
    <x v="3"/>
    <s v="TCL BC 485"/>
    <s v="Offshore"/>
    <m/>
    <m/>
    <m/>
    <m/>
    <m/>
    <n v="1"/>
    <n v="3"/>
    <n v="10"/>
    <n v="10"/>
    <m/>
    <m/>
    <m/>
    <m/>
    <m/>
  </r>
  <r>
    <x v="10"/>
    <s v="Helmut Herbert GmbH &amp; Co"/>
    <s v="Sven Braunstein"/>
    <x v="1"/>
    <x v="8"/>
    <x v="1"/>
    <m/>
    <s v="EU"/>
    <m/>
    <m/>
    <n v="0.13100000000000001"/>
    <m/>
    <m/>
    <m/>
    <m/>
    <m/>
    <m/>
    <m/>
    <m/>
    <m/>
    <m/>
    <m/>
  </r>
  <r>
    <x v="10"/>
    <s v="Helmut Herbert GmbH &amp; Co"/>
    <s v="Sven Braunstein"/>
    <x v="1"/>
    <x v="1"/>
    <x v="1"/>
    <m/>
    <s v="EU"/>
    <m/>
    <m/>
    <m/>
    <m/>
    <n v="0.13247999999999999"/>
    <m/>
    <n v="0.13247999999999999"/>
    <m/>
    <m/>
    <m/>
    <m/>
    <m/>
    <m/>
    <m/>
  </r>
  <r>
    <x v="10"/>
    <s v="Martin Walz Elektro + Solartechnik GmbH &amp; Co. KG"/>
    <s v="Sven Braunstein"/>
    <x v="1"/>
    <x v="1"/>
    <x v="1"/>
    <s v="Canceled P Class will have impact"/>
    <s v="EU"/>
    <m/>
    <n v="0.43056"/>
    <m/>
    <m/>
    <m/>
    <n v="0.43099999999999999"/>
    <m/>
    <m/>
    <m/>
    <m/>
    <m/>
    <m/>
    <m/>
    <m/>
  </r>
  <r>
    <x v="10"/>
    <s v="Müller GmbH"/>
    <s v="Sven Braunstein"/>
    <x v="6"/>
    <x v="26"/>
    <x v="1"/>
    <m/>
    <s v="EU"/>
    <m/>
    <m/>
    <m/>
    <m/>
    <n v="2"/>
    <n v="2"/>
    <n v="2"/>
    <n v="2"/>
    <n v="2"/>
    <m/>
    <m/>
    <m/>
    <m/>
    <m/>
  </r>
  <r>
    <x v="10"/>
    <s v="ProSyS Erneuerbare Energien UG"/>
    <s v="Sven Braunstein"/>
    <x v="1"/>
    <x v="1"/>
    <x v="1"/>
    <s v="Canceled P Class will have impact"/>
    <s v="EU"/>
    <m/>
    <m/>
    <n v="0.4"/>
    <m/>
    <m/>
    <n v="0.43"/>
    <m/>
    <m/>
    <m/>
    <m/>
    <m/>
    <m/>
    <m/>
    <m/>
  </r>
  <r>
    <x v="10"/>
    <s v="Schlotz Gebäude- und Energiesysteme, Inh. Markus Schlotz"/>
    <s v="Sven Braunstein"/>
    <x v="6"/>
    <x v="26"/>
    <x v="1"/>
    <s v="When 1st Installation works well"/>
    <s v="EU"/>
    <m/>
    <m/>
    <m/>
    <m/>
    <n v="2"/>
    <n v="2"/>
    <n v="2"/>
    <n v="2"/>
    <n v="2"/>
    <m/>
    <m/>
    <m/>
    <m/>
    <m/>
  </r>
  <r>
    <x v="10"/>
    <s v="Schlotz Gebäude- und Energiesysteme, Inh. Markus Schlotz"/>
    <s v="Sven Braunstein"/>
    <x v="1"/>
    <x v="1"/>
    <x v="1"/>
    <m/>
    <s v="EU"/>
    <m/>
    <n v="0.13"/>
    <m/>
    <n v="0.13"/>
    <m/>
    <n v="0.13"/>
    <m/>
    <m/>
    <m/>
    <m/>
    <m/>
    <m/>
    <m/>
    <m/>
  </r>
  <r>
    <x v="10"/>
    <s v="Hauser Solartechnik GmbH"/>
    <s v="Matthias Doering"/>
    <x v="1"/>
    <x v="34"/>
    <x v="1"/>
    <m/>
    <s v="EU"/>
    <m/>
    <n v="0.2"/>
    <m/>
    <m/>
    <n v="0.14652000000000001"/>
    <m/>
    <m/>
    <n v="0.14652000000000001"/>
    <m/>
    <m/>
    <m/>
    <m/>
    <m/>
    <m/>
  </r>
  <r>
    <x v="10"/>
    <s v="Schlotz Gebäude- und Energiesysteme, Inh. Markus Schlotz"/>
    <s v="Sven Braunstein"/>
    <x v="3"/>
    <x v="6"/>
    <x v="1"/>
    <m/>
    <s v="EU"/>
    <m/>
    <m/>
    <m/>
    <m/>
    <m/>
    <m/>
    <m/>
    <n v="0.14255999999999999"/>
    <m/>
    <m/>
    <m/>
    <m/>
    <m/>
    <m/>
  </r>
  <r>
    <x v="10"/>
    <s v="Energy3000"/>
    <m/>
    <x v="2"/>
    <x v="14"/>
    <x v="3"/>
    <m/>
    <s v="EU"/>
    <n v="2"/>
    <n v="5"/>
    <n v="5"/>
    <m/>
    <m/>
    <m/>
    <m/>
    <m/>
    <m/>
    <m/>
    <m/>
    <m/>
    <m/>
    <m/>
  </r>
  <r>
    <x v="10"/>
    <s v="Energy3000"/>
    <m/>
    <x v="5"/>
    <x v="42"/>
    <x v="3"/>
    <n v="475"/>
    <s v="EU"/>
    <n v="2"/>
    <n v="5"/>
    <n v="5"/>
    <m/>
    <m/>
    <m/>
    <m/>
    <m/>
    <m/>
    <m/>
    <m/>
    <m/>
    <m/>
    <m/>
  </r>
  <r>
    <x v="10"/>
    <s v="Solar Fabrik"/>
    <m/>
    <x v="5"/>
    <x v="39"/>
    <x v="3"/>
    <n v="465"/>
    <s v="Offshore"/>
    <n v="3"/>
    <n v="6"/>
    <n v="6"/>
    <m/>
    <m/>
    <m/>
    <m/>
    <m/>
    <m/>
    <m/>
    <m/>
    <m/>
    <m/>
    <m/>
  </r>
  <r>
    <x v="10"/>
    <s v="Solar Fabrik"/>
    <m/>
    <x v="8"/>
    <x v="43"/>
    <x v="3"/>
    <s v="465/470"/>
    <s v="Offshore"/>
    <n v="30"/>
    <m/>
    <m/>
    <m/>
    <m/>
    <m/>
    <m/>
    <m/>
    <m/>
    <m/>
    <m/>
    <m/>
    <m/>
    <m/>
  </r>
  <r>
    <x v="10"/>
    <s v="Solar Fabrik"/>
    <m/>
    <x v="2"/>
    <x v="16"/>
    <x v="5"/>
    <m/>
    <s v="Offshore"/>
    <m/>
    <m/>
    <m/>
    <n v="9"/>
    <m/>
    <m/>
    <m/>
    <m/>
    <m/>
    <m/>
    <m/>
    <m/>
    <m/>
    <m/>
  </r>
  <r>
    <x v="10"/>
    <s v="Solar Fabrik"/>
    <m/>
    <x v="2"/>
    <x v="16"/>
    <x v="3"/>
    <m/>
    <s v="Offshore"/>
    <m/>
    <m/>
    <m/>
    <n v="4"/>
    <m/>
    <m/>
    <m/>
    <m/>
    <m/>
    <m/>
    <m/>
    <m/>
    <m/>
    <m/>
  </r>
  <r>
    <x v="10"/>
    <s v="Solar Fabrik"/>
    <m/>
    <x v="2"/>
    <x v="40"/>
    <x v="3"/>
    <m/>
    <s v="Offshore"/>
    <m/>
    <m/>
    <m/>
    <n v="6"/>
    <m/>
    <m/>
    <m/>
    <m/>
    <m/>
    <m/>
    <m/>
    <m/>
    <m/>
    <m/>
  </r>
  <r>
    <x v="10"/>
    <s v="Energy3000"/>
    <m/>
    <x v="9"/>
    <x v="44"/>
    <x v="3"/>
    <m/>
    <s v="EU"/>
    <n v="2"/>
    <n v="5"/>
    <n v="5"/>
    <m/>
    <m/>
    <m/>
    <m/>
    <m/>
    <m/>
    <m/>
    <m/>
    <m/>
    <m/>
    <m/>
  </r>
  <r>
    <x v="10"/>
    <s v="Elza Elektrotechnik GmbH"/>
    <s v="Matthias Doering"/>
    <x v="3"/>
    <x v="35"/>
    <x v="1"/>
    <m/>
    <s v="EU"/>
    <m/>
    <m/>
    <m/>
    <m/>
    <m/>
    <m/>
    <n v="4.3200000000000002E-2"/>
    <m/>
    <m/>
    <m/>
    <m/>
    <m/>
    <m/>
    <m/>
  </r>
  <r>
    <x v="10"/>
    <s v="Elza Elektrotechnik GmbH"/>
    <s v="Matthias Doering"/>
    <x v="1"/>
    <x v="34"/>
    <x v="1"/>
    <m/>
    <s v="EU"/>
    <m/>
    <m/>
    <m/>
    <m/>
    <m/>
    <m/>
    <n v="0.14652000000000001"/>
    <m/>
    <m/>
    <m/>
    <m/>
    <m/>
    <m/>
    <m/>
  </r>
  <r>
    <x v="10"/>
    <s v="Elza Elektrotechnik GmbH"/>
    <s v="Matthias Doering"/>
    <x v="1"/>
    <x v="18"/>
    <x v="1"/>
    <m/>
    <s v="EU"/>
    <m/>
    <m/>
    <m/>
    <m/>
    <m/>
    <m/>
    <n v="3.3989999999999999E-2"/>
    <m/>
    <m/>
    <m/>
    <m/>
    <m/>
    <m/>
    <m/>
  </r>
  <r>
    <x v="10"/>
    <s v="Grotepass GmbH"/>
    <s v="Andreas Kauls"/>
    <x v="7"/>
    <x v="45"/>
    <x v="3"/>
    <m/>
    <s v="EU"/>
    <n v="0"/>
    <n v="0"/>
    <n v="0"/>
    <n v="0"/>
    <n v="0"/>
    <n v="0"/>
    <n v="0"/>
    <n v="0.1"/>
    <n v="0"/>
    <m/>
    <m/>
    <m/>
    <m/>
    <m/>
  </r>
  <r>
    <x v="10"/>
    <s v="Grotepass GmbH"/>
    <s v="Andreas Kauls"/>
    <x v="10"/>
    <x v="46"/>
    <x v="3"/>
    <m/>
    <s v="EU"/>
    <n v="0"/>
    <n v="0"/>
    <n v="0"/>
    <n v="0"/>
    <n v="0"/>
    <n v="0"/>
    <n v="0"/>
    <n v="0"/>
    <n v="0"/>
    <m/>
    <m/>
    <m/>
    <m/>
    <m/>
  </r>
  <r>
    <x v="10"/>
    <s v="KühnSolar GmbH"/>
    <s v="Andreas Kauls"/>
    <x v="1"/>
    <x v="8"/>
    <x v="1"/>
    <m/>
    <s v="EU"/>
    <n v="4"/>
    <n v="2"/>
    <n v="2"/>
    <n v="0"/>
    <n v="0"/>
    <n v="1.5"/>
    <n v="0"/>
    <n v="1.5"/>
    <n v="0"/>
    <m/>
    <m/>
    <m/>
    <m/>
    <m/>
  </r>
  <r>
    <x v="10"/>
    <s v="KühnSolar GmbH"/>
    <s v="Andreas Kauls"/>
    <x v="7"/>
    <x v="45"/>
    <x v="3"/>
    <m/>
    <s v="EU"/>
    <n v="0"/>
    <n v="0"/>
    <n v="0"/>
    <n v="0"/>
    <n v="0"/>
    <n v="0"/>
    <n v="1"/>
    <n v="1"/>
    <n v="1"/>
    <m/>
    <m/>
    <m/>
    <m/>
    <m/>
  </r>
  <r>
    <x v="10"/>
    <s v="KühnSolar GmbH"/>
    <s v="Andreas Kauls"/>
    <x v="10"/>
    <x v="46"/>
    <x v="3"/>
    <m/>
    <s v="EU"/>
    <n v="0"/>
    <n v="0"/>
    <n v="0"/>
    <n v="0"/>
    <n v="0"/>
    <n v="0"/>
    <n v="0"/>
    <n v="0"/>
    <n v="0"/>
    <m/>
    <m/>
    <m/>
    <m/>
    <m/>
  </r>
  <r>
    <x v="10"/>
    <s v="Lebherz und Partner"/>
    <s v="Andreas Kauls"/>
    <x v="7"/>
    <x v="45"/>
    <x v="3"/>
    <m/>
    <s v="EU"/>
    <n v="0"/>
    <n v="0"/>
    <n v="0"/>
    <n v="0"/>
    <n v="0"/>
    <n v="0"/>
    <n v="0.05"/>
    <n v="0.05"/>
    <n v="0.1"/>
    <m/>
    <m/>
    <m/>
    <m/>
    <m/>
  </r>
  <r>
    <x v="10"/>
    <s v="Lebherz und Partner"/>
    <s v="Andreas Kauls"/>
    <x v="10"/>
    <x v="46"/>
    <x v="3"/>
    <m/>
    <s v="EU"/>
    <n v="0"/>
    <n v="0"/>
    <n v="0"/>
    <n v="0"/>
    <n v="0"/>
    <n v="0"/>
    <n v="0"/>
    <n v="0"/>
    <n v="0"/>
    <m/>
    <m/>
    <m/>
    <m/>
    <m/>
  </r>
  <r>
    <x v="10"/>
    <s v="MMS GmbH"/>
    <s v="Andreas Kauls"/>
    <x v="6"/>
    <x v="26"/>
    <x v="1"/>
    <m/>
    <s v="EU"/>
    <n v="10"/>
    <n v="10"/>
    <n v="10"/>
    <n v="5"/>
    <n v="5"/>
    <n v="10"/>
    <n v="5"/>
    <n v="10"/>
    <n v="5"/>
    <m/>
    <m/>
    <m/>
    <m/>
    <m/>
  </r>
  <r>
    <x v="10"/>
    <s v="MMS GmbH"/>
    <s v="Andreas Kauls"/>
    <x v="5"/>
    <x v="39"/>
    <x v="3"/>
    <m/>
    <s v="EU"/>
    <n v="0"/>
    <n v="0"/>
    <n v="0"/>
    <n v="0"/>
    <n v="0.45"/>
    <n v="0"/>
    <n v="0.45"/>
    <n v="0"/>
    <n v="0.45"/>
    <m/>
    <m/>
    <m/>
    <m/>
    <m/>
  </r>
  <r>
    <x v="10"/>
    <s v="MR Pauer Agrardienst &amp; Service GmbH"/>
    <s v="Andreas Kauls"/>
    <x v="1"/>
    <x v="1"/>
    <x v="3"/>
    <m/>
    <s v="EU"/>
    <n v="0"/>
    <n v="0.45"/>
    <n v="0"/>
    <n v="0"/>
    <n v="0.45"/>
    <n v="0"/>
    <n v="0"/>
    <n v="0.45"/>
    <n v="0"/>
    <m/>
    <m/>
    <m/>
    <m/>
    <m/>
  </r>
  <r>
    <x v="10"/>
    <s v="Pletzinger Haustechnik GmbH"/>
    <s v="Andreas Kauls"/>
    <x v="5"/>
    <x v="39"/>
    <x v="3"/>
    <m/>
    <s v="EU"/>
    <n v="0"/>
    <n v="0"/>
    <n v="0"/>
    <n v="0"/>
    <n v="0"/>
    <n v="0.45"/>
    <n v="0"/>
    <n v="0"/>
    <n v="0.45"/>
    <m/>
    <m/>
    <m/>
    <m/>
    <m/>
  </r>
  <r>
    <x v="10"/>
    <s v="Pletzinger Haustechnik GmbH"/>
    <s v="Andreas Kauls"/>
    <x v="1"/>
    <x v="34"/>
    <x v="3"/>
    <m/>
    <s v="EU"/>
    <n v="0"/>
    <n v="0"/>
    <n v="0"/>
    <n v="0"/>
    <n v="0.2"/>
    <n v="0"/>
    <n v="0"/>
    <n v="0"/>
    <n v="0"/>
    <m/>
    <m/>
    <m/>
    <m/>
    <m/>
  </r>
  <r>
    <x v="10"/>
    <s v="Pletzinger Haustechnik GmbH"/>
    <s v="Andreas Kauls"/>
    <x v="7"/>
    <x v="45"/>
    <x v="3"/>
    <m/>
    <s v="EU"/>
    <n v="0"/>
    <n v="0"/>
    <n v="0"/>
    <n v="0"/>
    <n v="0"/>
    <n v="0"/>
    <n v="0.2"/>
    <n v="0"/>
    <n v="0.2"/>
    <m/>
    <m/>
    <m/>
    <m/>
    <m/>
  </r>
  <r>
    <x v="10"/>
    <s v="Pletzinger Haustechnik GmbH"/>
    <s v="Andreas Kauls"/>
    <x v="10"/>
    <x v="46"/>
    <x v="3"/>
    <m/>
    <s v="EU"/>
    <n v="0"/>
    <n v="0"/>
    <n v="0"/>
    <n v="0"/>
    <n v="0"/>
    <n v="0"/>
    <n v="0"/>
    <n v="0"/>
    <n v="0"/>
    <m/>
    <m/>
    <m/>
    <m/>
    <m/>
  </r>
  <r>
    <x v="10"/>
    <s v="Powertrust GmbH"/>
    <s v="Andreas Kauls"/>
    <x v="2"/>
    <x v="14"/>
    <x v="3"/>
    <m/>
    <s v="EU"/>
    <n v="0"/>
    <n v="0"/>
    <n v="0"/>
    <n v="0.2"/>
    <n v="0"/>
    <n v="0"/>
    <n v="0"/>
    <n v="0.3"/>
    <n v="0"/>
    <m/>
    <m/>
    <m/>
    <m/>
    <m/>
  </r>
  <r>
    <x v="10"/>
    <s v="Grotepass GmbH"/>
    <s v="Andreas Kauls"/>
    <x v="7"/>
    <x v="37"/>
    <x v="1"/>
    <m/>
    <s v="EU"/>
    <n v="0"/>
    <n v="0"/>
    <n v="0.02"/>
    <n v="0"/>
    <n v="0"/>
    <n v="0"/>
    <n v="0"/>
    <n v="0"/>
    <n v="0"/>
    <m/>
    <m/>
    <m/>
    <m/>
    <m/>
  </r>
  <r>
    <x v="10"/>
    <s v="Grotepass GmbH"/>
    <s v="Andreas Kauls"/>
    <x v="1"/>
    <x v="1"/>
    <x v="1"/>
    <m/>
    <s v="EU"/>
    <n v="0.05"/>
    <n v="0"/>
    <n v="0"/>
    <n v="0.1"/>
    <n v="0"/>
    <n v="0"/>
    <n v="0.1"/>
    <n v="0"/>
    <n v="0"/>
    <m/>
    <m/>
    <m/>
    <m/>
    <m/>
  </r>
  <r>
    <x v="10"/>
    <s v="Energy4tomorrow"/>
    <s v="Andreas Kauls"/>
    <x v="1"/>
    <x v="34"/>
    <x v="1"/>
    <m/>
    <s v="EU"/>
    <n v="0"/>
    <n v="0"/>
    <n v="0.4"/>
    <n v="0"/>
    <n v="0"/>
    <n v="0.4"/>
    <n v="0"/>
    <n v="0"/>
    <n v="0"/>
    <m/>
    <m/>
    <m/>
    <m/>
    <m/>
  </r>
  <r>
    <x v="10"/>
    <s v="Energie-Spar-Centrum Altenwahlingen e.K."/>
    <s v="Andreas Kauls"/>
    <x v="10"/>
    <x v="46"/>
    <x v="3"/>
    <m/>
    <s v="EU"/>
    <n v="0"/>
    <n v="0"/>
    <n v="0.1"/>
    <n v="0"/>
    <n v="0"/>
    <n v="0"/>
    <n v="0"/>
    <n v="0"/>
    <n v="0"/>
    <m/>
    <m/>
    <m/>
    <m/>
    <m/>
  </r>
  <r>
    <x v="10"/>
    <s v="BSS Solar Systeme GmbH &amp; Co. KG"/>
    <s v="Andreas Kauls"/>
    <x v="1"/>
    <x v="34"/>
    <x v="1"/>
    <m/>
    <s v="EU"/>
    <n v="0"/>
    <n v="0"/>
    <n v="0.1"/>
    <n v="0"/>
    <n v="0"/>
    <n v="0"/>
    <n v="0"/>
    <n v="0.3"/>
    <n v="0"/>
    <m/>
    <m/>
    <m/>
    <m/>
    <m/>
  </r>
  <r>
    <x v="10"/>
    <s v="BSS Solar Systeme GmbH &amp; Co. KG"/>
    <s v="Andreas Kauls"/>
    <x v="7"/>
    <x v="45"/>
    <x v="3"/>
    <m/>
    <s v="EU"/>
    <n v="0"/>
    <n v="0"/>
    <n v="0"/>
    <n v="0"/>
    <n v="0"/>
    <n v="0"/>
    <n v="0.1"/>
    <n v="0"/>
    <n v="0.1"/>
    <m/>
    <m/>
    <m/>
    <m/>
    <m/>
  </r>
  <r>
    <x v="10"/>
    <s v="BSS Solar Systeme GmbH &amp; Co. KG"/>
    <s v="Andreas Kauls"/>
    <x v="10"/>
    <x v="46"/>
    <x v="3"/>
    <m/>
    <s v="EU"/>
    <n v="0"/>
    <n v="0"/>
    <n v="0"/>
    <n v="0"/>
    <n v="0"/>
    <n v="0"/>
    <n v="0"/>
    <n v="0"/>
    <n v="0"/>
    <m/>
    <m/>
    <m/>
    <m/>
    <m/>
  </r>
  <r>
    <x v="10"/>
    <s v="Bysolar Hans-Jürgen Brikey GmbH"/>
    <s v="Andreas Kauls"/>
    <x v="1"/>
    <x v="34"/>
    <x v="1"/>
    <m/>
    <s v="EU"/>
    <n v="0"/>
    <n v="0"/>
    <n v="0.4"/>
    <n v="0"/>
    <n v="0.3"/>
    <n v="0"/>
    <n v="0"/>
    <n v="0.3"/>
    <n v="0"/>
    <m/>
    <m/>
    <m/>
    <m/>
    <m/>
  </r>
  <r>
    <x v="10"/>
    <s v="Bysolar Hans-Jürgen Brikey GmbH"/>
    <s v="Andreas Kauls"/>
    <x v="7"/>
    <x v="37"/>
    <x v="1"/>
    <m/>
    <s v="EU"/>
    <n v="0.4"/>
    <n v="0"/>
    <n v="0"/>
    <n v="0"/>
    <n v="0.1"/>
    <n v="0"/>
    <n v="0"/>
    <n v="0"/>
    <n v="0"/>
    <m/>
    <m/>
    <m/>
    <m/>
    <m/>
  </r>
  <r>
    <x v="10"/>
    <s v="Bysolar Hans-Jürgen Brikey GmbH"/>
    <s v="Andreas Kauls"/>
    <x v="7"/>
    <x v="45"/>
    <x v="3"/>
    <m/>
    <s v="EU"/>
    <n v="0"/>
    <n v="0"/>
    <n v="0"/>
    <n v="0"/>
    <n v="0"/>
    <n v="0"/>
    <n v="0.1"/>
    <n v="0.1"/>
    <n v="0.1"/>
    <m/>
    <m/>
    <m/>
    <m/>
    <m/>
  </r>
  <r>
    <x v="10"/>
    <s v="Bysolar Hans-Jürgen Brikey GmbH"/>
    <s v="Andreas Kauls"/>
    <x v="10"/>
    <x v="46"/>
    <x v="3"/>
    <m/>
    <s v="EU"/>
    <n v="0"/>
    <n v="0"/>
    <n v="0.4"/>
    <n v="0"/>
    <n v="0"/>
    <n v="0"/>
    <n v="0"/>
    <n v="0"/>
    <n v="0"/>
    <m/>
    <m/>
    <m/>
    <m/>
    <m/>
  </r>
  <r>
    <x v="10"/>
    <s v="Powertrust GmbH"/>
    <s v="Andreas Kauls"/>
    <x v="7"/>
    <x v="45"/>
    <x v="3"/>
    <m/>
    <s v="EU"/>
    <n v="0"/>
    <n v="0"/>
    <n v="0"/>
    <n v="0"/>
    <n v="0"/>
    <n v="0"/>
    <n v="0"/>
    <n v="0.1"/>
    <n v="0"/>
    <m/>
    <m/>
    <m/>
    <m/>
    <m/>
  </r>
  <r>
    <x v="10"/>
    <s v="Ecosolar e.K."/>
    <s v="Andreas Kauls"/>
    <x v="1"/>
    <x v="1"/>
    <x v="1"/>
    <m/>
    <s v="EU"/>
    <n v="0"/>
    <n v="0.05"/>
    <n v="0"/>
    <n v="0"/>
    <n v="0"/>
    <n v="0.1"/>
    <n v="0"/>
    <n v="0"/>
    <n v="0"/>
    <m/>
    <m/>
    <m/>
    <m/>
    <m/>
  </r>
  <r>
    <x v="10"/>
    <s v="Ecosolar e.K."/>
    <s v="Andreas Kauls"/>
    <x v="7"/>
    <x v="45"/>
    <x v="3"/>
    <m/>
    <s v="EU"/>
    <n v="0"/>
    <n v="0"/>
    <n v="0"/>
    <n v="0"/>
    <n v="0"/>
    <n v="0"/>
    <n v="0.1"/>
    <n v="0"/>
    <n v="0.1"/>
    <m/>
    <m/>
    <m/>
    <m/>
    <m/>
  </r>
  <r>
    <x v="10"/>
    <s v="Ecosolar e.K."/>
    <s v="Andreas Kauls"/>
    <x v="10"/>
    <x v="46"/>
    <x v="3"/>
    <m/>
    <s v="EU"/>
    <n v="0"/>
    <n v="0"/>
    <n v="0.05"/>
    <n v="0"/>
    <n v="0"/>
    <n v="0"/>
    <n v="0"/>
    <n v="0"/>
    <n v="0"/>
    <m/>
    <m/>
    <m/>
    <m/>
    <m/>
  </r>
  <r>
    <x v="10"/>
    <s v="EGU"/>
    <s v="Andreas Kauls"/>
    <x v="5"/>
    <x v="39"/>
    <x v="5"/>
    <m/>
    <s v="EU"/>
    <n v="0"/>
    <n v="0"/>
    <n v="0"/>
    <n v="0"/>
    <n v="0"/>
    <n v="1"/>
    <n v="0"/>
    <n v="1"/>
    <n v="0"/>
    <m/>
    <m/>
    <m/>
    <m/>
    <m/>
  </r>
  <r>
    <x v="10"/>
    <s v="EGU"/>
    <s v="Andreas Kauls"/>
    <x v="8"/>
    <x v="43"/>
    <x v="3"/>
    <m/>
    <s v="EU"/>
    <n v="0"/>
    <n v="0.4"/>
    <n v="0"/>
    <n v="0"/>
    <n v="0"/>
    <n v="0"/>
    <n v="0"/>
    <n v="0"/>
    <n v="0"/>
    <m/>
    <m/>
    <m/>
    <m/>
    <m/>
  </r>
  <r>
    <x v="10"/>
    <s v="Elektrotechnik Thomas Richter"/>
    <s v="Andreas Kauls"/>
    <x v="7"/>
    <x v="37"/>
    <x v="1"/>
    <m/>
    <s v="EU"/>
    <n v="0.01"/>
    <n v="0"/>
    <n v="0.02"/>
    <n v="0"/>
    <n v="0"/>
    <n v="0"/>
    <n v="0"/>
    <n v="0"/>
    <n v="0"/>
    <m/>
    <m/>
    <m/>
    <m/>
    <m/>
  </r>
  <r>
    <x v="10"/>
    <s v="Elektrotechnik Thomas Richter"/>
    <s v="Andreas Kauls"/>
    <x v="7"/>
    <x v="45"/>
    <x v="3"/>
    <m/>
    <s v="EU"/>
    <n v="0"/>
    <n v="0"/>
    <n v="0"/>
    <n v="0"/>
    <n v="0"/>
    <n v="0"/>
    <n v="0.05"/>
    <n v="0"/>
    <n v="0.05"/>
    <m/>
    <m/>
    <m/>
    <m/>
    <m/>
  </r>
  <r>
    <x v="10"/>
    <s v="Energie-Spar-Centrum Altenwahlingen e.K."/>
    <s v="Andreas Kauls"/>
    <x v="7"/>
    <x v="45"/>
    <x v="3"/>
    <m/>
    <s v="EU"/>
    <n v="0"/>
    <n v="0"/>
    <n v="0"/>
    <n v="0"/>
    <n v="0"/>
    <n v="0"/>
    <n v="0.1"/>
    <n v="0"/>
    <n v="0.1"/>
    <m/>
    <m/>
    <m/>
    <m/>
    <m/>
  </r>
  <r>
    <x v="10"/>
    <s v="Ecosolar e.K."/>
    <s v="Andreas Kauls"/>
    <x v="7"/>
    <x v="37"/>
    <x v="1"/>
    <m/>
    <s v="EU"/>
    <n v="0.02"/>
    <n v="0"/>
    <n v="0.02"/>
    <n v="0"/>
    <n v="0"/>
    <n v="0"/>
    <n v="0"/>
    <n v="0"/>
    <n v="0"/>
    <m/>
    <m/>
    <m/>
    <m/>
    <m/>
  </r>
  <r>
    <x v="10"/>
    <s v="Sunera"/>
    <m/>
    <x v="2"/>
    <x v="47"/>
    <x v="0"/>
    <m/>
    <s v="EU"/>
    <m/>
    <m/>
    <m/>
    <m/>
    <m/>
    <m/>
    <m/>
    <m/>
    <m/>
    <m/>
    <m/>
    <m/>
    <m/>
    <m/>
  </r>
  <r>
    <x v="10"/>
    <s v="ReGeTech GmbH"/>
    <s v="Andreas Kauls"/>
    <x v="5"/>
    <x v="39"/>
    <x v="3"/>
    <m/>
    <s v="EU"/>
    <n v="0"/>
    <n v="0"/>
    <n v="0"/>
    <n v="0"/>
    <n v="0"/>
    <n v="1"/>
    <n v="0"/>
    <n v="1"/>
    <n v="0"/>
    <m/>
    <m/>
    <m/>
    <m/>
    <m/>
  </r>
  <r>
    <x v="10"/>
    <s v="RGT GmbH"/>
    <s v="Andreas Kauls"/>
    <x v="7"/>
    <x v="45"/>
    <x v="3"/>
    <m/>
    <s v="EU"/>
    <n v="0"/>
    <n v="0"/>
    <n v="0"/>
    <n v="0"/>
    <n v="0"/>
    <n v="0"/>
    <n v="0"/>
    <n v="0.05"/>
    <n v="0"/>
    <m/>
    <m/>
    <m/>
    <m/>
    <m/>
  </r>
  <r>
    <x v="10"/>
    <s v="Blitzplank GmbH"/>
    <s v="Matthias Doering"/>
    <x v="1"/>
    <x v="18"/>
    <x v="1"/>
    <m/>
    <s v="EU"/>
    <n v="5.5620000000000003E-2"/>
    <m/>
    <n v="5.5620000000000003E-2"/>
    <m/>
    <n v="7.4160000000000004E-2"/>
    <m/>
    <m/>
    <n v="7.4160000000000004E-2"/>
    <m/>
    <m/>
    <m/>
    <m/>
    <m/>
    <m/>
  </r>
  <r>
    <x v="10"/>
    <s v="Blitzplank GmbH"/>
    <s v="Matthias Doering"/>
    <x v="1"/>
    <x v="34"/>
    <x v="1"/>
    <m/>
    <s v="EU"/>
    <m/>
    <m/>
    <m/>
    <n v="0.10989"/>
    <m/>
    <m/>
    <n v="0.10989"/>
    <m/>
    <m/>
    <m/>
    <m/>
    <m/>
    <m/>
    <m/>
  </r>
  <r>
    <x v="10"/>
    <s v="Blitzplank GmbH"/>
    <s v="Matthias Doering"/>
    <x v="3"/>
    <x v="6"/>
    <x v="1"/>
    <m/>
    <s v="EU"/>
    <m/>
    <m/>
    <m/>
    <m/>
    <n v="3.5639999999999998E-2"/>
    <m/>
    <m/>
    <n v="3.5639999999999998E-2"/>
    <m/>
    <m/>
    <m/>
    <m/>
    <m/>
    <m/>
  </r>
  <r>
    <x v="10"/>
    <s v="Blitzplank GmbH"/>
    <s v="Matthias Doering"/>
    <x v="3"/>
    <x v="35"/>
    <x v="1"/>
    <m/>
    <s v="EU"/>
    <m/>
    <m/>
    <m/>
    <m/>
    <m/>
    <m/>
    <m/>
    <m/>
    <m/>
    <m/>
    <m/>
    <m/>
    <m/>
    <m/>
  </r>
  <r>
    <x v="10"/>
    <s v="Elektro Ecker GmbH &amp; Co. KG"/>
    <s v="Matthias Doering"/>
    <x v="10"/>
    <x v="48"/>
    <x v="1"/>
    <m/>
    <s v="EU"/>
    <n v="0.19139999999999999"/>
    <m/>
    <m/>
    <m/>
    <m/>
    <m/>
    <m/>
    <m/>
    <m/>
    <m/>
    <m/>
    <m/>
    <m/>
    <m/>
  </r>
  <r>
    <x v="10"/>
    <s v="Elektro Wachter GmbH"/>
    <s v="Matthias Doering"/>
    <x v="1"/>
    <x v="1"/>
    <x v="1"/>
    <m/>
    <s v="EU"/>
    <m/>
    <n v="0.13247999999999999"/>
    <m/>
    <n v="0.13247999999999999"/>
    <m/>
    <m/>
    <n v="0.13247999999999999"/>
    <m/>
    <m/>
    <m/>
    <m/>
    <m/>
    <m/>
    <m/>
  </r>
  <r>
    <x v="10"/>
    <s v="Elektro Wachter GmbH"/>
    <s v="Matthias Doering"/>
    <x v="1"/>
    <x v="18"/>
    <x v="1"/>
    <m/>
    <s v="EU"/>
    <m/>
    <m/>
    <m/>
    <n v="3.7080000000000002E-2"/>
    <m/>
    <m/>
    <n v="3.7080000000000002E-2"/>
    <m/>
    <m/>
    <m/>
    <m/>
    <m/>
    <m/>
    <m/>
  </r>
  <r>
    <x v="10"/>
    <s v="Elektro Wachter GmbH"/>
    <s v="Matthias Doering"/>
    <x v="1"/>
    <x v="34"/>
    <x v="1"/>
    <m/>
    <s v="EU"/>
    <m/>
    <m/>
    <n v="0.10989"/>
    <m/>
    <m/>
    <n v="0.10989"/>
    <m/>
    <m/>
    <m/>
    <m/>
    <m/>
    <m/>
    <m/>
    <m/>
  </r>
  <r>
    <x v="10"/>
    <s v="Elektro Wachter GmbH"/>
    <s v="Matthias Doering"/>
    <x v="3"/>
    <x v="6"/>
    <x v="1"/>
    <m/>
    <s v="EU"/>
    <m/>
    <m/>
    <m/>
    <m/>
    <m/>
    <m/>
    <m/>
    <m/>
    <m/>
    <m/>
    <m/>
    <m/>
    <m/>
    <m/>
  </r>
  <r>
    <x v="10"/>
    <s v="Elektrotechnik Forstner GmbH &amp; Co.KG"/>
    <s v="Matthias Doering"/>
    <x v="1"/>
    <x v="1"/>
    <x v="1"/>
    <m/>
    <s v="EU"/>
    <m/>
    <m/>
    <n v="0.13247999999999999"/>
    <m/>
    <n v="0.13247999999999999"/>
    <m/>
    <m/>
    <n v="6.6239999999999993E-2"/>
    <m/>
    <m/>
    <m/>
    <m/>
    <m/>
    <m/>
  </r>
  <r>
    <x v="10"/>
    <s v="Elektrotechnik Forstner GmbH &amp; Co.KG"/>
    <s v="Matthias Doering"/>
    <x v="1"/>
    <x v="18"/>
    <x v="1"/>
    <m/>
    <s v="EU"/>
    <m/>
    <m/>
    <n v="3.7080000000000002E-2"/>
    <m/>
    <n v="3.7080000000000002E-2"/>
    <m/>
    <m/>
    <n v="3.7080000000000002E-2"/>
    <m/>
    <m/>
    <m/>
    <m/>
    <m/>
    <m/>
  </r>
  <r>
    <x v="10"/>
    <s v="Elektrotechnik Forstner GmbH &amp; Co.KG"/>
    <s v="Matthias Doering"/>
    <x v="1"/>
    <x v="34"/>
    <x v="1"/>
    <m/>
    <s v="EU"/>
    <m/>
    <m/>
    <n v="3.6630000000000003E-2"/>
    <m/>
    <n v="3.6630000000000003E-2"/>
    <m/>
    <m/>
    <n v="3.6630000000000003E-2"/>
    <m/>
    <m/>
    <m/>
    <m/>
    <m/>
    <m/>
  </r>
  <r>
    <x v="10"/>
    <s v="Elektrotechnik Forstner GmbH &amp; Co.KG"/>
    <s v="Matthias Doering"/>
    <x v="3"/>
    <x v="6"/>
    <x v="1"/>
    <m/>
    <s v="EU"/>
    <m/>
    <m/>
    <m/>
    <m/>
    <n v="3.5639999999999998E-2"/>
    <m/>
    <m/>
    <n v="3.5639999999999998E-2"/>
    <m/>
    <m/>
    <m/>
    <m/>
    <m/>
    <m/>
  </r>
  <r>
    <x v="10"/>
    <s v="Elektrotechnik Forstner GmbH &amp; Co.KG"/>
    <s v="Matthias Doering"/>
    <x v="3"/>
    <x v="35"/>
    <x v="1"/>
    <m/>
    <s v="EU"/>
    <m/>
    <m/>
    <m/>
    <m/>
    <n v="4.3200000000000002E-2"/>
    <m/>
    <m/>
    <m/>
    <m/>
    <m/>
    <m/>
    <m/>
    <m/>
    <m/>
  </r>
  <r>
    <x v="10"/>
    <s v="Elektrotechnik Peter Hartmann, Inh. Peter Hartmann"/>
    <s v="Matthias Doering"/>
    <x v="1"/>
    <x v="1"/>
    <x v="1"/>
    <m/>
    <s v="EU"/>
    <m/>
    <m/>
    <m/>
    <m/>
    <m/>
    <n v="3.3119999999999997E-2"/>
    <m/>
    <m/>
    <m/>
    <m/>
    <m/>
    <m/>
    <m/>
    <m/>
  </r>
  <r>
    <x v="10"/>
    <s v="Blitzplank GmbH"/>
    <s v="Matthias Doering"/>
    <x v="1"/>
    <x v="1"/>
    <x v="1"/>
    <m/>
    <s v="EU"/>
    <m/>
    <m/>
    <n v="6.6239999999999993E-2"/>
    <m/>
    <n v="6.6239999999999993E-2"/>
    <m/>
    <m/>
    <n v="6.6239999999999993E-2"/>
    <m/>
    <m/>
    <m/>
    <m/>
    <m/>
    <m/>
  </r>
  <r>
    <x v="10"/>
    <s v="Bauer Energietechnik e.K."/>
    <s v="Matthias Doering"/>
    <x v="3"/>
    <x v="6"/>
    <x v="1"/>
    <m/>
    <s v="EU"/>
    <m/>
    <m/>
    <m/>
    <m/>
    <n v="3.5639999999999998E-2"/>
    <m/>
    <m/>
    <n v="3.5639999999999998E-2"/>
    <m/>
    <m/>
    <m/>
    <m/>
    <m/>
    <m/>
  </r>
  <r>
    <x v="10"/>
    <s v="Bauer Energietechnik e.K."/>
    <s v="Matthias Doering"/>
    <x v="1"/>
    <x v="18"/>
    <x v="1"/>
    <m/>
    <s v="EU"/>
    <m/>
    <n v="7.4160000000000004E-2"/>
    <m/>
    <m/>
    <n v="7.4160000000000004E-2"/>
    <m/>
    <m/>
    <n v="7.4160000000000004E-2"/>
    <m/>
    <m/>
    <m/>
    <m/>
    <m/>
    <m/>
  </r>
  <r>
    <x v="10"/>
    <s v="Bauer Energietechnik e.K."/>
    <s v="Matthias Doering"/>
    <x v="1"/>
    <x v="1"/>
    <x v="1"/>
    <m/>
    <s v="EU"/>
    <m/>
    <n v="6.6239999999999993E-2"/>
    <m/>
    <m/>
    <n v="6.6239999999999993E-2"/>
    <m/>
    <m/>
    <n v="6.6239999999999993E-2"/>
    <m/>
    <m/>
    <m/>
    <m/>
    <m/>
    <m/>
  </r>
  <r>
    <x v="10"/>
    <s v="S.A.T. SONNEN- &amp; ALTERNATIVTECHNIK GMBH &amp; CO. KG"/>
    <s v="Andreas Kauls"/>
    <x v="5"/>
    <x v="39"/>
    <x v="3"/>
    <m/>
    <s v="EU"/>
    <n v="0"/>
    <n v="0"/>
    <n v="0"/>
    <n v="0"/>
    <n v="0.45"/>
    <n v="0"/>
    <n v="0"/>
    <n v="0.45"/>
    <n v="0"/>
    <m/>
    <m/>
    <m/>
    <m/>
    <m/>
  </r>
  <r>
    <x v="10"/>
    <s v="S.A.T. SONNEN- &amp; ALTERNATIVTECHNIK GMBH &amp; CO. KG"/>
    <s v="Andreas Kauls"/>
    <x v="7"/>
    <x v="45"/>
    <x v="3"/>
    <m/>
    <s v="EU"/>
    <n v="0"/>
    <n v="0"/>
    <n v="0"/>
    <n v="0"/>
    <n v="0"/>
    <n v="0"/>
    <n v="0.1"/>
    <n v="0"/>
    <n v="0.1"/>
    <m/>
    <m/>
    <m/>
    <m/>
    <m/>
  </r>
  <r>
    <x v="10"/>
    <s v="SEN Solare Energiesysteme GmbH"/>
    <s v="Andreas Kauls"/>
    <x v="5"/>
    <x v="39"/>
    <x v="3"/>
    <m/>
    <s v="EU"/>
    <n v="0"/>
    <n v="0"/>
    <n v="0"/>
    <n v="0"/>
    <n v="0.45"/>
    <n v="0"/>
    <n v="0.45"/>
    <n v="0"/>
    <n v="0.45"/>
    <m/>
    <m/>
    <m/>
    <m/>
    <m/>
  </r>
  <r>
    <x v="10"/>
    <s v="SOATEK"/>
    <s v="Andreas Kauls"/>
    <x v="2"/>
    <x v="17"/>
    <x v="3"/>
    <m/>
    <s v="EU"/>
    <n v="0"/>
    <n v="0"/>
    <n v="0"/>
    <n v="0"/>
    <n v="0"/>
    <n v="0.7"/>
    <n v="0"/>
    <n v="0"/>
    <n v="0"/>
    <m/>
    <m/>
    <m/>
    <m/>
    <m/>
  </r>
  <r>
    <x v="10"/>
    <s v="SOATEK"/>
    <s v="Andreas Kauls"/>
    <x v="7"/>
    <x v="45"/>
    <x v="3"/>
    <m/>
    <s v="EU"/>
    <n v="0"/>
    <n v="0"/>
    <n v="0"/>
    <n v="0"/>
    <n v="0"/>
    <n v="0"/>
    <n v="0.1"/>
    <n v="0"/>
    <n v="0.1"/>
    <m/>
    <m/>
    <m/>
    <m/>
    <m/>
  </r>
  <r>
    <x v="10"/>
    <s v="SolarEnergieNetzwerk UG (haftungsbeschränkt)"/>
    <s v="Andreas Kauls"/>
    <x v="1"/>
    <x v="1"/>
    <x v="3"/>
    <m/>
    <s v="EU"/>
    <n v="0"/>
    <n v="0.02"/>
    <n v="0"/>
    <n v="0"/>
    <n v="0"/>
    <n v="0.03"/>
    <n v="0"/>
    <n v="0"/>
    <n v="0"/>
    <m/>
    <m/>
    <m/>
    <m/>
    <m/>
  </r>
  <r>
    <x v="10"/>
    <s v="SolarEnergieNetzwerk UG (haftungsbeschränkt)"/>
    <s v="Andreas Kauls"/>
    <x v="7"/>
    <x v="45"/>
    <x v="3"/>
    <m/>
    <s v="EU"/>
    <n v="0"/>
    <n v="0"/>
    <n v="0"/>
    <n v="0"/>
    <n v="0"/>
    <n v="0"/>
    <n v="0.05"/>
    <n v="0"/>
    <n v="0.05"/>
    <m/>
    <m/>
    <m/>
    <m/>
    <m/>
  </r>
  <r>
    <x v="10"/>
    <s v="RGT GmbH"/>
    <s v="Andreas Kauls"/>
    <x v="6"/>
    <x v="26"/>
    <x v="3"/>
    <m/>
    <s v="EU"/>
    <n v="0"/>
    <n v="1"/>
    <n v="1"/>
    <n v="0"/>
    <n v="1"/>
    <n v="0"/>
    <n v="0"/>
    <n v="1"/>
    <n v="0"/>
    <m/>
    <m/>
    <m/>
    <m/>
    <m/>
  </r>
  <r>
    <x v="10"/>
    <s v="Solarwerkstatt Lemgo GmbH"/>
    <s v="Andreas Kauls"/>
    <x v="1"/>
    <x v="1"/>
    <x v="3"/>
    <m/>
    <s v="EU"/>
    <n v="0"/>
    <n v="0.03"/>
    <n v="0"/>
    <n v="0"/>
    <n v="0.03"/>
    <n v="0"/>
    <n v="0"/>
    <n v="0"/>
    <n v="0"/>
    <m/>
    <m/>
    <m/>
    <m/>
    <m/>
  </r>
  <r>
    <x v="10"/>
    <s v="SUNWORKERS GmbH &amp; Co. KG"/>
    <s v="Andreas Kauls"/>
    <x v="5"/>
    <x v="39"/>
    <x v="3"/>
    <m/>
    <s v="EU"/>
    <n v="0"/>
    <n v="0"/>
    <n v="0"/>
    <n v="0"/>
    <n v="0"/>
    <n v="0.45"/>
    <n v="0"/>
    <n v="0"/>
    <n v="0"/>
    <m/>
    <m/>
    <m/>
    <m/>
    <m/>
  </r>
  <r>
    <x v="10"/>
    <s v="SUNWORKERS GmbH &amp; Co. KG"/>
    <s v="Andreas Kauls"/>
    <x v="7"/>
    <x v="45"/>
    <x v="3"/>
    <m/>
    <s v="EU"/>
    <n v="0"/>
    <n v="0"/>
    <n v="0"/>
    <n v="0"/>
    <n v="0"/>
    <n v="0"/>
    <n v="0.1"/>
    <n v="0.1"/>
    <n v="0.1"/>
    <m/>
    <m/>
    <m/>
    <m/>
    <m/>
  </r>
  <r>
    <x v="10"/>
    <s v="alb-elektric Huber Freileitungs- und Kabelbau GmbH"/>
    <s v="Matthias Doering"/>
    <x v="1"/>
    <x v="1"/>
    <x v="1"/>
    <m/>
    <s v="EU"/>
    <n v="4.9680000000000002E-2"/>
    <m/>
    <m/>
    <n v="6.6239999999999993E-2"/>
    <m/>
    <n v="6.6239999999999993E-2"/>
    <m/>
    <n v="6.6239999999999993E-2"/>
    <m/>
    <m/>
    <m/>
    <m/>
    <m/>
    <m/>
  </r>
  <r>
    <x v="10"/>
    <s v="alb-elektric Huber Freileitungs- und Kabelbau GmbH"/>
    <s v="Matthias Doering"/>
    <x v="1"/>
    <x v="18"/>
    <x v="1"/>
    <m/>
    <s v="EU"/>
    <n v="5.5620000000000003E-2"/>
    <m/>
    <n v="5.5620000000000003E-2"/>
    <n v="7.4160000000000004E-2"/>
    <m/>
    <n v="7.4160000000000004E-2"/>
    <m/>
    <n v="7.4160000000000004E-2"/>
    <m/>
    <m/>
    <m/>
    <m/>
    <m/>
    <m/>
  </r>
  <r>
    <x v="10"/>
    <s v="alb-elektric Huber Freileitungs- und Kabelbau GmbH"/>
    <s v="Matthias Doering"/>
    <x v="1"/>
    <x v="34"/>
    <x v="1"/>
    <m/>
    <s v="EU"/>
    <n v="0.25"/>
    <m/>
    <m/>
    <m/>
    <n v="0.14652000000000001"/>
    <m/>
    <n v="0.14652000000000001"/>
    <m/>
    <n v="0.14652000000000001"/>
    <m/>
    <m/>
    <m/>
    <m/>
    <m/>
  </r>
  <r>
    <x v="10"/>
    <s v="alb-elektric Huber Freileitungs- und Kabelbau GmbH"/>
    <s v="Matthias Doering"/>
    <x v="3"/>
    <x v="35"/>
    <x v="1"/>
    <m/>
    <s v="EU"/>
    <m/>
    <m/>
    <m/>
    <n v="7.1279999999999996E-2"/>
    <m/>
    <n v="7.1279999999999996E-2"/>
    <m/>
    <n v="7.1279999999999996E-2"/>
    <m/>
    <m/>
    <m/>
    <m/>
    <m/>
    <m/>
  </r>
  <r>
    <x v="10"/>
    <s v="alb-elektric Huber Freileitungs- und Kabelbau GmbH"/>
    <s v="Matthias Doering"/>
    <x v="3"/>
    <x v="35"/>
    <x v="1"/>
    <m/>
    <s v="EU"/>
    <m/>
    <m/>
    <m/>
    <m/>
    <m/>
    <m/>
    <m/>
    <m/>
    <m/>
    <m/>
    <m/>
    <m/>
    <m/>
    <m/>
  </r>
  <r>
    <x v="10"/>
    <s v="Solarwerkstatt Lemgo GmbH"/>
    <s v="Andreas Kauls"/>
    <x v="7"/>
    <x v="45"/>
    <x v="3"/>
    <m/>
    <s v="EU"/>
    <n v="0"/>
    <n v="0"/>
    <n v="0"/>
    <n v="0"/>
    <n v="0"/>
    <n v="0"/>
    <n v="0.05"/>
    <n v="0"/>
    <n v="0.05"/>
    <m/>
    <m/>
    <m/>
    <m/>
    <m/>
  </r>
  <r>
    <x v="10"/>
    <s v="BSS Solar Systeme GmbH &amp; Co. KG"/>
    <s v="Andreas Kauls"/>
    <x v="1"/>
    <x v="1"/>
    <x v="3"/>
    <m/>
    <s v="EU"/>
    <n v="0"/>
    <n v="0.03"/>
    <n v="0.05"/>
    <n v="0"/>
    <n v="0.1"/>
    <n v="0"/>
    <n v="0"/>
    <n v="0"/>
    <n v="0"/>
    <m/>
    <m/>
    <m/>
    <m/>
    <m/>
  </r>
  <r>
    <x v="11"/>
    <s v="New customer"/>
    <m/>
    <x v="2"/>
    <x v="16"/>
    <x v="0"/>
    <s v="delivery on September"/>
    <s v="Offshore"/>
    <m/>
    <m/>
    <m/>
    <m/>
    <m/>
    <n v="7.2"/>
    <m/>
    <m/>
    <m/>
    <m/>
    <m/>
    <m/>
    <m/>
    <m/>
  </r>
  <r>
    <x v="11"/>
    <s v="BC Perigramma"/>
    <m/>
    <x v="2"/>
    <x v="16"/>
    <x v="4"/>
    <s v="1,2 MW FCA RTD"/>
    <s v="EU"/>
    <m/>
    <n v="1.2"/>
    <m/>
    <m/>
    <m/>
    <m/>
    <m/>
    <m/>
    <m/>
    <m/>
    <m/>
    <m/>
    <m/>
    <m/>
  </r>
  <r>
    <x v="11"/>
    <s v="Fast Forward"/>
    <m/>
    <x v="2"/>
    <x v="16"/>
    <x v="3"/>
    <s v="8 MW CIF Piraeus delivery delivery Q3-Q4 - the project will reach 50 MW- small projects of 1 MW"/>
    <s v="Offshore"/>
    <m/>
    <m/>
    <m/>
    <m/>
    <n v="8"/>
    <m/>
    <m/>
    <m/>
    <m/>
    <m/>
    <m/>
    <m/>
    <m/>
    <m/>
  </r>
  <r>
    <x v="11"/>
    <s v="Solaraxis"/>
    <m/>
    <x v="2"/>
    <x v="40"/>
    <x v="6"/>
    <s v="Small projects of 500 kW- Most possible Q1 2027"/>
    <s v="Offshore"/>
    <m/>
    <m/>
    <m/>
    <m/>
    <m/>
    <m/>
    <m/>
    <m/>
    <n v="10"/>
    <m/>
    <m/>
    <m/>
    <m/>
    <m/>
  </r>
  <r>
    <x v="12"/>
    <s v="Gatiba"/>
    <m/>
    <x v="2"/>
    <x v="47"/>
    <x v="2"/>
    <s v="1 container of 445W Clear Black CIP on site"/>
    <s v="EU"/>
    <m/>
    <n v="0.4"/>
    <m/>
    <m/>
    <m/>
    <m/>
    <m/>
    <m/>
    <m/>
    <m/>
    <m/>
    <m/>
    <m/>
    <m/>
  </r>
  <r>
    <x v="13"/>
    <s v="New Customer / Balance of others customers IT"/>
    <m/>
    <x v="6"/>
    <x v="27"/>
    <x v="1"/>
    <m/>
    <s v="EU"/>
    <n v="15"/>
    <n v="30"/>
    <n v="30"/>
    <n v="50"/>
    <n v="20"/>
    <n v="30"/>
    <n v="40"/>
    <n v="50"/>
    <n v="40"/>
    <m/>
    <m/>
    <m/>
    <m/>
    <m/>
  </r>
  <r>
    <x v="13"/>
    <s v="New Customer / Balance of others customers IT"/>
    <m/>
    <x v="1"/>
    <x v="34"/>
    <x v="3"/>
    <m/>
    <s v="EU"/>
    <n v="8"/>
    <n v="8"/>
    <n v="10"/>
    <n v="8"/>
    <n v="6"/>
    <n v="12"/>
    <n v="12"/>
    <n v="12"/>
    <n v="10"/>
    <m/>
    <m/>
    <m/>
    <m/>
    <m/>
  </r>
  <r>
    <x v="13"/>
    <s v="New Customer / Balance of others customers IT"/>
    <m/>
    <x v="1"/>
    <x v="8"/>
    <x v="3"/>
    <m/>
    <s v="EU"/>
    <n v="2"/>
    <n v="2"/>
    <n v="3"/>
    <n v="2"/>
    <n v="1"/>
    <n v="2"/>
    <n v="2"/>
    <n v="2"/>
    <n v="2"/>
    <m/>
    <m/>
    <m/>
    <m/>
    <m/>
  </r>
  <r>
    <x v="13"/>
    <s v="New Customer / Balance of others customers IT"/>
    <m/>
    <x v="1"/>
    <x v="18"/>
    <x v="3"/>
    <m/>
    <s v="EU"/>
    <n v="4"/>
    <n v="5"/>
    <n v="4"/>
    <n v="4"/>
    <n v="3"/>
    <n v="6"/>
    <n v="6"/>
    <n v="7"/>
    <n v="5"/>
    <m/>
    <m/>
    <m/>
    <m/>
    <m/>
  </r>
  <r>
    <x v="13"/>
    <s v="New Customer / Balance of others customers IT"/>
    <m/>
    <x v="7"/>
    <x v="49"/>
    <x v="3"/>
    <s v="M Class-only RES"/>
    <s v="EU"/>
    <n v="3"/>
    <n v="2"/>
    <n v="2"/>
    <n v="2"/>
    <n v="1"/>
    <n v="2"/>
    <n v="2"/>
    <n v="1"/>
    <n v="1"/>
    <m/>
    <m/>
    <m/>
    <m/>
    <m/>
  </r>
  <r>
    <x v="13"/>
    <s v="Energia Italia"/>
    <s v="Ignazio Sasanelli"/>
    <x v="0"/>
    <x v="19"/>
    <x v="1"/>
    <s v="En ITA deal"/>
    <s v="EU"/>
    <m/>
    <m/>
    <m/>
    <n v="0"/>
    <n v="3"/>
    <n v="9"/>
    <n v="6"/>
    <m/>
    <m/>
    <m/>
    <m/>
    <m/>
    <m/>
    <m/>
  </r>
  <r>
    <x v="13"/>
    <s v="New Customer / Balance of others customers IT"/>
    <s v="Ignazio Sasanelli"/>
    <x v="2"/>
    <x v="17"/>
    <x v="3"/>
    <m/>
    <s v="EU"/>
    <n v="2"/>
    <n v="2"/>
    <m/>
    <m/>
    <m/>
    <m/>
    <m/>
    <m/>
    <m/>
    <m/>
    <m/>
    <m/>
    <m/>
    <m/>
  </r>
  <r>
    <x v="13"/>
    <s v="New Customer / Balance of others customers IT"/>
    <s v="Ignazio Sasanelli"/>
    <x v="2"/>
    <x v="40"/>
    <x v="3"/>
    <m/>
    <s v="EU"/>
    <m/>
    <m/>
    <m/>
    <n v="8"/>
    <m/>
    <n v="12"/>
    <m/>
    <n v="8"/>
    <m/>
    <m/>
    <m/>
    <m/>
    <m/>
    <m/>
  </r>
  <r>
    <x v="13"/>
    <s v="New Customer / Balance of others customers IT"/>
    <s v="Ignazio Sasanelli"/>
    <x v="2"/>
    <x v="16"/>
    <x v="3"/>
    <m/>
    <s v="EU"/>
    <m/>
    <n v="10"/>
    <n v="6"/>
    <m/>
    <m/>
    <m/>
    <m/>
    <m/>
    <m/>
    <m/>
    <m/>
    <m/>
    <m/>
    <m/>
  </r>
  <r>
    <x v="13"/>
    <s v="New Customer / Balance of others customers IT"/>
    <s v="Ignazio Sasanelli"/>
    <x v="2"/>
    <x v="41"/>
    <x v="3"/>
    <m/>
    <s v="EU"/>
    <m/>
    <n v="10"/>
    <n v="5"/>
    <n v="6"/>
    <m/>
    <n v="12"/>
    <m/>
    <n v="12"/>
    <m/>
    <m/>
    <m/>
    <m/>
    <m/>
    <m/>
  </r>
  <r>
    <x v="13"/>
    <s v="New Customer / Balance of others customers IT"/>
    <s v="Ignazio Sasanelli"/>
    <x v="2"/>
    <x v="2"/>
    <x v="3"/>
    <m/>
    <s v="EU"/>
    <n v="2"/>
    <n v="8"/>
    <n v="6"/>
    <n v="12"/>
    <n v="2"/>
    <n v="8"/>
    <n v="8"/>
    <n v="8"/>
    <n v="6"/>
    <m/>
    <m/>
    <m/>
    <m/>
    <m/>
  </r>
  <r>
    <x v="13"/>
    <s v="New Customer / Balance of others customers IT"/>
    <s v="Ignazio Sasanelli"/>
    <x v="2"/>
    <x v="15"/>
    <x v="3"/>
    <m/>
    <s v="EU"/>
    <n v="2"/>
    <m/>
    <m/>
    <m/>
    <m/>
    <m/>
    <m/>
    <m/>
    <m/>
    <m/>
    <m/>
    <m/>
    <m/>
    <m/>
  </r>
  <r>
    <x v="13"/>
    <s v="New Customer / Balance of others customers IT"/>
    <m/>
    <x v="6"/>
    <x v="30"/>
    <x v="1"/>
    <m/>
    <s v="EU"/>
    <n v="50"/>
    <n v="100"/>
    <n v="100"/>
    <n v="140"/>
    <n v="100"/>
    <n v="130"/>
    <n v="150"/>
    <n v="200"/>
    <n v="200"/>
    <m/>
    <m/>
    <m/>
    <m/>
    <m/>
  </r>
  <r>
    <x v="13"/>
    <s v="New Customer / Balance of others customers IT"/>
    <m/>
    <x v="6"/>
    <x v="50"/>
    <x v="1"/>
    <m/>
    <s v="EU"/>
    <n v="250"/>
    <n v="250"/>
    <n v="400"/>
    <n v="600"/>
    <n v="300"/>
    <n v="600"/>
    <n v="500"/>
    <n v="600"/>
    <n v="700"/>
    <m/>
    <m/>
    <m/>
    <m/>
    <m/>
  </r>
  <r>
    <x v="13"/>
    <s v="New Customer / Balance of others customers IT"/>
    <s v="Ignazio Sasanelli"/>
    <x v="8"/>
    <x v="51"/>
    <x v="3"/>
    <m/>
    <s v="EU"/>
    <m/>
    <n v="6"/>
    <n v="8"/>
    <n v="6"/>
    <n v="1"/>
    <n v="4"/>
    <n v="6"/>
    <n v="6"/>
    <n v="3"/>
    <m/>
    <m/>
    <m/>
    <m/>
    <m/>
  </r>
  <r>
    <x v="13"/>
    <s v="New Customer / Balance of others customers IT"/>
    <m/>
    <x v="4"/>
    <x v="10"/>
    <x v="1"/>
    <m/>
    <s v="EU"/>
    <m/>
    <m/>
    <n v="3"/>
    <n v="2"/>
    <n v="2"/>
    <n v="2"/>
    <n v="4"/>
    <n v="4"/>
    <n v="6"/>
    <m/>
    <m/>
    <m/>
    <m/>
    <m/>
  </r>
  <r>
    <x v="13"/>
    <s v="New Customer / Balance of others customers IT"/>
    <s v="Ignazio Sasanelli"/>
    <x v="8"/>
    <x v="43"/>
    <x v="3"/>
    <m/>
    <s v="EU"/>
    <n v="5"/>
    <m/>
    <m/>
    <m/>
    <m/>
    <m/>
    <m/>
    <m/>
    <m/>
    <m/>
    <m/>
    <m/>
    <m/>
    <m/>
  </r>
  <r>
    <x v="13"/>
    <s v="New Customer / Balance of others customers IT"/>
    <s v="Ignazio Sasanelli"/>
    <x v="8"/>
    <x v="52"/>
    <x v="3"/>
    <m/>
    <s v="EU"/>
    <n v="3"/>
    <n v="7"/>
    <n v="5"/>
    <m/>
    <m/>
    <m/>
    <m/>
    <m/>
    <m/>
    <m/>
    <m/>
    <m/>
    <m/>
    <m/>
  </r>
  <r>
    <x v="13"/>
    <s v="New Customer / Balance of others customers IT"/>
    <s v="Ignazio Sasanelli"/>
    <x v="2"/>
    <x v="5"/>
    <x v="3"/>
    <m/>
    <s v="EU"/>
    <m/>
    <m/>
    <m/>
    <n v="4"/>
    <n v="1"/>
    <n v="7"/>
    <m/>
    <m/>
    <m/>
    <m/>
    <m/>
    <m/>
    <m/>
    <m/>
  </r>
  <r>
    <x v="13"/>
    <s v="New Customer / Balance of others customers IT"/>
    <s v="Ignazio Sasanelli"/>
    <x v="8"/>
    <x v="43"/>
    <x v="3"/>
    <m/>
    <s v="EU"/>
    <n v="5"/>
    <n v="6"/>
    <n v="6"/>
    <n v="3"/>
    <n v="1"/>
    <n v="4"/>
    <n v="4"/>
    <n v="4"/>
    <n v="3"/>
    <m/>
    <m/>
    <m/>
    <m/>
    <m/>
  </r>
  <r>
    <x v="14"/>
    <s v="New customer"/>
    <m/>
    <x v="2"/>
    <x v="16"/>
    <x v="0"/>
    <s v="4 containers"/>
    <s v="Offshore"/>
    <m/>
    <m/>
    <m/>
    <m/>
    <n v="1.6"/>
    <m/>
    <m/>
    <m/>
    <m/>
    <m/>
    <m/>
    <m/>
    <m/>
    <m/>
  </r>
  <r>
    <x v="15"/>
    <s v="Veesla"/>
    <m/>
    <x v="2"/>
    <x v="5"/>
    <x v="5"/>
    <s v="3 containers of 450W Clear black FCA RTD"/>
    <s v="EU"/>
    <m/>
    <n v="1.2"/>
    <m/>
    <m/>
    <m/>
    <m/>
    <m/>
    <m/>
    <m/>
    <m/>
    <m/>
    <m/>
    <m/>
    <m/>
  </r>
  <r>
    <x v="15"/>
    <s v="Elmitra"/>
    <m/>
    <x v="2"/>
    <x v="5"/>
    <x v="1"/>
    <s v="1 container 450W FB - FCA RTD"/>
    <s v="EU"/>
    <m/>
    <m/>
    <m/>
    <n v="0.4"/>
    <m/>
    <m/>
    <m/>
    <m/>
    <m/>
    <m/>
    <m/>
    <m/>
    <m/>
    <m/>
  </r>
  <r>
    <x v="15"/>
    <s v="Veesla"/>
    <m/>
    <x v="2"/>
    <x v="15"/>
    <x v="2"/>
    <s v="4 containers  FCA RTD"/>
    <s v="EU"/>
    <m/>
    <n v="1.7"/>
    <m/>
    <m/>
    <m/>
    <m/>
    <m/>
    <m/>
    <m/>
    <m/>
    <m/>
    <m/>
    <m/>
    <m/>
  </r>
  <r>
    <x v="15"/>
    <s v="Elmitra"/>
    <m/>
    <x v="2"/>
    <x v="5"/>
    <x v="2"/>
    <s v="1 container 450W FB - FCA RTD"/>
    <s v="EU"/>
    <m/>
    <n v="0.4"/>
    <m/>
    <m/>
    <m/>
    <m/>
    <m/>
    <m/>
    <m/>
    <m/>
    <m/>
    <m/>
    <m/>
    <m/>
  </r>
  <r>
    <x v="15"/>
    <s v="Elmitra"/>
    <m/>
    <x v="2"/>
    <x v="47"/>
    <x v="2"/>
    <s v="1 container 445W FB  - FCA RTD"/>
    <s v="EU"/>
    <m/>
    <n v="0.4"/>
    <m/>
    <m/>
    <m/>
    <m/>
    <m/>
    <m/>
    <m/>
    <m/>
    <m/>
    <m/>
    <m/>
    <m/>
  </r>
  <r>
    <x v="15"/>
    <s v="Elmitra"/>
    <m/>
    <x v="2"/>
    <x v="15"/>
    <x v="1"/>
    <s v="1 container 505W FB - FCA RTD"/>
    <s v="EU"/>
    <m/>
    <m/>
    <m/>
    <n v="0.4"/>
    <m/>
    <m/>
    <m/>
    <m/>
    <m/>
    <m/>
    <m/>
    <m/>
    <m/>
    <m/>
  </r>
  <r>
    <x v="15"/>
    <s v="Elmitra"/>
    <m/>
    <x v="2"/>
    <x v="2"/>
    <x v="2"/>
    <s v="3 containers 500W CIF Klaipeda"/>
    <s v="Offshore"/>
    <m/>
    <m/>
    <n v="1.2"/>
    <m/>
    <m/>
    <m/>
    <m/>
    <m/>
    <m/>
    <m/>
    <m/>
    <m/>
    <m/>
    <m/>
  </r>
  <r>
    <x v="15"/>
    <s v="Elmitra"/>
    <m/>
    <x v="2"/>
    <x v="47"/>
    <x v="2"/>
    <s v="2 containers 445W FCA warehouse EU"/>
    <s v="Offshore"/>
    <n v="0.8"/>
    <m/>
    <m/>
    <m/>
    <m/>
    <m/>
    <m/>
    <m/>
    <m/>
    <m/>
    <m/>
    <m/>
    <m/>
    <m/>
  </r>
  <r>
    <x v="15"/>
    <s v="Baltsolar"/>
    <m/>
    <x v="2"/>
    <x v="47"/>
    <x v="2"/>
    <s v="5 containers Clear Black 445"/>
    <s v="Offshore"/>
    <n v="2"/>
    <m/>
    <m/>
    <m/>
    <m/>
    <m/>
    <m/>
    <m/>
    <m/>
    <m/>
    <m/>
    <m/>
    <m/>
    <m/>
  </r>
  <r>
    <x v="16"/>
    <s v="New Customer / Balance of others customers BNL"/>
    <m/>
    <x v="5"/>
    <x v="9"/>
    <x v="0"/>
    <s v="NEW C&amp;I KEY ACCOUNT"/>
    <s v="EU"/>
    <m/>
    <m/>
    <m/>
    <m/>
    <m/>
    <m/>
    <n v="3"/>
    <n v="3"/>
    <n v="3"/>
    <m/>
    <m/>
    <m/>
    <m/>
    <m/>
  </r>
  <r>
    <x v="16"/>
    <s v="Natec Sunenergy B.V."/>
    <m/>
    <x v="4"/>
    <x v="10"/>
    <x v="0"/>
    <s v="AWAITING FEEDBACK NEW ASP"/>
    <s v="EU"/>
    <m/>
    <m/>
    <m/>
    <m/>
    <m/>
    <m/>
    <n v="1"/>
    <n v="3"/>
    <n v="3"/>
    <m/>
    <m/>
    <m/>
    <m/>
    <m/>
  </r>
  <r>
    <x v="16"/>
    <s v="Natec Sunenergy B.V."/>
    <m/>
    <x v="4"/>
    <x v="7"/>
    <x v="0"/>
    <s v="AWAITING FEEDBACK NEW ASP"/>
    <s v="EU"/>
    <m/>
    <m/>
    <m/>
    <m/>
    <m/>
    <m/>
    <n v="1"/>
    <n v="2"/>
    <n v="2"/>
    <m/>
    <m/>
    <m/>
    <m/>
    <m/>
  </r>
  <r>
    <x v="16"/>
    <s v="New Customer / Balance of others customers BNL"/>
    <m/>
    <x v="5"/>
    <x v="53"/>
    <x v="0"/>
    <s v="NEW C&amp;I KEY ACCOUNT"/>
    <s v="EU"/>
    <m/>
    <m/>
    <m/>
    <m/>
    <m/>
    <m/>
    <n v="0.8"/>
    <n v="0.8"/>
    <n v="0.8"/>
    <m/>
    <m/>
    <m/>
    <m/>
    <m/>
  </r>
  <r>
    <x v="16"/>
    <s v="New Customer / Balance of others customers BNL"/>
    <m/>
    <x v="1"/>
    <x v="1"/>
    <x v="0"/>
    <s v="NEW C&amp;I KEY ACCOUNT"/>
    <s v="EU"/>
    <m/>
    <m/>
    <m/>
    <m/>
    <m/>
    <m/>
    <n v="1"/>
    <n v="1"/>
    <n v="1"/>
    <m/>
    <m/>
    <m/>
    <m/>
    <m/>
  </r>
  <r>
    <x v="16"/>
    <s v="New Customer / Balance of others customers BNL"/>
    <m/>
    <x v="5"/>
    <x v="13"/>
    <x v="0"/>
    <s v="NEW C&amp;I KEY ACCOUNT"/>
    <s v="EU"/>
    <m/>
    <m/>
    <m/>
    <m/>
    <m/>
    <m/>
    <n v="2"/>
    <n v="2"/>
    <n v="2"/>
    <m/>
    <m/>
    <m/>
    <m/>
    <m/>
  </r>
  <r>
    <x v="16"/>
    <s v="SO Products B.V."/>
    <s v="Paul"/>
    <x v="5"/>
    <x v="13"/>
    <x v="0"/>
    <m/>
    <s v="EU"/>
    <m/>
    <m/>
    <m/>
    <m/>
    <n v="0.82"/>
    <m/>
    <m/>
    <m/>
    <m/>
    <m/>
    <m/>
    <m/>
    <m/>
    <m/>
  </r>
  <r>
    <x v="16"/>
    <s v="New Customer / Balance of others customers BNL"/>
    <m/>
    <x v="0"/>
    <x v="12"/>
    <x v="3"/>
    <s v="NEW ACCOUNTS"/>
    <s v="EU"/>
    <m/>
    <m/>
    <m/>
    <m/>
    <m/>
    <m/>
    <n v="2"/>
    <n v="2"/>
    <n v="2"/>
    <m/>
    <m/>
    <m/>
    <m/>
    <m/>
  </r>
  <r>
    <x v="16"/>
    <s v="New Customer / Balance of others customers BNL"/>
    <m/>
    <x v="9"/>
    <x v="44"/>
    <x v="2"/>
    <s v="BOOKED SOA SEND"/>
    <s v="EU"/>
    <m/>
    <m/>
    <m/>
    <n v="0.42"/>
    <m/>
    <m/>
    <m/>
    <m/>
    <m/>
    <m/>
    <m/>
    <m/>
    <m/>
    <m/>
  </r>
  <r>
    <x v="16"/>
    <s v="SO Products B.V."/>
    <s v="Paul"/>
    <x v="1"/>
    <x v="34"/>
    <x v="2"/>
    <m/>
    <s v="EU"/>
    <m/>
    <n v="0.4"/>
    <m/>
    <m/>
    <m/>
    <m/>
    <m/>
    <m/>
    <m/>
    <m/>
    <m/>
    <m/>
    <m/>
    <m/>
  </r>
  <r>
    <x v="16"/>
    <s v="VDH Solar Groothandel B.V."/>
    <s v="Regis"/>
    <x v="9"/>
    <x v="44"/>
    <x v="2"/>
    <s v="CONSIGNEMENT"/>
    <s v="EU"/>
    <n v="0.45"/>
    <n v="0.45"/>
    <n v="0.45"/>
    <n v="0.45"/>
    <m/>
    <m/>
    <m/>
    <m/>
    <m/>
    <m/>
    <m/>
    <m/>
    <m/>
    <m/>
  </r>
  <r>
    <x v="16"/>
    <s v="Natec Sunenergy B.V."/>
    <s v="Regis"/>
    <x v="9"/>
    <x v="44"/>
    <x v="2"/>
    <s v="CONSIGNEMENT"/>
    <s v="EU"/>
    <m/>
    <m/>
    <n v="0.45"/>
    <n v="0.45"/>
    <m/>
    <m/>
    <m/>
    <m/>
    <m/>
    <m/>
    <m/>
    <m/>
    <m/>
    <m/>
  </r>
  <r>
    <x v="16"/>
    <s v="Natec Sunenergy B.V."/>
    <m/>
    <x v="2"/>
    <x v="5"/>
    <x v="5"/>
    <s v="TRINA Vertex 455 BLK at 0.110 DDP/Longi 460W BLK at 0.108 DDP_x000a_NEED BETTER ASP 455W"/>
    <s v="EU"/>
    <n v="0.4"/>
    <n v="1.2"/>
    <n v="1.2"/>
    <m/>
    <m/>
    <m/>
    <m/>
    <m/>
    <m/>
    <m/>
    <m/>
    <m/>
    <m/>
    <m/>
  </r>
  <r>
    <x v="16"/>
    <s v="Natec Sunenergy B.V."/>
    <m/>
    <x v="5"/>
    <x v="11"/>
    <x v="3"/>
    <s v="AWAITING FORECAST"/>
    <s v="EU"/>
    <m/>
    <m/>
    <m/>
    <m/>
    <m/>
    <n v="1.2"/>
    <n v="1.2"/>
    <n v="1.2"/>
    <n v="1.2"/>
    <m/>
    <m/>
    <m/>
    <m/>
    <m/>
  </r>
  <r>
    <x v="16"/>
    <s v="Natec Sunenergy B.V."/>
    <m/>
    <x v="0"/>
    <x v="12"/>
    <x v="3"/>
    <s v="AWAITING FORECAST"/>
    <s v="EU"/>
    <m/>
    <m/>
    <m/>
    <m/>
    <m/>
    <m/>
    <n v="0.4"/>
    <n v="0.4"/>
    <n v="0.4"/>
    <m/>
    <m/>
    <m/>
    <m/>
    <m/>
  </r>
  <r>
    <x v="16"/>
    <s v="New Customer / Balance of others customers BNL"/>
    <m/>
    <x v="3"/>
    <x v="6"/>
    <x v="3"/>
    <s v="REVIVE DORMANT ACCOUNT"/>
    <s v="EU"/>
    <m/>
    <m/>
    <m/>
    <m/>
    <m/>
    <m/>
    <n v="2"/>
    <n v="2"/>
    <n v="2"/>
    <m/>
    <m/>
    <m/>
    <m/>
    <m/>
  </r>
  <r>
    <x v="16"/>
    <s v="New Customer / Balance of others customers BNL"/>
    <s v="Regis"/>
    <x v="11"/>
    <x v="54"/>
    <x v="0"/>
    <s v="BETA TEST SCHEDULED"/>
    <s v="EU"/>
    <n v="0"/>
    <n v="0"/>
    <n v="0"/>
    <n v="1"/>
    <n v="1"/>
    <n v="1"/>
    <n v="1"/>
    <n v="10"/>
    <n v="20"/>
    <m/>
    <m/>
    <m/>
    <m/>
    <m/>
  </r>
  <r>
    <x v="17"/>
    <s v="Nordic Sun Danmark A/S"/>
    <s v="Filip Abrahamsson"/>
    <x v="2"/>
    <x v="17"/>
    <x v="4"/>
    <s v="Asking for DDP price, Possible Caroline LI, Q2-Q3 Must win - Delayed Q4 due to permits----Long Cable---27Q1"/>
    <s v="Offshore/EU?"/>
    <m/>
    <m/>
    <m/>
    <m/>
    <m/>
    <m/>
    <n v="7"/>
    <n v="6"/>
    <m/>
    <m/>
    <m/>
    <m/>
    <m/>
    <m/>
  </r>
  <r>
    <x v="17"/>
    <s v="Rexel Sweden"/>
    <m/>
    <x v="1"/>
    <x v="1"/>
    <x v="5"/>
    <s v="Q3 Order"/>
    <s v="EU"/>
    <m/>
    <m/>
    <m/>
    <n v="0.4"/>
    <m/>
    <m/>
    <m/>
    <m/>
    <m/>
    <m/>
    <m/>
    <m/>
    <m/>
    <m/>
  </r>
  <r>
    <x v="17"/>
    <s v="Rexel Sweden"/>
    <m/>
    <x v="1"/>
    <x v="18"/>
    <x v="5"/>
    <s v="Q3 Order"/>
    <s v="EU"/>
    <m/>
    <m/>
    <m/>
    <n v="0.4"/>
    <m/>
    <m/>
    <m/>
    <m/>
    <m/>
    <m/>
    <m/>
    <m/>
    <m/>
    <m/>
  </r>
  <r>
    <x v="17"/>
    <s v="Site Services A/S"/>
    <m/>
    <x v="12"/>
    <x v="55"/>
    <x v="5"/>
    <s v="New Customer Depletion Maxeon 390-400 COM"/>
    <s v="EU"/>
    <m/>
    <m/>
    <m/>
    <n v="0.2"/>
    <m/>
    <m/>
    <m/>
    <m/>
    <m/>
    <m/>
    <m/>
    <m/>
    <m/>
    <m/>
  </r>
  <r>
    <x v="17"/>
    <s v="Nova Solar "/>
    <m/>
    <x v="11"/>
    <x v="54"/>
    <x v="5"/>
    <s v="New Customer 2 Units pilot installation"/>
    <s v="EU"/>
    <m/>
    <m/>
    <m/>
    <n v="2"/>
    <m/>
    <m/>
    <m/>
    <m/>
    <m/>
    <m/>
    <m/>
    <m/>
    <m/>
    <m/>
  </r>
  <r>
    <x v="17"/>
    <s v="Rexel Sweden"/>
    <m/>
    <x v="5"/>
    <x v="39"/>
    <x v="5"/>
    <s v="Q3 Order"/>
    <s v="470 Black"/>
    <m/>
    <m/>
    <m/>
    <m/>
    <m/>
    <m/>
    <m/>
    <m/>
    <m/>
    <m/>
    <m/>
    <m/>
    <m/>
    <m/>
  </r>
  <r>
    <x v="17"/>
    <s v="Rexel Sweden"/>
    <m/>
    <x v="13"/>
    <x v="56"/>
    <x v="6"/>
    <s v="Rexel Launch of X1 in Sweden"/>
    <m/>
    <m/>
    <m/>
    <m/>
    <m/>
    <m/>
    <m/>
    <m/>
    <m/>
    <n v="50"/>
    <m/>
    <m/>
    <m/>
    <m/>
    <m/>
  </r>
  <r>
    <x v="17"/>
    <s v="Nordic Sun Danmark A/S"/>
    <m/>
    <x v="4"/>
    <x v="10"/>
    <x v="6"/>
    <s v="Nordic Sun Test Unit - Solinteg whitelist sept"/>
    <m/>
    <m/>
    <m/>
    <m/>
    <m/>
    <m/>
    <n v="2"/>
    <m/>
    <m/>
    <m/>
    <m/>
    <m/>
    <m/>
    <m/>
    <m/>
  </r>
  <r>
    <x v="17"/>
    <s v="Nordic Sun Danmark A/S"/>
    <m/>
    <x v="5"/>
    <x v="39"/>
    <x v="4"/>
    <s v="2 CT Confirmed 260812 @ €0.122 offer €0.126"/>
    <s v="470 Black"/>
    <m/>
    <m/>
    <m/>
    <m/>
    <m/>
    <n v="0.8"/>
    <m/>
    <m/>
    <m/>
    <m/>
    <m/>
    <m/>
    <m/>
    <m/>
  </r>
  <r>
    <x v="17"/>
    <s v="Nordic Sun Danmark A/S"/>
    <m/>
    <x v="1"/>
    <x v="1"/>
    <x v="0"/>
    <m/>
    <s v="FCA Rotterdam Price"/>
    <m/>
    <m/>
    <m/>
    <m/>
    <m/>
    <m/>
    <n v="1"/>
    <n v="1"/>
    <n v="1"/>
    <m/>
    <m/>
    <m/>
    <m/>
    <m/>
  </r>
  <r>
    <x v="17"/>
    <s v="Nordic Sun Danmark A/S"/>
    <m/>
    <x v="1"/>
    <x v="34"/>
    <x v="0"/>
    <s v="H2 offer 6 month"/>
    <s v="FCA Rotterdam Price"/>
    <m/>
    <m/>
    <m/>
    <m/>
    <m/>
    <m/>
    <n v="1"/>
    <n v="1"/>
    <n v="1"/>
    <m/>
    <m/>
    <m/>
    <m/>
    <m/>
  </r>
  <r>
    <x v="17"/>
    <s v="Nordic Sun Danmark A/S"/>
    <m/>
    <x v="2"/>
    <x v="16"/>
    <x v="0"/>
    <s v="H2 offer 6 month"/>
    <s v="FCA Rotterdam Price"/>
    <m/>
    <m/>
    <m/>
    <m/>
    <m/>
    <m/>
    <n v="2"/>
    <n v="2"/>
    <n v="2"/>
    <m/>
    <m/>
    <m/>
    <m/>
    <m/>
  </r>
  <r>
    <x v="17"/>
    <s v="Nordic Sun Danmark A/S"/>
    <m/>
    <x v="5"/>
    <x v="39"/>
    <x v="4"/>
    <s v="10 CT"/>
    <s v="470 Black"/>
    <m/>
    <m/>
    <m/>
    <m/>
    <m/>
    <m/>
    <n v="2"/>
    <n v="2"/>
    <m/>
    <m/>
    <m/>
    <m/>
    <m/>
    <m/>
  </r>
  <r>
    <x v="17"/>
    <s v="Rexel Sweden"/>
    <m/>
    <x v="1"/>
    <x v="18"/>
    <x v="8"/>
    <s v="Awaiting confirmation"/>
    <m/>
    <m/>
    <m/>
    <m/>
    <m/>
    <m/>
    <m/>
    <n v="0.8"/>
    <m/>
    <m/>
    <m/>
    <m/>
    <m/>
    <m/>
    <m/>
  </r>
  <r>
    <x v="17"/>
    <s v="Solar DK"/>
    <m/>
    <x v="1"/>
    <x v="8"/>
    <x v="1"/>
    <s v="New Dist 2 CT SPR Offer €0.13 - MPO now - Sending distribution contract"/>
    <m/>
    <m/>
    <m/>
    <m/>
    <m/>
    <m/>
    <m/>
    <n v="1.2"/>
    <m/>
    <m/>
    <m/>
    <m/>
    <m/>
    <m/>
    <m/>
  </r>
  <r>
    <x v="17"/>
    <s v="Rexel Sweden"/>
    <m/>
    <x v="4"/>
    <x v="10"/>
    <x v="4"/>
    <s v="3 Units - Asking price €14.000 to accept - Not accepted from me ---plus freight"/>
    <m/>
    <m/>
    <m/>
    <m/>
    <m/>
    <m/>
    <m/>
    <m/>
    <m/>
    <m/>
    <m/>
    <m/>
    <m/>
    <m/>
    <m/>
  </r>
  <r>
    <x v="17"/>
    <s v="Rexel Sweden"/>
    <m/>
    <x v="0"/>
    <x v="12"/>
    <x v="5"/>
    <s v="Offer BC delivered in Sept Q3"/>
    <s v="Offshore"/>
    <m/>
    <m/>
    <m/>
    <m/>
    <m/>
    <m/>
    <n v="1.6"/>
    <m/>
    <m/>
    <m/>
    <m/>
    <m/>
    <m/>
    <m/>
  </r>
  <r>
    <x v="17"/>
    <s v="Nordic Sun Danmark A/S"/>
    <m/>
    <x v="0"/>
    <x v="12"/>
    <x v="4"/>
    <s v="Offer BC delivered in Sept Q3 / Confirm WW 34"/>
    <s v="Offshore"/>
    <m/>
    <m/>
    <m/>
    <m/>
    <m/>
    <m/>
    <n v="2"/>
    <n v="2"/>
    <m/>
    <m/>
    <m/>
    <m/>
    <m/>
    <m/>
  </r>
  <r>
    <x v="17"/>
    <s v="nordic Sun Danmark A/S"/>
    <m/>
    <x v="2"/>
    <x v="40"/>
    <x v="3"/>
    <s v="Special SKU / short cable / HC connect"/>
    <s v="Offshore"/>
    <m/>
    <m/>
    <m/>
    <m/>
    <m/>
    <n v="10"/>
    <m/>
    <m/>
    <m/>
    <m/>
    <m/>
    <m/>
    <m/>
    <m/>
  </r>
  <r>
    <x v="17"/>
    <s v="Nordic Sun Danmark A/S"/>
    <m/>
    <x v="2"/>
    <x v="16"/>
    <x v="3"/>
    <s v="Special SKU / short cable / HC connect"/>
    <s v="Offshore"/>
    <m/>
    <m/>
    <m/>
    <m/>
    <m/>
    <n v="5"/>
    <m/>
    <m/>
    <m/>
    <m/>
    <m/>
    <m/>
    <m/>
    <m/>
  </r>
  <r>
    <x v="17"/>
    <s v="Sunny Future AB"/>
    <s v="Filip Abrahamsson"/>
    <x v="7"/>
    <x v="49"/>
    <x v="2"/>
    <s v="Upgrade to 485 or 480"/>
    <s v="EU"/>
    <m/>
    <n v="0.2"/>
    <m/>
    <m/>
    <m/>
    <m/>
    <m/>
    <m/>
    <m/>
    <m/>
    <m/>
    <m/>
    <m/>
    <m/>
  </r>
  <r>
    <x v="17"/>
    <s v="Pareto Alternative investments"/>
    <s v="Filip Abrahamsson"/>
    <x v="5"/>
    <x v="57"/>
    <x v="6"/>
    <s v="New C&amp;I Norway, compete with AIKO"/>
    <s v="Offshore"/>
    <m/>
    <m/>
    <m/>
    <m/>
    <m/>
    <n v="2"/>
    <m/>
    <m/>
    <m/>
    <m/>
    <m/>
    <m/>
    <m/>
    <m/>
  </r>
  <r>
    <x v="17"/>
    <s v="Nordic Sun Danmark A/S"/>
    <s v="Filip Abrahamsson"/>
    <x v="2"/>
    <x v="17"/>
    <x v="4"/>
    <s v="C&amp;I 10 Containers"/>
    <s v="Offshore"/>
    <n v="2"/>
    <m/>
    <m/>
    <m/>
    <m/>
    <m/>
    <m/>
    <m/>
    <m/>
    <m/>
    <m/>
    <m/>
    <m/>
    <m/>
  </r>
  <r>
    <x v="17"/>
    <s v="New Customer / Balance of others customers NO"/>
    <m/>
    <x v="2"/>
    <x v="14"/>
    <x v="5"/>
    <m/>
    <s v="Offshore"/>
    <n v="2.4"/>
    <m/>
    <m/>
    <m/>
    <m/>
    <m/>
    <m/>
    <m/>
    <m/>
    <m/>
    <m/>
    <m/>
    <m/>
    <m/>
  </r>
  <r>
    <x v="17"/>
    <s v="New Customer / Balance of others customers NO"/>
    <m/>
    <x v="2"/>
    <x v="15"/>
    <x v="5"/>
    <m/>
    <s v="Offshore"/>
    <n v="2"/>
    <m/>
    <m/>
    <m/>
    <m/>
    <m/>
    <m/>
    <m/>
    <m/>
    <m/>
    <m/>
    <m/>
    <m/>
    <m/>
  </r>
  <r>
    <x v="17"/>
    <s v="Rexel Sweden"/>
    <m/>
    <x v="2"/>
    <x v="14"/>
    <x v="3"/>
    <s v="Placement for Q2"/>
    <s v="EU"/>
    <m/>
    <n v="2"/>
    <n v="2"/>
    <m/>
    <n v="1"/>
    <n v="1"/>
    <m/>
    <m/>
    <m/>
    <m/>
    <m/>
    <m/>
    <m/>
    <m/>
  </r>
  <r>
    <x v="17"/>
    <s v="Rexel Sweden"/>
    <m/>
    <x v="2"/>
    <x v="15"/>
    <x v="2"/>
    <s v="Placement for Q2"/>
    <s v="EU"/>
    <m/>
    <m/>
    <m/>
    <m/>
    <n v="1"/>
    <m/>
    <m/>
    <m/>
    <m/>
    <m/>
    <m/>
    <m/>
    <m/>
    <m/>
  </r>
  <r>
    <x v="17"/>
    <s v="Rexel Sweden"/>
    <m/>
    <x v="4"/>
    <x v="7"/>
    <x v="3"/>
    <s v="14 Units - Tender - competition Shanghai ZOE ESS - €91 kWh"/>
    <m/>
    <m/>
    <m/>
    <m/>
    <m/>
    <m/>
    <m/>
    <m/>
    <m/>
    <m/>
    <m/>
    <m/>
    <m/>
    <m/>
    <m/>
  </r>
  <r>
    <x v="17"/>
    <s v="Rexel Sweden"/>
    <m/>
    <x v="2"/>
    <x v="17"/>
    <x v="3"/>
    <s v="Placement for Q2"/>
    <s v="EU"/>
    <m/>
    <n v="0.8"/>
    <m/>
    <n v="0.8"/>
    <m/>
    <m/>
    <m/>
    <m/>
    <m/>
    <m/>
    <m/>
    <m/>
    <m/>
    <m/>
  </r>
  <r>
    <x v="17"/>
    <s v="Nordic Sun Danmark A/S"/>
    <m/>
    <x v="1"/>
    <x v="8"/>
    <x v="6"/>
    <s v="Price ? €0.18 not compatible, DSB project - whitelist against DMEGC - Offer €0.135"/>
    <s v="Offshore"/>
    <m/>
    <m/>
    <n v="1"/>
    <n v="1"/>
    <n v="1"/>
    <m/>
    <m/>
    <m/>
    <m/>
    <m/>
    <m/>
    <m/>
    <m/>
    <m/>
  </r>
  <r>
    <x v="17"/>
    <s v="Rexel Sweden"/>
    <m/>
    <x v="2"/>
    <x v="16"/>
    <x v="6"/>
    <s v="C&amp;I Panatoni Warehouse PAN Nordic"/>
    <s v="EU"/>
    <m/>
    <m/>
    <m/>
    <n v="0.5"/>
    <n v="0.5"/>
    <n v="0.5"/>
    <m/>
    <m/>
    <m/>
    <m/>
    <m/>
    <m/>
    <m/>
    <m/>
  </r>
  <r>
    <x v="17"/>
    <s v="Rexel Sweden"/>
    <m/>
    <x v="1"/>
    <x v="1"/>
    <x v="6"/>
    <s v="Placement for Q3"/>
    <s v="EU"/>
    <m/>
    <m/>
    <m/>
    <n v="1"/>
    <m/>
    <n v="1"/>
    <m/>
    <m/>
    <m/>
    <m/>
    <m/>
    <m/>
    <m/>
    <m/>
  </r>
  <r>
    <x v="17"/>
    <s v="Nordic Sun Danmark A/S"/>
    <m/>
    <x v="8"/>
    <x v="58"/>
    <x v="0"/>
    <s v="C&amp;I GM Denmark"/>
    <s v="Offshore"/>
    <m/>
    <n v="3"/>
    <n v="3"/>
    <m/>
    <m/>
    <m/>
    <m/>
    <m/>
    <m/>
    <m/>
    <m/>
    <m/>
    <m/>
    <m/>
  </r>
  <r>
    <x v="17"/>
    <s v="Rexel Sweden"/>
    <m/>
    <x v="5"/>
    <x v="39"/>
    <x v="6"/>
    <s v="Offer €0.128"/>
    <s v="EU"/>
    <m/>
    <m/>
    <m/>
    <m/>
    <n v="1"/>
    <n v="1"/>
    <n v="1"/>
    <n v="1"/>
    <m/>
    <m/>
    <m/>
    <m/>
    <m/>
    <m/>
  </r>
  <r>
    <x v="17"/>
    <s v="Nordic Sun Danmark A/S"/>
    <m/>
    <x v="5"/>
    <x v="39"/>
    <x v="6"/>
    <s v="Offer €0.128"/>
    <s v="Offshore"/>
    <m/>
    <m/>
    <m/>
    <m/>
    <n v="1"/>
    <n v="1"/>
    <n v="1"/>
    <n v="1"/>
    <m/>
    <m/>
    <m/>
    <m/>
    <m/>
    <m/>
  </r>
  <r>
    <x v="17"/>
    <s v="Rexel Sweden"/>
    <m/>
    <x v="2"/>
    <x v="17"/>
    <x v="5"/>
    <m/>
    <s v="EU"/>
    <m/>
    <m/>
    <n v="0.4"/>
    <m/>
    <m/>
    <m/>
    <m/>
    <m/>
    <m/>
    <m/>
    <m/>
    <m/>
    <m/>
    <m/>
  </r>
  <r>
    <x v="17"/>
    <s v="Nordic Sun Danmark A/S"/>
    <m/>
    <x v="2"/>
    <x v="14"/>
    <x v="6"/>
    <s v="Placement for Q2"/>
    <s v="Offshore"/>
    <m/>
    <m/>
    <n v="2"/>
    <n v="2"/>
    <n v="2"/>
    <n v="2"/>
    <m/>
    <m/>
    <m/>
    <m/>
    <m/>
    <m/>
    <m/>
    <m/>
  </r>
  <r>
    <x v="17"/>
    <s v="Rexel Sweden"/>
    <m/>
    <x v="2"/>
    <x v="14"/>
    <x v="3"/>
    <s v="2 CT 455W - Price France."/>
    <m/>
    <m/>
    <m/>
    <m/>
    <m/>
    <m/>
    <m/>
    <m/>
    <m/>
    <m/>
    <m/>
    <m/>
    <m/>
    <m/>
    <m/>
  </r>
  <r>
    <x v="18"/>
    <s v="New customer"/>
    <m/>
    <x v="2"/>
    <x v="16"/>
    <x v="6"/>
    <s v="3 containers 1 project"/>
    <s v="Offshore"/>
    <m/>
    <m/>
    <m/>
    <m/>
    <m/>
    <m/>
    <m/>
    <n v="1.2"/>
    <m/>
    <m/>
    <m/>
    <m/>
    <m/>
    <m/>
  </r>
  <r>
    <x v="19"/>
    <s v="Eko-On"/>
    <m/>
    <x v="1"/>
    <x v="34"/>
    <x v="0"/>
    <s v="public tender, still waiting for respond "/>
    <s v="EU"/>
    <m/>
    <m/>
    <n v="1.4"/>
    <m/>
    <m/>
    <m/>
    <m/>
    <m/>
    <m/>
    <m/>
    <m/>
    <m/>
    <m/>
    <m/>
  </r>
  <r>
    <x v="19"/>
    <s v="Procarte"/>
    <m/>
    <x v="2"/>
    <x v="41"/>
    <x v="0"/>
    <s v="10-15mw waiting for confirmation "/>
    <s v="Offshore"/>
    <m/>
    <m/>
    <m/>
    <m/>
    <n v="5"/>
    <n v="5"/>
    <n v="5"/>
    <m/>
    <m/>
    <m/>
    <m/>
    <m/>
    <m/>
    <m/>
  </r>
  <r>
    <x v="19"/>
    <s v="Inplag"/>
    <m/>
    <x v="2"/>
    <x v="17"/>
    <x v="3"/>
    <s v="620W waiting for the building to be constructed_x000a_"/>
    <s v="Offshore"/>
    <m/>
    <n v="1"/>
    <m/>
    <m/>
    <m/>
    <n v="1"/>
    <m/>
    <m/>
    <m/>
    <m/>
    <m/>
    <m/>
    <m/>
    <m/>
  </r>
  <r>
    <x v="19"/>
    <s v="Inplag"/>
    <m/>
    <x v="2"/>
    <x v="17"/>
    <x v="3"/>
    <s v="620W waiting for the building to be constructed_x000a_"/>
    <s v="Offshore"/>
    <m/>
    <m/>
    <m/>
    <m/>
    <m/>
    <m/>
    <n v="4"/>
    <m/>
    <m/>
    <m/>
    <m/>
    <m/>
    <m/>
    <m/>
  </r>
  <r>
    <x v="19"/>
    <s v="Inplag"/>
    <m/>
    <x v="2"/>
    <x v="17"/>
    <x v="3"/>
    <s v="620W waiting for the building to be constructed_x000a_"/>
    <s v="Offshore"/>
    <m/>
    <m/>
    <m/>
    <m/>
    <m/>
    <m/>
    <n v="4"/>
    <m/>
    <m/>
    <m/>
    <m/>
    <m/>
    <m/>
    <m/>
  </r>
  <r>
    <x v="19"/>
    <s v="Inplag"/>
    <m/>
    <x v="2"/>
    <x v="17"/>
    <x v="0"/>
    <s v="Polish army project "/>
    <s v="Offshore"/>
    <m/>
    <m/>
    <m/>
    <m/>
    <m/>
    <n v="5.2"/>
    <m/>
    <m/>
    <m/>
    <m/>
    <m/>
    <m/>
    <m/>
    <m/>
  </r>
  <r>
    <x v="19"/>
    <s v="Inplag"/>
    <m/>
    <x v="8"/>
    <x v="58"/>
    <x v="0"/>
    <s v="98 mw start offering"/>
    <s v="Offshore"/>
    <m/>
    <m/>
    <m/>
    <m/>
    <m/>
    <n v="1"/>
    <m/>
    <m/>
    <m/>
    <m/>
    <m/>
    <m/>
    <m/>
    <m/>
  </r>
  <r>
    <x v="19"/>
    <s v="Greto"/>
    <m/>
    <x v="2"/>
    <x v="41"/>
    <x v="0"/>
    <s v="20mw project "/>
    <s v="Offshore"/>
    <m/>
    <m/>
    <m/>
    <m/>
    <m/>
    <m/>
    <n v="20"/>
    <m/>
    <m/>
    <m/>
    <m/>
    <m/>
    <m/>
    <m/>
  </r>
  <r>
    <x v="19"/>
    <s v="Inplag"/>
    <m/>
    <x v="2"/>
    <x v="17"/>
    <x v="6"/>
    <s v="start of offering  300 mw"/>
    <s v="Offshore"/>
    <m/>
    <m/>
    <m/>
    <m/>
    <m/>
    <n v="1"/>
    <m/>
    <m/>
    <m/>
    <m/>
    <m/>
    <m/>
    <m/>
    <m/>
  </r>
  <r>
    <x v="19"/>
    <s v="Inplag"/>
    <m/>
    <x v="2"/>
    <x v="17"/>
    <x v="6"/>
    <s v="start of offering  187 mw"/>
    <s v="Offshore"/>
    <m/>
    <m/>
    <m/>
    <m/>
    <m/>
    <n v="1"/>
    <m/>
    <m/>
    <m/>
    <m/>
    <m/>
    <m/>
    <m/>
    <m/>
  </r>
  <r>
    <x v="19"/>
    <s v="Procarte"/>
    <m/>
    <x v="2"/>
    <x v="2"/>
    <x v="1"/>
    <s v="100% confirmed"/>
    <s v="Offshore"/>
    <n v="6"/>
    <n v="6"/>
    <n v="6"/>
    <n v="4"/>
    <n v="4"/>
    <n v="4"/>
    <n v="5"/>
    <n v="5"/>
    <m/>
    <m/>
    <m/>
    <m/>
    <m/>
    <m/>
  </r>
  <r>
    <x v="19"/>
    <s v="Energynat"/>
    <m/>
    <x v="2"/>
    <x v="2"/>
    <x v="1"/>
    <s v="Waiting for answer, distribution politic issue"/>
    <s v="Offshore"/>
    <n v="5.2"/>
    <n v="5.2"/>
    <n v="7.8"/>
    <n v="4"/>
    <n v="4"/>
    <n v="4"/>
    <n v="4"/>
    <n v="4"/>
    <m/>
    <m/>
    <m/>
    <m/>
    <m/>
    <m/>
  </r>
  <r>
    <x v="19"/>
    <s v="Inplag"/>
    <m/>
    <x v="2"/>
    <x v="5"/>
    <x v="0"/>
    <s v="Polish army project "/>
    <s v="Offshore"/>
    <m/>
    <m/>
    <m/>
    <m/>
    <m/>
    <n v="0.7"/>
    <m/>
    <m/>
    <m/>
    <m/>
    <m/>
    <m/>
    <m/>
    <m/>
  </r>
  <r>
    <x v="19"/>
    <s v="OEM Energy"/>
    <m/>
    <x v="1"/>
    <x v="8"/>
    <x v="0"/>
    <s v="3MW - CIF Gdansk"/>
    <s v="Offshore"/>
    <m/>
    <m/>
    <m/>
    <m/>
    <n v="3"/>
    <m/>
    <m/>
    <m/>
    <m/>
    <m/>
    <m/>
    <m/>
    <m/>
    <m/>
  </r>
  <r>
    <x v="20"/>
    <s v="CRC Energy"/>
    <m/>
    <x v="5"/>
    <x v="57"/>
    <x v="0"/>
    <s v="2,6MW of 640W, CIP Romania"/>
    <s v="EU"/>
    <m/>
    <m/>
    <m/>
    <n v="2.6"/>
    <m/>
    <m/>
    <m/>
    <m/>
    <m/>
    <m/>
    <m/>
    <m/>
    <m/>
    <m/>
  </r>
  <r>
    <x v="20"/>
    <s v="Wiren"/>
    <m/>
    <x v="1"/>
    <x v="8"/>
    <x v="5"/>
    <s v="3,5MW "/>
    <s v="EU"/>
    <m/>
    <n v="3.5"/>
    <m/>
    <m/>
    <m/>
    <m/>
    <m/>
    <m/>
    <m/>
    <m/>
    <m/>
    <m/>
    <m/>
    <m/>
  </r>
  <r>
    <x v="21"/>
    <s v="Spectrum Solar"/>
    <m/>
    <x v="2"/>
    <x v="40"/>
    <x v="3"/>
    <s v="small projects of 450 kW"/>
    <s v="Offshore"/>
    <m/>
    <m/>
    <m/>
    <m/>
    <m/>
    <m/>
    <m/>
    <n v="8"/>
    <m/>
    <m/>
    <m/>
    <m/>
    <m/>
    <m/>
  </r>
  <r>
    <x v="21"/>
    <s v="Eventus Energy"/>
    <m/>
    <x v="2"/>
    <x v="4"/>
    <x v="0"/>
    <s v="2MW project - early stage - 720W BF DG - planned for end of 2026 or beginning of 2027"/>
    <s v="Offshore"/>
    <m/>
    <m/>
    <m/>
    <m/>
    <m/>
    <m/>
    <m/>
    <n v="2"/>
    <m/>
    <m/>
    <m/>
    <m/>
    <m/>
    <m/>
  </r>
  <r>
    <x v="21"/>
    <s v="Innovagrid"/>
    <m/>
    <x v="2"/>
    <x v="40"/>
    <x v="3"/>
    <s v="8 MW CIF Thessaloniki"/>
    <s v="Offshore"/>
    <m/>
    <m/>
    <m/>
    <m/>
    <m/>
    <m/>
    <m/>
    <n v="8"/>
    <m/>
    <m/>
    <m/>
    <m/>
    <m/>
    <m/>
  </r>
  <r>
    <x v="22"/>
    <s v="Balance of Customers"/>
    <m/>
    <x v="6"/>
    <x v="23"/>
    <x v="1"/>
    <m/>
    <s v="EU"/>
    <n v="20"/>
    <m/>
    <n v="25"/>
    <n v="30"/>
    <n v="10"/>
    <n v="25"/>
    <n v="25"/>
    <n v="25"/>
    <n v="10"/>
    <m/>
    <m/>
    <m/>
    <m/>
    <m/>
  </r>
  <r>
    <x v="22"/>
    <s v="Suministros Orduña S.L."/>
    <m/>
    <x v="5"/>
    <x v="53"/>
    <x v="3"/>
    <m/>
    <s v="Offshore"/>
    <n v="1"/>
    <m/>
    <m/>
    <m/>
    <m/>
    <m/>
    <m/>
    <m/>
    <n v="0.4"/>
    <m/>
    <m/>
    <m/>
    <m/>
    <m/>
  </r>
  <r>
    <x v="22"/>
    <s v="Auna"/>
    <m/>
    <x v="5"/>
    <x v="9"/>
    <x v="3"/>
    <m/>
    <s v="Offshore"/>
    <m/>
    <m/>
    <m/>
    <n v="1.6"/>
    <m/>
    <n v="0.4"/>
    <n v="0.4"/>
    <n v="0.4"/>
    <n v="0.4"/>
    <m/>
    <m/>
    <m/>
    <m/>
    <m/>
  </r>
  <r>
    <x v="22"/>
    <s v="Auna"/>
    <m/>
    <x v="5"/>
    <x v="13"/>
    <x v="3"/>
    <m/>
    <s v="Offshore"/>
    <m/>
    <n v="0.4"/>
    <n v="0.4"/>
    <n v="0.4"/>
    <m/>
    <n v="0.4"/>
    <m/>
    <m/>
    <m/>
    <m/>
    <m/>
    <m/>
    <m/>
    <m/>
  </r>
  <r>
    <x v="22"/>
    <s v="Coelca"/>
    <m/>
    <x v="5"/>
    <x v="9"/>
    <x v="1"/>
    <m/>
    <s v="EU"/>
    <m/>
    <m/>
    <m/>
    <m/>
    <m/>
    <n v="0.4"/>
    <m/>
    <n v="0.4"/>
    <m/>
    <m/>
    <m/>
    <m/>
    <m/>
    <m/>
  </r>
  <r>
    <x v="22"/>
    <s v="Coelca"/>
    <m/>
    <x v="2"/>
    <x v="15"/>
    <x v="1"/>
    <m/>
    <s v="EU"/>
    <m/>
    <m/>
    <m/>
    <m/>
    <m/>
    <m/>
    <n v="0.4"/>
    <m/>
    <m/>
    <m/>
    <m/>
    <m/>
    <m/>
    <m/>
  </r>
  <r>
    <x v="22"/>
    <s v="Coelca"/>
    <m/>
    <x v="5"/>
    <x v="13"/>
    <x v="4"/>
    <m/>
    <m/>
    <m/>
    <m/>
    <m/>
    <m/>
    <m/>
    <n v="0.4"/>
    <m/>
    <m/>
    <n v="0.4"/>
    <m/>
    <m/>
    <m/>
    <m/>
    <m/>
  </r>
  <r>
    <x v="22"/>
    <s v="Global Renovables"/>
    <m/>
    <x v="5"/>
    <x v="9"/>
    <x v="3"/>
    <m/>
    <m/>
    <m/>
    <m/>
    <m/>
    <m/>
    <m/>
    <n v="0.4"/>
    <m/>
    <m/>
    <m/>
    <m/>
    <m/>
    <m/>
    <m/>
    <m/>
  </r>
  <r>
    <x v="22"/>
    <s v="Global Renovables"/>
    <m/>
    <x v="2"/>
    <x v="15"/>
    <x v="3"/>
    <m/>
    <m/>
    <m/>
    <m/>
    <m/>
    <m/>
    <m/>
    <n v="0.4"/>
    <m/>
    <m/>
    <m/>
    <m/>
    <m/>
    <m/>
    <m/>
    <m/>
  </r>
  <r>
    <x v="22"/>
    <s v="Segui clima (Auna)"/>
    <m/>
    <x v="2"/>
    <x v="15"/>
    <x v="3"/>
    <m/>
    <m/>
    <m/>
    <m/>
    <m/>
    <m/>
    <n v="0.4"/>
    <m/>
    <m/>
    <m/>
    <m/>
    <m/>
    <m/>
    <m/>
    <m/>
    <m/>
  </r>
  <r>
    <x v="22"/>
    <s v="Segui clima (Auna)"/>
    <m/>
    <x v="2"/>
    <x v="16"/>
    <x v="3"/>
    <m/>
    <m/>
    <m/>
    <m/>
    <m/>
    <m/>
    <m/>
    <m/>
    <n v="0.4"/>
    <n v="0.8"/>
    <n v="0.4"/>
    <m/>
    <m/>
    <m/>
    <m/>
    <m/>
  </r>
  <r>
    <x v="22"/>
    <s v="Yomatec"/>
    <m/>
    <x v="5"/>
    <x v="9"/>
    <x v="8"/>
    <m/>
    <m/>
    <m/>
    <m/>
    <m/>
    <m/>
    <m/>
    <m/>
    <n v="0.4"/>
    <m/>
    <m/>
    <m/>
    <m/>
    <m/>
    <m/>
    <m/>
  </r>
  <r>
    <x v="22"/>
    <s v="Yomatec"/>
    <m/>
    <x v="2"/>
    <x v="16"/>
    <x v="8"/>
    <m/>
    <m/>
    <m/>
    <m/>
    <m/>
    <m/>
    <m/>
    <m/>
    <n v="0.4"/>
    <m/>
    <m/>
    <m/>
    <m/>
    <m/>
    <m/>
    <m/>
  </r>
  <r>
    <x v="22"/>
    <s v="ESR"/>
    <m/>
    <x v="5"/>
    <x v="53"/>
    <x v="1"/>
    <m/>
    <m/>
    <m/>
    <m/>
    <m/>
    <m/>
    <m/>
    <m/>
    <n v="1.6"/>
    <m/>
    <n v="0.8"/>
    <m/>
    <m/>
    <m/>
    <m/>
    <m/>
  </r>
  <r>
    <x v="22"/>
    <s v="Almacen Fotovoltaico"/>
    <m/>
    <x v="5"/>
    <x v="13"/>
    <x v="4"/>
    <m/>
    <m/>
    <m/>
    <m/>
    <m/>
    <m/>
    <m/>
    <m/>
    <m/>
    <n v="0.4"/>
    <m/>
    <m/>
    <m/>
    <m/>
    <m/>
    <m/>
  </r>
  <r>
    <x v="22"/>
    <s v="Almacen Fotovoltaico"/>
    <m/>
    <x v="5"/>
    <x v="9"/>
    <x v="3"/>
    <m/>
    <m/>
    <m/>
    <m/>
    <m/>
    <m/>
    <m/>
    <n v="0.8"/>
    <m/>
    <n v="0.4"/>
    <m/>
    <m/>
    <m/>
    <m/>
    <m/>
    <m/>
  </r>
  <r>
    <x v="22"/>
    <s v="Balance of Customers"/>
    <m/>
    <x v="13"/>
    <x v="59"/>
    <x v="0"/>
    <m/>
    <s v="EU"/>
    <m/>
    <m/>
    <m/>
    <m/>
    <m/>
    <m/>
    <m/>
    <n v="20"/>
    <n v="60"/>
    <m/>
    <m/>
    <m/>
    <m/>
    <m/>
  </r>
  <r>
    <x v="22"/>
    <s v="Balance of Customers"/>
    <m/>
    <x v="13"/>
    <x v="60"/>
    <x v="0"/>
    <m/>
    <s v="EU"/>
    <m/>
    <m/>
    <m/>
    <m/>
    <m/>
    <m/>
    <m/>
    <n v="2"/>
    <n v="6"/>
    <m/>
    <m/>
    <m/>
    <m/>
    <m/>
  </r>
  <r>
    <x v="22"/>
    <s v="Suministros Orduña S.L."/>
    <m/>
    <x v="5"/>
    <x v="9"/>
    <x v="1"/>
    <m/>
    <s v="Offshore"/>
    <m/>
    <n v="0.4"/>
    <m/>
    <m/>
    <m/>
    <n v="0.8"/>
    <m/>
    <n v="0.8"/>
    <m/>
    <m/>
    <m/>
    <m/>
    <m/>
    <m/>
  </r>
  <r>
    <x v="22"/>
    <s v="Balance of Customers"/>
    <m/>
    <x v="4"/>
    <x v="10"/>
    <x v="4"/>
    <m/>
    <s v="EU"/>
    <m/>
    <m/>
    <m/>
    <m/>
    <m/>
    <n v="4"/>
    <n v="12"/>
    <n v="12"/>
    <n v="4"/>
    <m/>
    <m/>
    <m/>
    <m/>
    <m/>
  </r>
  <r>
    <x v="22"/>
    <s v="LM Eight Solar Renewables Energies S.L."/>
    <m/>
    <x v="0"/>
    <x v="19"/>
    <x v="1"/>
    <m/>
    <s v="Offshore"/>
    <m/>
    <m/>
    <n v="0.8"/>
    <m/>
    <m/>
    <n v="0.4"/>
    <n v="0.8"/>
    <n v="0.8"/>
    <m/>
    <m/>
    <m/>
    <m/>
    <m/>
    <m/>
  </r>
  <r>
    <x v="22"/>
    <s v="LM Eight Solar Renewables Energies S.L."/>
    <m/>
    <x v="5"/>
    <x v="9"/>
    <x v="4"/>
    <m/>
    <s v="Offshore"/>
    <m/>
    <m/>
    <n v="1"/>
    <m/>
    <m/>
    <n v="1.6"/>
    <m/>
    <n v="1.2"/>
    <n v="0.8"/>
    <m/>
    <m/>
    <m/>
    <m/>
    <m/>
  </r>
  <r>
    <x v="22"/>
    <s v="Balance of Customers"/>
    <m/>
    <x v="6"/>
    <x v="50"/>
    <x v="1"/>
    <m/>
    <s v="EU"/>
    <n v="20"/>
    <m/>
    <n v="15"/>
    <n v="20"/>
    <n v="5"/>
    <n v="15"/>
    <n v="15"/>
    <n v="15"/>
    <n v="5"/>
    <m/>
    <m/>
    <m/>
    <m/>
    <m/>
  </r>
  <r>
    <x v="22"/>
    <s v="Balance of Customers"/>
    <m/>
    <x v="6"/>
    <x v="61"/>
    <x v="1"/>
    <m/>
    <s v="EU"/>
    <n v="20"/>
    <m/>
    <n v="20"/>
    <n v="20"/>
    <n v="20"/>
    <n v="30"/>
    <n v="35"/>
    <n v="35"/>
    <n v="15"/>
    <m/>
    <m/>
    <m/>
    <m/>
    <m/>
  </r>
  <r>
    <x v="22"/>
    <s v="New Customer / Balance of others customers ES"/>
    <m/>
    <x v="3"/>
    <x v="6"/>
    <x v="1"/>
    <m/>
    <s v="EU"/>
    <n v="0.25"/>
    <m/>
    <m/>
    <n v="0.1"/>
    <n v="0.1"/>
    <n v="0.2"/>
    <m/>
    <m/>
    <n v="0.2"/>
    <m/>
    <m/>
    <m/>
    <m/>
    <m/>
  </r>
  <r>
    <x v="22"/>
    <s v="New Customer / Balance of others customers ES"/>
    <m/>
    <x v="3"/>
    <x v="35"/>
    <x v="4"/>
    <s v="Black Frame"/>
    <s v="EU"/>
    <m/>
    <m/>
    <m/>
    <m/>
    <m/>
    <m/>
    <m/>
    <m/>
    <m/>
    <m/>
    <m/>
    <m/>
    <m/>
    <m/>
  </r>
  <r>
    <x v="22"/>
    <s v="New Customer / Balance of others customers ES"/>
    <m/>
    <x v="1"/>
    <x v="18"/>
    <x v="1"/>
    <m/>
    <s v="EU"/>
    <n v="0"/>
    <n v="0.8"/>
    <n v="1.2"/>
    <n v="0.8"/>
    <n v="0.4"/>
    <n v="1.2"/>
    <n v="1.2"/>
    <n v="1.2"/>
    <n v="0.4"/>
    <m/>
    <m/>
    <m/>
    <m/>
    <m/>
  </r>
  <r>
    <x v="22"/>
    <s v="New Customer / Balance of others customers ES"/>
    <m/>
    <x v="1"/>
    <x v="34"/>
    <x v="1"/>
    <m/>
    <s v="EU"/>
    <n v="0.4"/>
    <n v="1"/>
    <n v="1"/>
    <n v="1.2"/>
    <n v="0.4"/>
    <n v="1"/>
    <n v="1.2"/>
    <n v="2"/>
    <n v="1.2"/>
    <m/>
    <m/>
    <m/>
    <m/>
    <m/>
  </r>
  <r>
    <x v="22"/>
    <s v="New Customer / Balance of others customers ES"/>
    <m/>
    <x v="1"/>
    <x v="1"/>
    <x v="1"/>
    <m/>
    <s v="EU"/>
    <n v="0.4"/>
    <n v="0.4"/>
    <n v="0.4"/>
    <n v="0.4"/>
    <m/>
    <n v="0.8"/>
    <n v="0.4"/>
    <n v="0.4"/>
    <n v="0.4"/>
    <m/>
    <m/>
    <m/>
    <m/>
    <m/>
  </r>
  <r>
    <x v="22"/>
    <s v="New Customer / Balance of others customers ES"/>
    <m/>
    <x v="5"/>
    <x v="13"/>
    <x v="1"/>
    <m/>
    <s v="Offshore"/>
    <n v="2"/>
    <n v="1"/>
    <n v="2"/>
    <n v="1.7"/>
    <m/>
    <m/>
    <m/>
    <m/>
    <m/>
    <m/>
    <m/>
    <m/>
    <m/>
    <m/>
  </r>
  <r>
    <x v="22"/>
    <s v="New Customer / Balance of others customers ES"/>
    <m/>
    <x v="5"/>
    <x v="9"/>
    <x v="1"/>
    <m/>
    <s v="Offshore"/>
    <m/>
    <m/>
    <n v="4"/>
    <m/>
    <m/>
    <m/>
    <m/>
    <m/>
    <m/>
    <m/>
    <m/>
    <m/>
    <m/>
    <m/>
  </r>
  <r>
    <x v="22"/>
    <s v="New Customer / Balance of others customers ES"/>
    <m/>
    <x v="5"/>
    <x v="53"/>
    <x v="1"/>
    <m/>
    <s v="Offshore"/>
    <m/>
    <m/>
    <n v="0.8"/>
    <n v="0.8"/>
    <m/>
    <m/>
    <m/>
    <m/>
    <m/>
    <m/>
    <m/>
    <m/>
    <m/>
    <m/>
  </r>
  <r>
    <x v="22"/>
    <s v="New Customer / Balance of others customers ES"/>
    <m/>
    <x v="2"/>
    <x v="15"/>
    <x v="1"/>
    <m/>
    <s v="Offshore"/>
    <n v="1"/>
    <m/>
    <m/>
    <m/>
    <m/>
    <m/>
    <m/>
    <m/>
    <m/>
    <m/>
    <m/>
    <m/>
    <m/>
    <m/>
  </r>
  <r>
    <x v="22"/>
    <s v="New Customer / Balance of others customers ES"/>
    <m/>
    <x v="2"/>
    <x v="40"/>
    <x v="1"/>
    <m/>
    <s v="Offshore"/>
    <n v="2"/>
    <n v="1"/>
    <m/>
    <m/>
    <m/>
    <m/>
    <m/>
    <m/>
    <m/>
    <m/>
    <m/>
    <m/>
    <m/>
    <m/>
  </r>
  <r>
    <x v="22"/>
    <s v="New Customer / Balance of others customers ES"/>
    <m/>
    <x v="0"/>
    <x v="12"/>
    <x v="1"/>
    <m/>
    <s v="Offshore"/>
    <m/>
    <n v="2"/>
    <m/>
    <n v="0.8"/>
    <m/>
    <m/>
    <m/>
    <m/>
    <m/>
    <m/>
    <m/>
    <m/>
    <m/>
    <m/>
  </r>
  <r>
    <x v="22"/>
    <s v="New Customer / Balance of others customers ES"/>
    <m/>
    <x v="0"/>
    <x v="19"/>
    <x v="1"/>
    <m/>
    <s v="Offshore"/>
    <m/>
    <n v="1"/>
    <m/>
    <m/>
    <m/>
    <m/>
    <m/>
    <m/>
    <m/>
    <m/>
    <m/>
    <m/>
    <m/>
    <m/>
  </r>
  <r>
    <x v="22"/>
    <s v="New Customer / Balance of others customers ES"/>
    <m/>
    <x v="2"/>
    <x v="41"/>
    <x v="1"/>
    <s v="725-730"/>
    <s v="EU"/>
    <m/>
    <m/>
    <m/>
    <m/>
    <m/>
    <m/>
    <n v="3.4"/>
    <n v="5"/>
    <n v="1.2"/>
    <m/>
    <m/>
    <m/>
    <m/>
    <m/>
  </r>
  <r>
    <x v="22"/>
    <s v="LM Eight Solar Renewables Energies S.L."/>
    <m/>
    <x v="5"/>
    <x v="13"/>
    <x v="4"/>
    <m/>
    <s v="Offshore"/>
    <n v="2"/>
    <m/>
    <m/>
    <m/>
    <m/>
    <n v="0.8"/>
    <m/>
    <m/>
    <m/>
    <m/>
    <m/>
    <m/>
    <m/>
    <m/>
  </r>
  <r>
    <x v="22"/>
    <s v="LM Eight Solar Renewables Energies S.L."/>
    <m/>
    <x v="5"/>
    <x v="62"/>
    <x v="4"/>
    <m/>
    <s v="Offshore"/>
    <m/>
    <n v="2"/>
    <m/>
    <m/>
    <m/>
    <m/>
    <m/>
    <m/>
    <m/>
    <m/>
    <m/>
    <m/>
    <m/>
    <m/>
  </r>
  <r>
    <x v="22"/>
    <s v="LM Eight Solar Renewables Energies S.L."/>
    <m/>
    <x v="2"/>
    <x v="15"/>
    <x v="4"/>
    <m/>
    <s v="Offshore"/>
    <m/>
    <m/>
    <m/>
    <m/>
    <m/>
    <n v="0.8"/>
    <m/>
    <m/>
    <m/>
    <m/>
    <m/>
    <m/>
    <m/>
    <m/>
  </r>
  <r>
    <x v="22"/>
    <s v="Balance of Customers"/>
    <m/>
    <x v="4"/>
    <x v="7"/>
    <x v="4"/>
    <m/>
    <s v="EU"/>
    <m/>
    <m/>
    <m/>
    <m/>
    <m/>
    <m/>
    <n v="2"/>
    <n v="4"/>
    <n v="4"/>
    <m/>
    <m/>
    <m/>
    <m/>
    <m/>
  </r>
  <r>
    <x v="23"/>
    <s v="AES Limited"/>
    <s v="Jon Juxon"/>
    <x v="3"/>
    <x v="6"/>
    <x v="0"/>
    <s v="Long-standing, loyal SunPower Partner with decent run-rate on P7"/>
    <s v="EU"/>
    <n v="8.5000000000000006E-2"/>
    <n v="8.5000000000000006E-2"/>
    <n v="8.5000000000000006E-2"/>
    <m/>
    <m/>
    <m/>
    <m/>
    <n v="7.1999999999999995E-2"/>
    <n v="7.1999999999999995E-2"/>
    <m/>
    <m/>
    <m/>
    <m/>
    <m/>
  </r>
  <r>
    <x v="23"/>
    <s v="Oxford Solar PV"/>
    <s v="Jon Juxon"/>
    <x v="1"/>
    <x v="1"/>
    <x v="3"/>
    <s v="Business (TCL SunPower) unsure if it can supply; quoting COM projects, directing to Bimble"/>
    <s v="EU"/>
    <n v="0"/>
    <n v="0"/>
    <n v="0.14499999999999999"/>
    <n v="0"/>
    <n v="0.1"/>
    <n v="0"/>
    <n v="0"/>
    <n v="0.15"/>
    <n v="0.05"/>
    <m/>
    <m/>
    <m/>
    <m/>
    <m/>
  </r>
  <r>
    <x v="23"/>
    <s v="NEw Customer / Balance of others customers UK"/>
    <s v="Matt "/>
    <x v="5"/>
    <x v="11"/>
    <x v="3"/>
    <s v="Links Electrical  needs to be 470wp"/>
    <s v="EU"/>
    <m/>
    <m/>
    <m/>
    <n v="0.879"/>
    <n v="0.879"/>
    <n v="0.879"/>
    <m/>
    <m/>
    <m/>
    <m/>
    <m/>
    <m/>
    <m/>
    <m/>
  </r>
  <r>
    <x v="23"/>
    <s v="New Customer / Balance of others customers UK"/>
    <s v="Matt "/>
    <x v="2"/>
    <x v="16"/>
    <x v="3"/>
    <s v="UK Greentech - Rugby Branch"/>
    <s v="EU"/>
    <m/>
    <m/>
    <m/>
    <n v="0.45"/>
    <n v="0.45"/>
    <n v="0.9"/>
    <m/>
    <m/>
    <m/>
    <m/>
    <m/>
    <m/>
    <m/>
    <m/>
  </r>
  <r>
    <x v="23"/>
    <s v="New Customer / Balance of others customers UK"/>
    <s v="Matt "/>
    <x v="2"/>
    <x v="16"/>
    <x v="2"/>
    <s v="Alternergy ASAP"/>
    <s v="EU"/>
    <m/>
    <n v="0.45"/>
    <m/>
    <m/>
    <m/>
    <m/>
    <m/>
    <m/>
    <m/>
    <m/>
    <m/>
    <m/>
    <m/>
    <m/>
  </r>
  <r>
    <x v="23"/>
    <s v="New Customer / Balance of others customers UK"/>
    <s v="Matt "/>
    <x v="2"/>
    <x v="17"/>
    <x v="2"/>
    <s v="UK Greentech - Rugby Branch"/>
    <s v="EU"/>
    <m/>
    <n v="2.6779999999999999"/>
    <m/>
    <m/>
    <m/>
    <m/>
    <m/>
    <m/>
    <m/>
    <m/>
    <m/>
    <m/>
    <m/>
    <m/>
  </r>
  <r>
    <x v="23"/>
    <s v="New Customer / Balance of others customers UK"/>
    <s v="Matt "/>
    <x v="2"/>
    <x v="15"/>
    <x v="2"/>
    <s v="Alternergy "/>
    <s v="EU"/>
    <m/>
    <n v="1.3080000000000001"/>
    <m/>
    <m/>
    <m/>
    <m/>
    <m/>
    <m/>
    <m/>
    <m/>
    <m/>
    <m/>
    <m/>
    <m/>
  </r>
  <r>
    <x v="23"/>
    <s v="New Customer / Balance of others customers UK"/>
    <s v="Matt "/>
    <x v="2"/>
    <x v="5"/>
    <x v="3"/>
    <s v="Swanson new customer for May and June "/>
    <s v="EU"/>
    <m/>
    <n v="0.42099999999999999"/>
    <n v="0.42099999999999999"/>
    <m/>
    <m/>
    <m/>
    <m/>
    <m/>
    <m/>
    <m/>
    <m/>
    <m/>
    <m/>
    <m/>
  </r>
  <r>
    <x v="23"/>
    <s v="New Customer / Balance of others customers UK"/>
    <s v="Matt "/>
    <x v="2"/>
    <x v="5"/>
    <x v="2"/>
    <s v="Links Electrical"/>
    <s v="EU"/>
    <m/>
    <n v="0.84199999999999997"/>
    <n v="0.84199999999999997"/>
    <n v="0.84199999999999997"/>
    <n v="0.84199999999999997"/>
    <n v="0.84199999999999997"/>
    <n v="0.84199999999999997"/>
    <n v="0.42099999999999999"/>
    <m/>
    <m/>
    <m/>
    <m/>
    <m/>
    <m/>
  </r>
  <r>
    <x v="23"/>
    <s v="New Customer / Balance of others customers UK"/>
    <s v="Matt "/>
    <x v="8"/>
    <x v="51"/>
    <x v="2"/>
    <s v="Alternergy  2 containers May 1 x container June"/>
    <s v="EU"/>
    <m/>
    <n v="1.218"/>
    <m/>
    <m/>
    <m/>
    <m/>
    <m/>
    <m/>
    <m/>
    <m/>
    <m/>
    <m/>
    <m/>
    <m/>
  </r>
  <r>
    <x v="23"/>
    <s v="New Customer / Balance of others customers UK"/>
    <s v="Matt "/>
    <x v="0"/>
    <x v="12"/>
    <x v="3"/>
    <s v="Needs to be BC 485/490wp (Alternergy)"/>
    <s v="EU"/>
    <m/>
    <m/>
    <m/>
    <m/>
    <n v="0.439"/>
    <n v="0.439"/>
    <m/>
    <m/>
    <m/>
    <m/>
    <m/>
    <m/>
    <m/>
    <m/>
  </r>
  <r>
    <x v="23"/>
    <s v="New Customer / Balance of others customers UK"/>
    <s v="Matt "/>
    <x v="4"/>
    <x v="10"/>
    <x v="0"/>
    <s v="Links electrical- presented X5 to customer, for feedback "/>
    <s v="EU"/>
    <m/>
    <m/>
    <m/>
    <m/>
    <m/>
    <m/>
    <m/>
    <m/>
    <m/>
    <m/>
    <m/>
    <m/>
    <m/>
    <m/>
  </r>
  <r>
    <x v="23"/>
    <s v="New Customer / Balance of others customers UK"/>
    <s v="Matt "/>
    <x v="0"/>
    <x v="12"/>
    <x v="3"/>
    <s v="Needs to be BC 485/490wp (Segen UK)"/>
    <s v="EU"/>
    <m/>
    <m/>
    <n v="4"/>
    <n v="16"/>
    <n v="0.94199999999999995"/>
    <n v="0.94199999999999995"/>
    <m/>
    <m/>
    <m/>
    <m/>
    <m/>
    <m/>
    <m/>
    <m/>
  </r>
  <r>
    <x v="23"/>
    <s v="New Customer / Balance of others customers UK"/>
    <s v="Matt "/>
    <x v="0"/>
    <x v="12"/>
    <x v="3"/>
    <s v="Needs to be BC 485/490wp (Swanson)"/>
    <s v="EU"/>
    <m/>
    <m/>
    <m/>
    <n v="0.439"/>
    <n v="0.439"/>
    <n v="0.439"/>
    <m/>
    <m/>
    <m/>
    <m/>
    <m/>
    <m/>
    <m/>
    <m/>
  </r>
  <r>
    <x v="23"/>
    <s v="New Customer / Balance of others customers UK"/>
    <s v="Matt "/>
    <x v="0"/>
    <x v="12"/>
    <x v="3"/>
    <s v="Swanson new customer 485wp/490wp only "/>
    <s v="EU"/>
    <m/>
    <m/>
    <m/>
    <m/>
    <n v="0.439"/>
    <n v="0.439"/>
    <m/>
    <m/>
    <m/>
    <m/>
    <m/>
    <m/>
    <m/>
    <m/>
  </r>
  <r>
    <x v="23"/>
    <s v="New Customer / Balance of others customers UK"/>
    <s v="Nicholas Paget"/>
    <x v="0"/>
    <x v="12"/>
    <x v="3"/>
    <s v="Encouraging discussions with Midsummer"/>
    <s v="EU"/>
    <m/>
    <m/>
    <m/>
    <m/>
    <m/>
    <m/>
    <m/>
    <m/>
    <m/>
    <m/>
    <m/>
    <m/>
    <m/>
    <m/>
  </r>
  <r>
    <x v="23"/>
    <s v="New Customer / Balance of others customers UK"/>
    <s v="ESS"/>
    <x v="6"/>
    <x v="30"/>
    <x v="6"/>
    <s v="Additional 2 5KWH per 10kW unit"/>
    <s v="EU"/>
    <m/>
    <m/>
    <m/>
    <m/>
    <m/>
    <n v="4"/>
    <n v="10"/>
    <n v="10"/>
    <n v="2"/>
    <m/>
    <m/>
    <m/>
    <m/>
    <m/>
  </r>
  <r>
    <x v="23"/>
    <s v="New Customer / Balance of others customers UK"/>
    <s v="ESS"/>
    <x v="6"/>
    <x v="50"/>
    <x v="6"/>
    <s v="Assumed % of Total 30%"/>
    <s v="EU"/>
    <m/>
    <m/>
    <m/>
    <m/>
    <m/>
    <m/>
    <n v="8"/>
    <n v="10"/>
    <n v="3"/>
    <m/>
    <m/>
    <m/>
    <m/>
    <m/>
  </r>
  <r>
    <x v="23"/>
    <s v="New Customer / Balance of others customers UK"/>
    <s v="ESS"/>
    <x v="6"/>
    <x v="63"/>
    <x v="6"/>
    <s v="Assumed % of Total 50%"/>
    <s v="EU"/>
    <m/>
    <m/>
    <m/>
    <m/>
    <m/>
    <n v="2"/>
    <n v="8"/>
    <n v="10"/>
    <n v="3"/>
    <m/>
    <m/>
    <m/>
    <m/>
    <m/>
  </r>
  <r>
    <x v="23"/>
    <s v="New Customer / Balance of others customers UK"/>
    <s v="ESS"/>
    <x v="6"/>
    <x v="61"/>
    <x v="6"/>
    <s v="Assumed % of Total 10%"/>
    <s v="EU"/>
    <m/>
    <m/>
    <m/>
    <m/>
    <m/>
    <m/>
    <n v="5"/>
    <n v="5"/>
    <n v="1"/>
    <m/>
    <m/>
    <m/>
    <m/>
    <m/>
  </r>
  <r>
    <x v="23"/>
    <s v="Project Solar UK Ltd"/>
    <s v="Jon Juxon"/>
    <x v="2"/>
    <x v="15"/>
    <x v="2"/>
    <s v="Project Solar UK, 2yr agreement, 25 MW per year, 500-510w; own MCS-label"/>
    <s v="EU"/>
    <n v="0"/>
    <n v="1.75"/>
    <n v="3.5"/>
    <n v="2"/>
    <n v="2"/>
    <n v="3.5"/>
    <n v="2.6"/>
    <n v="2.6"/>
    <n v="2.6"/>
    <m/>
    <m/>
    <m/>
    <m/>
    <m/>
  </r>
  <r>
    <x v="23"/>
    <s v="New Customer / Balance of others customers UK"/>
    <s v="Nicholas Paget"/>
    <x v="1"/>
    <x v="18"/>
    <x v="5"/>
    <s v="Nick Balance of Customers"/>
    <s v="EU"/>
    <n v="7.4999999999999997E-2"/>
    <n v="7.4999999999999997E-2"/>
    <n v="7.4999999999999997E-2"/>
    <n v="7.4999999999999997E-2"/>
    <n v="7.4999999999999997E-2"/>
    <n v="7.4999999999999997E-2"/>
    <n v="7.4999999999999997E-2"/>
    <n v="7.4999999999999997E-2"/>
    <n v="7.4999999999999997E-2"/>
    <m/>
    <m/>
    <m/>
    <m/>
    <m/>
  </r>
  <r>
    <x v="23"/>
    <s v="Savent Solar Limited"/>
    <s v="Nicholas Paget"/>
    <x v="1"/>
    <x v="1"/>
    <x v="5"/>
    <m/>
    <s v="EU"/>
    <n v="3.2000000000000001E-2"/>
    <m/>
    <n v="3.3000000000000002E-2"/>
    <m/>
    <n v="3.3000000000000002E-2"/>
    <m/>
    <n v="3.3000000000000002E-2"/>
    <m/>
    <n v="3.3000000000000002E-2"/>
    <m/>
    <m/>
    <m/>
    <m/>
    <m/>
  </r>
  <r>
    <x v="23"/>
    <s v="Simple solar (SW) Ltd"/>
    <s v="Nicholas Paget"/>
    <x v="1"/>
    <x v="1"/>
    <x v="5"/>
    <m/>
    <s v="EU"/>
    <n v="1.6E-2"/>
    <n v="1.6E-2"/>
    <n v="1.6E-2"/>
    <n v="1.6E-2"/>
    <n v="1.6E-2"/>
    <n v="1.6E-2"/>
    <n v="1.6E-2"/>
    <n v="1.6E-2"/>
    <n v="1.6E-2"/>
    <m/>
    <m/>
    <m/>
    <m/>
    <m/>
  </r>
  <r>
    <x v="23"/>
    <s v="Western Counties Roofing Ltd"/>
    <s v="Nicholas Paget"/>
    <x v="5"/>
    <x v="11"/>
    <x v="3"/>
    <s v="FULLY RELIANT ON GSE/S4 TESTING "/>
    <s v="EU"/>
    <m/>
    <m/>
    <m/>
    <m/>
    <m/>
    <m/>
    <m/>
    <n v="0.82399999999999995"/>
    <n v="0.82399999999999995"/>
    <m/>
    <m/>
    <m/>
    <m/>
    <m/>
  </r>
  <r>
    <x v="23"/>
    <s v="UK Greentech"/>
    <s v="Nicholas Paget"/>
    <x v="2"/>
    <x v="64"/>
    <x v="0"/>
    <s v="Q3 Group Order Tendered - Assume CiF if DDP Q4"/>
    <s v="EU"/>
    <m/>
    <m/>
    <m/>
    <n v="11.5"/>
    <m/>
    <m/>
    <m/>
    <m/>
    <m/>
    <m/>
    <m/>
    <m/>
    <m/>
    <m/>
  </r>
  <r>
    <x v="23"/>
    <s v="UK Greentech"/>
    <s v="Nicholas Paget"/>
    <x v="2"/>
    <x v="2"/>
    <x v="1"/>
    <s v="Part of 12Ct offer "/>
    <s v="EU"/>
    <m/>
    <m/>
    <m/>
    <m/>
    <n v="2"/>
    <n v="2"/>
    <m/>
    <m/>
    <m/>
    <m/>
    <m/>
    <m/>
    <m/>
    <m/>
  </r>
  <r>
    <x v="23"/>
    <s v="UK Greentech"/>
    <s v="Matt "/>
    <x v="0"/>
    <x v="12"/>
    <x v="3"/>
    <s v="Forward orders "/>
    <s v="EU"/>
    <m/>
    <m/>
    <m/>
    <m/>
    <m/>
    <m/>
    <m/>
    <n v="4.5"/>
    <m/>
    <m/>
    <m/>
    <m/>
    <m/>
    <m/>
  </r>
  <r>
    <x v="23"/>
    <s v="UK Greentech"/>
    <s v="Nicholas Paget"/>
    <x v="0"/>
    <x v="12"/>
    <x v="2"/>
    <s v="Order placed assume Q3 peterborough (CiF) rest q4 (DDP)"/>
    <s v="EU"/>
    <m/>
    <m/>
    <m/>
    <n v="0.47099999999999997"/>
    <m/>
    <m/>
    <n v="5.2"/>
    <m/>
    <m/>
    <m/>
    <m/>
    <m/>
    <m/>
    <m/>
  </r>
  <r>
    <x v="23"/>
    <s v="The Little Green Energy Company Limited"/>
    <s v="Jon Juxon"/>
    <x v="3"/>
    <x v="6"/>
    <x v="0"/>
    <s v="Elite Partner, steady business across both RES &amp; COM"/>
    <s v="EU"/>
    <n v="0.13"/>
    <n v="0.13"/>
    <n v="0.13"/>
    <n v="0"/>
    <n v="0"/>
    <n v="0"/>
    <n v="0"/>
    <n v="0"/>
    <n v="0.14499999999999999"/>
    <m/>
    <m/>
    <m/>
    <m/>
    <m/>
  </r>
  <r>
    <x v="23"/>
    <s v="The Little Green Energy Company Limited"/>
    <s v="Jon Juxon"/>
    <x v="1"/>
    <x v="18"/>
    <x v="2"/>
    <s v="Elite Partner, steady business across both RES &amp; COM"/>
    <s v="EU"/>
    <n v="0.13"/>
    <n v="0.13"/>
    <n v="0.13"/>
    <n v="0.13"/>
    <n v="0.13"/>
    <n v="0.13"/>
    <n v="0.13"/>
    <n v="0.13"/>
    <n v="0.13"/>
    <m/>
    <m/>
    <m/>
    <m/>
    <m/>
  </r>
  <r>
    <x v="23"/>
    <s v="TB Electrics &amp; Home Improvements Ltd"/>
    <s v="Jon Juxon"/>
    <x v="1"/>
    <x v="8"/>
    <x v="2"/>
    <s v="Occassional large COM + some small RES business"/>
    <s v="EU"/>
    <n v="0.03"/>
    <n v="0"/>
    <n v="0.03"/>
    <n v="0"/>
    <n v="0"/>
    <n v="0.03"/>
    <n v="0.03"/>
    <n v="0.03"/>
    <n v="0"/>
    <m/>
    <m/>
    <m/>
    <m/>
    <m/>
  </r>
  <r>
    <x v="23"/>
    <s v="Sun Sparks Limited"/>
    <s v="Nicholas Paget"/>
    <x v="1"/>
    <x v="18"/>
    <x v="5"/>
    <m/>
    <s v="EU"/>
    <n v="3.6999999999999998E-2"/>
    <n v="3.6999999999999998E-2"/>
    <n v="3.6999999999999998E-2"/>
    <n v="3.6999999999999998E-2"/>
    <n v="3.6999999999999998E-2"/>
    <n v="3.6999999999999998E-2"/>
    <n v="3.6999999999999998E-2"/>
    <n v="3.6999999999999998E-2"/>
    <n v="3.6999999999999998E-2"/>
    <m/>
    <m/>
    <m/>
    <m/>
    <m/>
  </r>
  <r>
    <x v="23"/>
    <s v="Sun Sparks Limited"/>
    <s v="Nicholas Paget"/>
    <x v="1"/>
    <x v="1"/>
    <x v="5"/>
    <m/>
    <s v="EU"/>
    <n v="4.1000000000000002E-2"/>
    <n v="4.1000000000000002E-2"/>
    <n v="4.1000000000000002E-2"/>
    <n v="4.1000000000000002E-2"/>
    <n v="4.1000000000000002E-2"/>
    <n v="4.1000000000000002E-2"/>
    <n v="4.1000000000000002E-2"/>
    <n v="4.1000000000000002E-2"/>
    <n v="4.1000000000000002E-2"/>
    <m/>
    <m/>
    <m/>
    <m/>
    <m/>
  </r>
  <r>
    <x v="23"/>
    <s v="Stratford Energy Solutions"/>
    <s v="Jon Juxon"/>
    <x v="3"/>
    <x v="6"/>
    <x v="0"/>
    <s v="Regular Premier Partner, loyal across RES &amp; COM"/>
    <s v="EU"/>
    <n v="0.13"/>
    <n v="0.13"/>
    <n v="0.13"/>
    <n v="0"/>
    <n v="0"/>
    <n v="0"/>
    <n v="0"/>
    <n v="0"/>
    <n v="0.14499999999999999"/>
    <m/>
    <m/>
    <m/>
    <m/>
    <m/>
  </r>
  <r>
    <x v="23"/>
    <s v="Stratford Energy Solutions"/>
    <s v="Jon Juxon"/>
    <x v="1"/>
    <x v="1"/>
    <x v="2"/>
    <s v="Regular Premier Partner, loyal across RES &amp; COM"/>
    <s v="EU"/>
    <n v="0.13"/>
    <n v="0.13"/>
    <n v="0.13"/>
    <n v="0.13"/>
    <n v="0"/>
    <n v="0.13"/>
    <n v="0.13"/>
    <n v="0"/>
    <n v="0"/>
    <m/>
    <m/>
    <m/>
    <m/>
    <m/>
  </r>
  <r>
    <x v="23"/>
    <s v="Solen Energy UK Limited"/>
    <s v="Matt "/>
    <x v="5"/>
    <x v="11"/>
    <x v="6"/>
    <m/>
    <s v="EU"/>
    <m/>
    <n v="1.72"/>
    <m/>
    <n v="1.72"/>
    <m/>
    <m/>
    <m/>
    <m/>
    <m/>
    <m/>
    <m/>
    <m/>
    <m/>
    <m/>
  </r>
  <r>
    <x v="23"/>
    <s v="Solen Energy UK Limited"/>
    <s v="Matt "/>
    <x v="2"/>
    <x v="14"/>
    <x v="6"/>
    <s v="Recovering"/>
    <s v="EU"/>
    <m/>
    <n v="2.34"/>
    <m/>
    <n v="2.34"/>
    <m/>
    <m/>
    <m/>
    <m/>
    <m/>
    <m/>
    <m/>
    <m/>
    <m/>
    <m/>
  </r>
  <r>
    <x v="23"/>
    <s v="Solarsense uk ltd"/>
    <s v="Nicholas Paget"/>
    <x v="4"/>
    <x v="10"/>
    <x v="0"/>
    <m/>
    <s v="EU"/>
    <m/>
    <m/>
    <m/>
    <n v="1"/>
    <n v="2"/>
    <n v="2"/>
    <n v="2"/>
    <n v="2"/>
    <n v="2"/>
    <m/>
    <m/>
    <m/>
    <m/>
    <m/>
  </r>
  <r>
    <x v="23"/>
    <s v="Solarsense uk ltd"/>
    <s v="Nicholas Paget"/>
    <x v="2"/>
    <x v="17"/>
    <x v="0"/>
    <s v="Large ground mount - customer awaiting update on project timings"/>
    <s v="EU"/>
    <m/>
    <m/>
    <m/>
    <m/>
    <m/>
    <m/>
    <n v="1.9"/>
    <m/>
    <m/>
    <m/>
    <m/>
    <m/>
    <m/>
    <m/>
  </r>
  <r>
    <x v="23"/>
    <s v="Solarsense uk ltd"/>
    <s v="Nicholas Paget"/>
    <x v="8"/>
    <x v="51"/>
    <x v="2"/>
    <s v="Confirmed PO"/>
    <s v="EU"/>
    <n v="2"/>
    <n v="1.6"/>
    <n v="1.35"/>
    <m/>
    <m/>
    <m/>
    <n v="1.35"/>
    <n v="1.35"/>
    <n v="0.45"/>
    <m/>
    <m/>
    <m/>
    <m/>
    <m/>
  </r>
  <r>
    <x v="23"/>
    <s v="Smith Bros"/>
    <s v="Matt "/>
    <x v="2"/>
    <x v="14"/>
    <x v="3"/>
    <m/>
    <s v="EU"/>
    <m/>
    <n v="0.82399999999999995"/>
    <m/>
    <m/>
    <m/>
    <m/>
    <m/>
    <m/>
    <m/>
    <m/>
    <m/>
    <m/>
    <m/>
    <m/>
  </r>
  <r>
    <x v="23"/>
    <s v="Smith Bros"/>
    <s v="Matt "/>
    <x v="2"/>
    <x v="2"/>
    <x v="0"/>
    <m/>
    <s v="EU"/>
    <m/>
    <n v="1.296"/>
    <m/>
    <m/>
    <m/>
    <m/>
    <m/>
    <m/>
    <m/>
    <m/>
    <m/>
    <m/>
    <m/>
    <m/>
  </r>
  <r>
    <x v="23"/>
    <s v="Savent Solar Limited"/>
    <s v="Nicholas Paget"/>
    <x v="1"/>
    <x v="18"/>
    <x v="5"/>
    <m/>
    <s v="EU"/>
    <m/>
    <m/>
    <n v="1.7999999999999999E-2"/>
    <m/>
    <n v="1.7999999999999999E-2"/>
    <m/>
    <n v="1.7999999999999999E-2"/>
    <m/>
    <n v="1.7999999999999999E-2"/>
    <m/>
    <m/>
    <m/>
    <m/>
    <m/>
  </r>
  <r>
    <x v="23"/>
    <s v="New Customer / Balance of others customers UK"/>
    <s v="Matt "/>
    <x v="8"/>
    <x v="51"/>
    <x v="0"/>
    <s v="Triple Solar / Midsummer / Wind&amp;Sun. Triple Solar and Midsummer are geographocally close =&gt; mutually exclusive."/>
    <s v="EU"/>
    <n v="10"/>
    <m/>
    <n v="25"/>
    <m/>
    <m/>
    <m/>
    <m/>
    <m/>
    <m/>
    <m/>
    <m/>
    <m/>
    <m/>
    <m/>
  </r>
  <r>
    <x v="23"/>
    <s v="New Customer / Balance of others customers UK"/>
    <s v="Jon Juxon"/>
    <x v="1"/>
    <x v="1"/>
    <x v="0"/>
    <m/>
    <s v="EU"/>
    <n v="0"/>
    <n v="0.22"/>
    <n v="0.6"/>
    <n v="0"/>
    <n v="0"/>
    <n v="0"/>
    <n v="0"/>
    <n v="0"/>
    <n v="0"/>
    <m/>
    <m/>
    <m/>
    <m/>
    <m/>
  </r>
  <r>
    <x v="23"/>
    <s v="New Customer / Balance of others customers UK"/>
    <s v="Nicholas Paget"/>
    <x v="1"/>
    <x v="1"/>
    <x v="5"/>
    <s v="City Plumbing Bristol, GeoGreen, GreenGen"/>
    <s v="EU"/>
    <n v="9.8000000000000004E-2"/>
    <n v="0.13300000000000001"/>
    <n v="0.1"/>
    <n v="0.1"/>
    <n v="0.1"/>
    <n v="0.1"/>
    <n v="0.1"/>
    <n v="0.1"/>
    <n v="0.1"/>
    <m/>
    <m/>
    <m/>
    <m/>
    <m/>
  </r>
  <r>
    <x v="23"/>
    <s v="Failte Solar"/>
    <s v="Matt "/>
    <x v="1"/>
    <x v="3"/>
    <x v="2"/>
    <s v="Ireland only P7-510"/>
    <s v="Offshore"/>
    <m/>
    <n v="2.0499999999999998"/>
    <m/>
    <n v="2.0499999999999998"/>
    <m/>
    <n v="2.0499999999999998"/>
    <m/>
    <m/>
    <m/>
    <m/>
    <m/>
    <m/>
    <m/>
    <m/>
  </r>
  <r>
    <x v="23"/>
    <s v="Failte SOlar"/>
    <s v="Matt "/>
    <x v="1"/>
    <x v="1"/>
    <x v="2"/>
    <m/>
    <s v="Offshore"/>
    <n v="3.9744000000000002"/>
    <m/>
    <m/>
    <m/>
    <m/>
    <m/>
    <m/>
    <m/>
    <m/>
    <m/>
    <m/>
    <m/>
    <m/>
    <m/>
  </r>
  <r>
    <x v="23"/>
    <s v="Failte Solar"/>
    <s v="Matt "/>
    <x v="2"/>
    <x v="5"/>
    <x v="6"/>
    <m/>
    <s v="Offshore"/>
    <m/>
    <n v="5.04"/>
    <m/>
    <m/>
    <m/>
    <m/>
    <m/>
    <m/>
    <m/>
    <m/>
    <m/>
    <m/>
    <m/>
    <m/>
  </r>
  <r>
    <x v="23"/>
    <s v="Failte Solar"/>
    <s v="Matt "/>
    <x v="2"/>
    <x v="14"/>
    <x v="6"/>
    <m/>
    <s v="Offshore"/>
    <m/>
    <m/>
    <m/>
    <n v="2.66"/>
    <n v="2.66"/>
    <n v="2.66"/>
    <m/>
    <m/>
    <m/>
    <m/>
    <m/>
    <m/>
    <m/>
    <m/>
  </r>
  <r>
    <x v="23"/>
    <s v="Failte Solar"/>
    <s v="Matt "/>
    <x v="5"/>
    <x v="11"/>
    <x v="6"/>
    <s v="need indicative pricing"/>
    <s v="Offshore"/>
    <m/>
    <n v="1.72"/>
    <n v="1.72"/>
    <m/>
    <n v="3.44"/>
    <m/>
    <m/>
    <m/>
    <m/>
    <m/>
    <m/>
    <m/>
    <m/>
    <m/>
  </r>
  <r>
    <x v="23"/>
    <s v="Failte Solar"/>
    <s v="Matt "/>
    <x v="8"/>
    <x v="51"/>
    <x v="0"/>
    <m/>
    <s v="Offshore"/>
    <m/>
    <m/>
    <m/>
    <m/>
    <n v="2.3820000000000001"/>
    <m/>
    <m/>
    <m/>
    <m/>
    <m/>
    <m/>
    <m/>
    <m/>
    <m/>
  </r>
  <r>
    <x v="23"/>
    <s v="Failte Solar"/>
    <s v="Matt "/>
    <x v="1"/>
    <x v="1"/>
    <x v="0"/>
    <m/>
    <s v="Offshore"/>
    <m/>
    <m/>
    <m/>
    <n v="4.0999999999999996"/>
    <m/>
    <n v="4.0999999999999996"/>
    <m/>
    <m/>
    <m/>
    <m/>
    <m/>
    <m/>
    <m/>
    <m/>
  </r>
  <r>
    <x v="23"/>
    <s v="Failte Solar"/>
    <s v="Matt "/>
    <x v="1"/>
    <x v="8"/>
    <x v="5"/>
    <s v="Ireland only"/>
    <s v="Offshore"/>
    <m/>
    <n v="4.3"/>
    <m/>
    <m/>
    <m/>
    <m/>
    <m/>
    <m/>
    <m/>
    <m/>
    <m/>
    <m/>
    <m/>
    <m/>
  </r>
  <r>
    <x v="23"/>
    <s v="Failte Solar"/>
    <s v="Matt "/>
    <x v="7"/>
    <x v="65"/>
    <x v="2"/>
    <m/>
    <s v="Offshore"/>
    <n v="1.274"/>
    <m/>
    <m/>
    <m/>
    <m/>
    <m/>
    <m/>
    <m/>
    <m/>
    <m/>
    <m/>
    <m/>
    <m/>
    <m/>
  </r>
  <r>
    <x v="23"/>
    <s v="Evo Energy"/>
    <s v="Jon Juxon"/>
    <x v="1"/>
    <x v="1"/>
    <x v="3"/>
    <s v="Aiming to convert from Trina to TCL T/S-Class for C&amp;I business"/>
    <s v="EU"/>
    <n v="0"/>
    <n v="0"/>
    <n v="0.5"/>
    <n v="0"/>
    <n v="0"/>
    <n v="0"/>
    <n v="0"/>
    <n v="0.2"/>
    <n v="0"/>
    <m/>
    <m/>
    <m/>
    <m/>
    <m/>
  </r>
  <r>
    <x v="23"/>
    <s v="Eco NRG Ltd."/>
    <s v="Nicholas Paget"/>
    <x v="1"/>
    <x v="1"/>
    <x v="5"/>
    <m/>
    <s v="EU"/>
    <n v="6.6000000000000003E-2"/>
    <n v="6.6000000000000003E-2"/>
    <n v="3.3000000000000002E-2"/>
    <n v="6.6000000000000003E-2"/>
    <n v="6.6000000000000003E-2"/>
    <n v="6.6000000000000003E-2"/>
    <n v="6.6000000000000003E-2"/>
    <n v="6.6000000000000003E-2"/>
    <n v="6.6000000000000003E-2"/>
    <m/>
    <m/>
    <m/>
    <m/>
    <m/>
  </r>
  <r>
    <x v="23"/>
    <s v="Eco Greenenergy Solutions Ltd"/>
    <s v="Jon Juxon"/>
    <x v="1"/>
    <x v="1"/>
    <x v="3"/>
    <s v="Credit/payment issues"/>
    <s v="EU"/>
    <n v="0"/>
    <n v="0"/>
    <n v="0"/>
    <n v="0"/>
    <n v="0"/>
    <n v="0"/>
    <n v="0"/>
    <n v="0"/>
    <n v="0"/>
    <m/>
    <m/>
    <m/>
    <m/>
    <m/>
  </r>
  <r>
    <x v="23"/>
    <s v="Ceiba Renewables Limited"/>
    <s v="Jon Juxon"/>
    <x v="1"/>
    <x v="1"/>
    <x v="2"/>
    <m/>
    <s v="EU"/>
    <n v="0.03"/>
    <n v="0.03"/>
    <n v="0.03"/>
    <n v="0.03"/>
    <n v="0.03"/>
    <n v="0.03"/>
    <n v="0.03"/>
    <n v="0.03"/>
    <n v="0.03"/>
    <m/>
    <m/>
    <m/>
    <m/>
    <m/>
  </r>
  <r>
    <x v="23"/>
    <s v="Ceiba Renewables Limited"/>
    <s v="Jon Juxon"/>
    <x v="3"/>
    <x v="6"/>
    <x v="0"/>
    <m/>
    <s v="EU"/>
    <n v="0.03"/>
    <n v="0.03"/>
    <n v="0.03"/>
    <m/>
    <m/>
    <m/>
    <m/>
    <m/>
    <n v="0.03"/>
    <m/>
    <m/>
    <m/>
    <m/>
    <m/>
  </r>
  <r>
    <x v="23"/>
    <s v="Bimble Solar Limited"/>
    <s v="Nicholas Paget"/>
    <x v="5"/>
    <x v="11"/>
    <x v="5"/>
    <m/>
    <s v="EU"/>
    <m/>
    <m/>
    <m/>
    <m/>
    <n v="0.43099999999999999"/>
    <m/>
    <m/>
    <m/>
    <m/>
    <m/>
    <m/>
    <m/>
    <m/>
    <m/>
  </r>
  <r>
    <x v="23"/>
    <s v="Bimble Solar Limited"/>
    <s v="Nicholas Paget"/>
    <x v="0"/>
    <x v="66"/>
    <x v="5"/>
    <m/>
    <s v="EU"/>
    <m/>
    <m/>
    <m/>
    <m/>
    <m/>
    <n v="0.43099999999999999"/>
    <m/>
    <m/>
    <m/>
    <m/>
    <m/>
    <m/>
    <m/>
    <m/>
  </r>
  <r>
    <x v="23"/>
    <s v="Bimble Solar Limited"/>
    <s v="Nicholas Paget"/>
    <x v="4"/>
    <x v="7"/>
    <x v="0"/>
    <m/>
    <s v="EU"/>
    <m/>
    <m/>
    <m/>
    <m/>
    <m/>
    <m/>
    <n v="2"/>
    <m/>
    <m/>
    <m/>
    <m/>
    <m/>
    <m/>
    <m/>
  </r>
  <r>
    <x v="23"/>
    <s v="Bimble Solar Limited"/>
    <s v="Nicholas Paget"/>
    <x v="4"/>
    <x v="10"/>
    <x v="5"/>
    <s v="Initial project damand potential far higher"/>
    <s v="EU"/>
    <m/>
    <n v="0.39700000000000002"/>
    <m/>
    <n v="2"/>
    <m/>
    <m/>
    <n v="4"/>
    <n v="4"/>
    <n v="4"/>
    <m/>
    <m/>
    <m/>
    <m/>
    <m/>
  </r>
  <r>
    <x v="23"/>
    <s v="AES Limited"/>
    <s v="Jon Juxon"/>
    <x v="1"/>
    <x v="1"/>
    <x v="2"/>
    <s v="Long-standing, loyal SunPower Partner with decent run-rate on P7"/>
    <s v="EU"/>
    <n v="8.5000000000000006E-2"/>
    <n v="8.5000000000000006E-2"/>
    <n v="8.5000000000000006E-2"/>
    <n v="8.5000000000000006E-2"/>
    <n v="8.5000000000000006E-2"/>
    <n v="8.5000000000000006E-2"/>
    <n v="8.5000000000000006E-2"/>
    <n v="8.5000000000000006E-2"/>
    <n v="8.5000000000000006E-2"/>
    <m/>
    <m/>
    <m/>
    <m/>
    <m/>
  </r>
  <r>
    <x v="23"/>
    <s v="Failte Solar"/>
    <s v="Matt "/>
    <x v="2"/>
    <x v="5"/>
    <x v="2"/>
    <m/>
    <s v="Offshore"/>
    <n v="6.3179999999999996"/>
    <m/>
    <m/>
    <m/>
    <m/>
    <m/>
    <m/>
    <m/>
    <m/>
    <m/>
    <m/>
    <m/>
    <m/>
    <m/>
  </r>
  <r>
    <x v="23"/>
    <s v="Failte Solar Ireland "/>
    <s v="Matt "/>
    <x v="3"/>
    <x v="6"/>
    <x v="3"/>
    <m/>
    <s v="EU"/>
    <m/>
    <m/>
    <m/>
    <m/>
    <m/>
    <m/>
    <m/>
    <m/>
    <m/>
    <m/>
    <m/>
    <m/>
    <m/>
    <m/>
  </r>
  <r>
    <x v="23"/>
    <s v="Failte Solar UK"/>
    <s v="Matt "/>
    <x v="0"/>
    <x v="12"/>
    <x v="3"/>
    <s v="Forward orders "/>
    <s v="EU"/>
    <m/>
    <m/>
    <m/>
    <m/>
    <m/>
    <m/>
    <m/>
    <n v="4.5"/>
    <m/>
    <m/>
    <m/>
    <m/>
    <m/>
    <m/>
  </r>
  <r>
    <x v="23"/>
    <s v="FES Support Services"/>
    <s v="Jon Juxon"/>
    <x v="1"/>
    <x v="1"/>
    <x v="2"/>
    <s v="14yr relationship with SunPower on Stirling Borough Council and COM projects"/>
    <s v="EU"/>
    <n v="0"/>
    <n v="0"/>
    <n v="0.125"/>
    <n v="0"/>
    <n v="0.14499999999999999"/>
    <n v="0.23100000000000001"/>
    <n v="0"/>
    <n v="0.125"/>
    <n v="0.25"/>
    <m/>
    <m/>
    <m/>
    <m/>
    <m/>
  </r>
  <r>
    <x v="23"/>
    <s v="New Customer / Balance of others customers UK"/>
    <s v="Nicholas Paget"/>
    <x v="7"/>
    <x v="65"/>
    <x v="5"/>
    <s v="New Onboarded June 26"/>
    <s v="EU"/>
    <m/>
    <m/>
    <m/>
    <n v="0.105"/>
    <n v="0.105"/>
    <n v="0.105"/>
    <n v="0.2"/>
    <n v="0.2"/>
    <n v="0.2"/>
    <m/>
    <m/>
    <m/>
    <m/>
    <m/>
  </r>
  <r>
    <x v="23"/>
    <s v="Naked Solar Limited"/>
    <s v="Nicholas Paget"/>
    <x v="1"/>
    <x v="18"/>
    <x v="5"/>
    <m/>
    <s v="EU"/>
    <n v="5.6000000000000001E-2"/>
    <n v="5.6000000000000001E-2"/>
    <n v="5.6000000000000001E-2"/>
    <n v="3.6999999999999998E-2"/>
    <n v="3.6999999999999998E-2"/>
    <n v="3.6999999999999998E-2"/>
    <n v="3.6999999999999998E-2"/>
    <n v="3.6999999999999998E-2"/>
    <n v="3.6999999999999998E-2"/>
    <m/>
    <m/>
    <m/>
    <m/>
    <m/>
  </r>
  <r>
    <x v="23"/>
    <s v="Naked Solar Limited"/>
    <s v="Nicholas Paget"/>
    <x v="1"/>
    <x v="1"/>
    <x v="5"/>
    <m/>
    <s v="EU"/>
    <n v="0.13"/>
    <n v="0.13"/>
    <n v="0.13"/>
    <n v="6.6000000000000003E-2"/>
    <n v="6.6000000000000003E-2"/>
    <n v="6.6000000000000003E-2"/>
    <n v="6.6000000000000003E-2"/>
    <n v="6.6000000000000003E-2"/>
    <n v="6.6000000000000003E-2"/>
    <m/>
    <m/>
    <m/>
    <m/>
    <m/>
  </r>
  <r>
    <x v="23"/>
    <s v="Naked Solar Limited"/>
    <s v="Nicholas Paget"/>
    <x v="7"/>
    <x v="65"/>
    <x v="5"/>
    <m/>
    <s v="EU"/>
    <m/>
    <m/>
    <m/>
    <m/>
    <n v="0.05"/>
    <n v="0.05"/>
    <n v="7.0000000000000007E-2"/>
    <n v="7.0000000000000007E-2"/>
    <n v="7.0000000000000007E-2"/>
    <m/>
    <m/>
    <m/>
    <m/>
    <m/>
  </r>
  <r>
    <x v="23"/>
    <s v="Mole Energy Ltd"/>
    <s v="Nicholas Paget"/>
    <x v="1"/>
    <x v="18"/>
    <x v="5"/>
    <m/>
    <s v="EU"/>
    <n v="7.2999999999999995E-2"/>
    <n v="7.2999999999999995E-2"/>
    <n v="7.2999999999999995E-2"/>
    <n v="8.3000000000000004E-2"/>
    <n v="8.3000000000000004E-2"/>
    <n v="8.3000000000000004E-2"/>
    <n v="8.3000000000000004E-2"/>
    <n v="8.3000000000000004E-2"/>
    <n v="8.3000000000000004E-2"/>
    <m/>
    <m/>
    <m/>
    <m/>
    <m/>
  </r>
  <r>
    <x v="23"/>
    <s v="Links Electrical "/>
    <s v="Matt "/>
    <x v="2"/>
    <x v="5"/>
    <x v="3"/>
    <s v="forward orders "/>
    <s v="EU"/>
    <m/>
    <m/>
    <m/>
    <m/>
    <m/>
    <m/>
    <n v="0.84199999999999997"/>
    <m/>
    <m/>
    <m/>
    <m/>
    <m/>
    <m/>
    <m/>
  </r>
  <r>
    <x v="23"/>
    <s v="Links Electrical "/>
    <s v="Matt "/>
    <x v="0"/>
    <x v="12"/>
    <x v="3"/>
    <s v="Forward orders "/>
    <s v="EU"/>
    <m/>
    <m/>
    <m/>
    <m/>
    <m/>
    <m/>
    <n v="0.90700000000000003"/>
    <n v="0.90700000000000003"/>
    <m/>
    <m/>
    <m/>
    <m/>
    <m/>
    <m/>
  </r>
  <r>
    <x v="23"/>
    <s v="Links Electrical "/>
    <s v="Matt "/>
    <x v="4"/>
    <x v="7"/>
    <x v="0"/>
    <m/>
    <s v="EU"/>
    <m/>
    <m/>
    <m/>
    <m/>
    <m/>
    <n v="1"/>
    <n v="2"/>
    <m/>
    <m/>
    <m/>
    <m/>
    <m/>
    <m/>
    <m/>
  </r>
  <r>
    <x v="23"/>
    <s v="Inspire Green"/>
    <s v="Nicholas Paget"/>
    <x v="2"/>
    <x v="16"/>
    <x v="3"/>
    <m/>
    <s v="EU"/>
    <m/>
    <m/>
    <m/>
    <m/>
    <m/>
    <n v="1"/>
    <m/>
    <m/>
    <m/>
    <m/>
    <m/>
    <m/>
    <m/>
    <m/>
  </r>
  <r>
    <x v="23"/>
    <s v="Westwood Energy"/>
    <s v="Jon Juxon"/>
    <x v="1"/>
    <x v="1"/>
    <x v="2"/>
    <s v="570kWp P7-455w won, Q2 delivery"/>
    <s v="EU"/>
    <n v="0"/>
    <n v="0"/>
    <n v="0.56999999999999995"/>
    <n v="0"/>
    <n v="0"/>
    <n v="0"/>
    <n v="0"/>
    <n v="0.125"/>
    <n v="0"/>
    <m/>
    <m/>
    <m/>
    <m/>
    <m/>
  </r>
  <r>
    <x v="23"/>
    <s v="In2gr8ted Solutions Ltd"/>
    <s v="Jon Juxon"/>
    <x v="3"/>
    <x v="6"/>
    <x v="0"/>
    <s v="Private landlord properties and standard domestic"/>
    <s v="EU"/>
    <n v="0"/>
    <n v="0.13"/>
    <n v="0.13"/>
    <n v="0"/>
    <n v="0"/>
    <n v="0"/>
    <n v="0"/>
    <n v="0"/>
    <n v="7.1999999999999995E-2"/>
    <m/>
    <m/>
    <m/>
    <m/>
    <m/>
  </r>
  <r>
    <x v="23"/>
    <s v="Guernsey - Little Green"/>
    <s v="Jon Juxon"/>
    <x v="3"/>
    <x v="6"/>
    <x v="0"/>
    <s v="Elite Partner, steady business across both RES &amp; COM"/>
    <s v="EU"/>
    <n v="0"/>
    <n v="0"/>
    <n v="0.15"/>
    <n v="0"/>
    <m/>
    <m/>
    <m/>
    <m/>
    <n v="0.14299999999999999"/>
    <m/>
    <m/>
    <m/>
    <m/>
    <m/>
  </r>
  <r>
    <x v="23"/>
    <s v="Guernsey - Little Green"/>
    <s v="Jon Juxon"/>
    <x v="1"/>
    <x v="18"/>
    <x v="2"/>
    <s v="Elite Partner, steady business across both RES &amp; COM"/>
    <s v="EU"/>
    <n v="0"/>
    <n v="0"/>
    <n v="0.13"/>
    <n v="0"/>
    <n v="0.252"/>
    <m/>
    <m/>
    <n v="7.1999999999999995E-2"/>
    <m/>
    <m/>
    <m/>
    <m/>
    <m/>
    <m/>
  </r>
  <r>
    <x v="23"/>
    <s v="Greenshop Solar Ltd"/>
    <s v="Nicholas Paget"/>
    <x v="1"/>
    <x v="1"/>
    <x v="5"/>
    <m/>
    <s v="EU"/>
    <m/>
    <m/>
    <n v="3.3000000000000002E-2"/>
    <m/>
    <n v="3.3000000000000002E-2"/>
    <m/>
    <n v="3.3000000000000002E-2"/>
    <m/>
    <n v="3.3000000000000002E-2"/>
    <m/>
    <m/>
    <m/>
    <m/>
    <m/>
  </r>
  <r>
    <x v="23"/>
    <s v="Greenscape Energy"/>
    <s v="Jon Juxon"/>
    <x v="1"/>
    <x v="18"/>
    <x v="2"/>
    <s v="Supply problem on 510w: Long-term supply deal potentially, (460 &amp; 510)"/>
    <s v="EU"/>
    <n v="0.17499999999999999"/>
    <n v="0"/>
    <n v="0.44500000000000001"/>
    <n v="0.44500000000000001"/>
    <n v="0.44500000000000001"/>
    <n v="0.44500000000000001"/>
    <n v="0.44500000000000001"/>
    <n v="0.44500000000000001"/>
    <n v="7.4999999999999997E-2"/>
    <m/>
    <m/>
    <m/>
    <m/>
    <m/>
  </r>
  <r>
    <x v="23"/>
    <s v="Greenscape Energy"/>
    <s v="Jon Juxon"/>
    <x v="3"/>
    <x v="6"/>
    <x v="0"/>
    <s v="Supply problem on 510w: Long-term supply deal potentially, (460 &amp; 510)"/>
    <s v="EU"/>
    <n v="0.17499999999999999"/>
    <n v="0"/>
    <n v="0.44500000000000001"/>
    <n v="0"/>
    <n v="0"/>
    <n v="0"/>
    <n v="0"/>
    <n v="0"/>
    <n v="0.3"/>
    <m/>
    <m/>
    <m/>
    <m/>
    <m/>
  </r>
  <r>
    <x v="23"/>
    <s v="Geo Green Power Ltd"/>
    <s v="Nicholas Paget"/>
    <x v="5"/>
    <x v="11"/>
    <x v="0"/>
    <s v="SUPPLY VIA UK GREENTECH - negotiations underway"/>
    <s v="EU"/>
    <m/>
    <m/>
    <m/>
    <m/>
    <m/>
    <n v="1"/>
    <n v="1"/>
    <n v="1"/>
    <m/>
    <m/>
    <m/>
    <m/>
    <m/>
    <m/>
  </r>
  <r>
    <x v="23"/>
    <s v="Geo Green Power Ltd"/>
    <s v="Nicholas Paget"/>
    <x v="1"/>
    <x v="1"/>
    <x v="5"/>
    <m/>
    <s v="EU"/>
    <n v="6.6000000000000003E-2"/>
    <n v="6.6000000000000003E-2"/>
    <n v="6.6000000000000003E-2"/>
    <n v="6.6000000000000003E-2"/>
    <n v="6.6000000000000003E-2"/>
    <n v="6.6000000000000003E-2"/>
    <n v="6.6000000000000003E-2"/>
    <n v="6.6000000000000003E-2"/>
    <n v="6.6000000000000003E-2"/>
    <m/>
    <m/>
    <m/>
    <m/>
    <m/>
  </r>
  <r>
    <x v="23"/>
    <s v="Geo Green Power Ltd"/>
    <s v="Nicholas Paget"/>
    <x v="1"/>
    <x v="3"/>
    <x v="5"/>
    <s v="Product proposed for MoD Project"/>
    <s v="EU"/>
    <m/>
    <m/>
    <n v="0.3"/>
    <m/>
    <n v="0.3"/>
    <n v="0.3"/>
    <n v="0.3"/>
    <n v="0.3"/>
    <m/>
    <m/>
    <m/>
    <m/>
    <m/>
    <m/>
  </r>
  <r>
    <x v="23"/>
    <s v="FES Support Services"/>
    <s v="Jon Juxon"/>
    <x v="3"/>
    <x v="6"/>
    <x v="0"/>
    <s v="14yr relationship with SunPower on Stirling Borough Council and COM projects"/>
    <s v="EU"/>
    <n v="0"/>
    <n v="0"/>
    <n v="0.125"/>
    <n v="0"/>
    <n v="0"/>
    <n v="0"/>
    <n v="0"/>
    <n v="0"/>
    <n v="0.17499999999999999"/>
    <m/>
    <m/>
    <m/>
    <m/>
    <m/>
  </r>
  <r>
    <x v="23"/>
    <s v="In2gr8ted Solutions Ltd"/>
    <s v="Jon Juxon"/>
    <x v="1"/>
    <x v="1"/>
    <x v="2"/>
    <s v="Private landlord properties and standard domestic"/>
    <s v="EU"/>
    <n v="0"/>
    <n v="0.13"/>
    <n v="0.13"/>
    <n v="0.13"/>
    <n v="0"/>
    <n v="0.13"/>
    <n v="0"/>
    <n v="0.13"/>
    <n v="0"/>
    <m/>
    <m/>
    <m/>
    <m/>
    <m/>
  </r>
  <r>
    <x v="23"/>
    <s v="Westwood Energy"/>
    <s v="Jon Juxon"/>
    <x v="8"/>
    <x v="43"/>
    <x v="3"/>
    <s v="Introduce TCL for standard/price sensitive COM projects"/>
    <s v="EU"/>
    <n v="0"/>
    <n v="0"/>
    <n v="0"/>
    <n v="0"/>
    <n v="0"/>
    <n v="0"/>
    <n v="0"/>
    <m/>
    <n v="0"/>
    <m/>
    <m/>
    <m/>
    <m/>
    <m/>
  </r>
  <r>
    <x v="24"/>
    <s v="MBI"/>
    <m/>
    <x v="1"/>
    <x v="1"/>
    <x v="6"/>
    <s v="2 trucks of 460W - waiting for payment of open balance"/>
    <s v="EU"/>
    <m/>
    <s v=" "/>
    <n v="0.8"/>
    <m/>
    <m/>
    <m/>
    <m/>
    <m/>
    <m/>
    <m/>
    <m/>
    <m/>
    <m/>
    <m/>
  </r>
  <r>
    <x v="24"/>
    <s v="MBI"/>
    <m/>
    <x v="1"/>
    <x v="34"/>
    <x v="6"/>
    <s v="2 trucks of 555W - waiting for payment of open balance"/>
    <s v="EU"/>
    <m/>
    <s v=" "/>
    <n v="0.8"/>
    <m/>
    <m/>
    <m/>
    <m/>
    <m/>
    <m/>
    <m/>
    <m/>
    <m/>
    <m/>
    <m/>
  </r>
  <r>
    <x v="13"/>
    <s v="New Customer / Balance of others customers IT"/>
    <s v="Ignazio Sasanelli"/>
    <x v="5"/>
    <x v="13"/>
    <x v="3"/>
    <m/>
    <s v="EU"/>
    <m/>
    <m/>
    <m/>
    <n v="0"/>
    <m/>
    <m/>
    <n v="0"/>
    <m/>
    <m/>
    <m/>
    <m/>
    <m/>
    <m/>
    <m/>
  </r>
  <r>
    <x v="13"/>
    <s v="New Customer / Balance of others customers IT"/>
    <s v="Ignazio Sasanelli"/>
    <x v="5"/>
    <x v="62"/>
    <x v="3"/>
    <m/>
    <s v="EU"/>
    <m/>
    <m/>
    <m/>
    <n v="0"/>
    <m/>
    <m/>
    <n v="0"/>
    <m/>
    <m/>
    <m/>
    <m/>
    <m/>
    <m/>
    <m/>
  </r>
  <r>
    <x v="13"/>
    <s v="New Customer / Balance of others customers IT"/>
    <s v="Ignazio Sasanelli"/>
    <x v="0"/>
    <x v="19"/>
    <x v="3"/>
    <m/>
    <s v="EU"/>
    <m/>
    <m/>
    <m/>
    <n v="0"/>
    <m/>
    <n v="5"/>
    <m/>
    <n v="8"/>
    <m/>
    <m/>
    <m/>
    <m/>
    <m/>
    <m/>
  </r>
  <r>
    <x v="13"/>
    <s v="New Customer / Balance of others customers IT"/>
    <s v="Ignazio Sasanelli"/>
    <x v="0"/>
    <x v="12"/>
    <x v="3"/>
    <m/>
    <s v="EU"/>
    <m/>
    <m/>
    <m/>
    <m/>
    <m/>
    <m/>
    <n v="10"/>
    <n v="8"/>
    <n v="5"/>
    <m/>
    <m/>
    <m/>
    <m/>
    <m/>
  </r>
  <r>
    <x v="13"/>
    <s v="Energia Italia"/>
    <s v="Ignazio Sasanelli"/>
    <x v="8"/>
    <x v="43"/>
    <x v="3"/>
    <m/>
    <s v="EU"/>
    <m/>
    <m/>
    <m/>
    <n v="3.6"/>
    <n v="1.8"/>
    <n v="4.4000000000000004"/>
    <m/>
    <m/>
    <m/>
    <m/>
    <m/>
    <m/>
    <m/>
    <m/>
  </r>
  <r>
    <x v="13"/>
    <s v="Energia Italia"/>
    <s v="Ignazio Sasanelli"/>
    <x v="2"/>
    <x v="2"/>
    <x v="3"/>
    <m/>
    <s v="EU"/>
    <m/>
    <m/>
    <m/>
    <n v="4.4000000000000004"/>
    <n v="1.8"/>
    <n v="5.6"/>
    <m/>
    <m/>
    <m/>
    <m/>
    <m/>
    <m/>
    <m/>
    <m/>
  </r>
  <r>
    <x v="13"/>
    <s v="New Customer / Balance of others customers IT"/>
    <s v="Ignazio Sasanelli"/>
    <x v="5"/>
    <x v="67"/>
    <x v="3"/>
    <m/>
    <s v="EU"/>
    <m/>
    <m/>
    <m/>
    <n v="0"/>
    <m/>
    <m/>
    <m/>
    <m/>
    <m/>
    <m/>
    <m/>
    <m/>
    <m/>
    <m/>
  </r>
  <r>
    <x v="0"/>
    <m/>
    <m/>
    <x v="14"/>
    <x v="68"/>
    <x v="8"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981691-EA07-426A-A3A4-B57A03CAC4A6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9:J81" firstHeaderRow="0" firstDataRow="1" firstDataCol="1" rowPageCount="3" colPageCount="1"/>
  <pivotFields count="27">
    <pivotField multipleItemSelectionAllowed="1" showAll="0"/>
    <pivotField axis="axisPage" showAll="0">
      <items count="298">
        <item m="1" x="243"/>
        <item m="1" x="294"/>
        <item m="1" x="259"/>
        <item x="138"/>
        <item m="1" x="217"/>
        <item x="94"/>
        <item m="1" x="230"/>
        <item m="1" x="286"/>
        <item x="26"/>
        <item m="1" x="207"/>
        <item m="1" x="249"/>
        <item x="35"/>
        <item x="103"/>
        <item m="1" x="242"/>
        <item x="87"/>
        <item m="1" x="226"/>
        <item x="41"/>
        <item x="158"/>
        <item x="82"/>
        <item x="74"/>
        <item x="4"/>
        <item x="75"/>
        <item m="1" x="219"/>
        <item x="157"/>
        <item m="1" x="274"/>
        <item m="1" x="216"/>
        <item m="1" x="206"/>
        <item m="1" x="231"/>
        <item m="1" x="175"/>
        <item m="1" x="233"/>
        <item m="1" x="293"/>
        <item x="23"/>
        <item m="1" x="280"/>
        <item x="49"/>
        <item x="30"/>
        <item m="1" x="208"/>
        <item x="155"/>
        <item m="1" x="214"/>
        <item m="1" x="260"/>
        <item x="76"/>
        <item x="25"/>
        <item x="3"/>
        <item m="1" x="265"/>
        <item x="116"/>
        <item m="1" x="273"/>
        <item m="1" x="261"/>
        <item x="83"/>
        <item x="84"/>
        <item x="85"/>
        <item x="86"/>
        <item x="78"/>
        <item x="64"/>
        <item m="1" x="246"/>
        <item m="1" x="232"/>
        <item x="73"/>
        <item m="1" x="227"/>
        <item m="1" x="190"/>
        <item x="72"/>
        <item m="1" x="285"/>
        <item m="1" x="289"/>
        <item x="10"/>
        <item x="50"/>
        <item m="1" x="279"/>
        <item m="1" x="228"/>
        <item m="1" x="262"/>
        <item x="125"/>
        <item x="153"/>
        <item m="1" x="272"/>
        <item x="51"/>
        <item m="1" x="252"/>
        <item m="1" x="174"/>
        <item m="1" x="229"/>
        <item m="1" x="263"/>
        <item x="169"/>
        <item x="65"/>
        <item x="43"/>
        <item x="58"/>
        <item m="1" x="296"/>
        <item x="45"/>
        <item m="1" x="177"/>
        <item x="118"/>
        <item m="1" x="269"/>
        <item m="1" x="281"/>
        <item x="22"/>
        <item m="1" x="271"/>
        <item x="34"/>
        <item m="1" x="282"/>
        <item m="1" x="270"/>
        <item x="66"/>
        <item x="24"/>
        <item m="1" x="225"/>
        <item x="136"/>
        <item m="1" x="213"/>
        <item x="31"/>
        <item x="59"/>
        <item x="163"/>
        <item x="69"/>
        <item m="1" x="283"/>
        <item x="162"/>
        <item x="105"/>
        <item x="21"/>
        <item x="9"/>
        <item m="1" x="218"/>
        <item x="137"/>
        <item x="28"/>
        <item x="99"/>
        <item x="115"/>
        <item x="140"/>
        <item x="108"/>
        <item x="47"/>
        <item x="48"/>
        <item m="1" x="183"/>
        <item x="114"/>
        <item m="1" x="241"/>
        <item m="1" x="253"/>
        <item x="70"/>
        <item x="71"/>
        <item m="1" x="244"/>
        <item x="117"/>
        <item m="1" x="245"/>
        <item m="1" x="264"/>
        <item x="61"/>
        <item m="1" x="275"/>
        <item m="1" x="276"/>
        <item m="1" x="238"/>
        <item x="80"/>
        <item x="8"/>
        <item x="7"/>
        <item x="42"/>
        <item x="33"/>
        <item x="109"/>
        <item x="81"/>
        <item m="1" x="291"/>
        <item x="88"/>
        <item x="142"/>
        <item x="62"/>
        <item x="36"/>
        <item x="89"/>
        <item m="1" x="268"/>
        <item m="1" x="277"/>
        <item x="143"/>
        <item m="1" x="250"/>
        <item m="1" x="278"/>
        <item x="152"/>
        <item x="106"/>
        <item x="12"/>
        <item x="37"/>
        <item x="91"/>
        <item m="1" x="235"/>
        <item x="5"/>
        <item m="1" x="212"/>
        <item m="1" x="257"/>
        <item x="92"/>
        <item m="1" x="287"/>
        <item x="150"/>
        <item m="1" x="220"/>
        <item m="1" x="224"/>
        <item x="16"/>
        <item x="148"/>
        <item m="1" x="290"/>
        <item x="113"/>
        <item m="1" x="223"/>
        <item x="93"/>
        <item m="1" x="266"/>
        <item m="1" x="234"/>
        <item m="1" x="236"/>
        <item m="1" x="239"/>
        <item m="1" x="254"/>
        <item m="1" x="222"/>
        <item x="107"/>
        <item x="32"/>
        <item m="1" x="255"/>
        <item x="20"/>
        <item m="1" x="237"/>
        <item m="1" x="221"/>
        <item x="144"/>
        <item x="38"/>
        <item m="1" x="292"/>
        <item x="39"/>
        <item m="1" x="258"/>
        <item m="1" x="180"/>
        <item x="52"/>
        <item x="14"/>
        <item x="63"/>
        <item m="1" x="188"/>
        <item m="1" x="179"/>
        <item m="1" x="240"/>
        <item x="104"/>
        <item m="1" x="295"/>
        <item m="1" x="267"/>
        <item m="1" x="284"/>
        <item m="1" x="288"/>
        <item x="120"/>
        <item m="1" x="248"/>
        <item m="1" x="215"/>
        <item m="1" x="210"/>
        <item m="1" x="189"/>
        <item m="1" x="247"/>
        <item m="1" x="205"/>
        <item m="1" x="204"/>
        <item m="1" x="184"/>
        <item m="1" x="256"/>
        <item m="1" x="211"/>
        <item x="127"/>
        <item x="165"/>
        <item x="161"/>
        <item x="141"/>
        <item m="1" x="251"/>
        <item x="102"/>
        <item x="151"/>
        <item x="19"/>
        <item x="46"/>
        <item x="68"/>
        <item m="1" x="191"/>
        <item m="1" x="192"/>
        <item m="1" x="193"/>
        <item m="1" x="194"/>
        <item x="67"/>
        <item m="1" x="195"/>
        <item m="1" x="196"/>
        <item m="1" x="197"/>
        <item m="1" x="198"/>
        <item m="1" x="199"/>
        <item m="1" x="200"/>
        <item x="90"/>
        <item x="77"/>
        <item m="1" x="201"/>
        <item m="1" x="202"/>
        <item m="1" x="209"/>
        <item x="121"/>
        <item x="146"/>
        <item x="147"/>
        <item x="149"/>
        <item x="139"/>
        <item m="1" x="176"/>
        <item x="166"/>
        <item x="154"/>
        <item m="1" x="178"/>
        <item x="170"/>
        <item x="167"/>
        <item x="172"/>
        <item x="11"/>
        <item x="17"/>
        <item x="129"/>
        <item m="1" x="181"/>
        <item m="1" x="182"/>
        <item x="40"/>
        <item x="60"/>
        <item m="1" x="203"/>
        <item x="98"/>
        <item x="123"/>
        <item x="27"/>
        <item x="13"/>
        <item x="15"/>
        <item x="97"/>
        <item x="96"/>
        <item x="101"/>
        <item x="126"/>
        <item x="124"/>
        <item x="18"/>
        <item x="44"/>
        <item x="95"/>
        <item x="100"/>
        <item x="29"/>
        <item x="119"/>
        <item x="122"/>
        <item x="130"/>
        <item x="164"/>
        <item x="2"/>
        <item x="57"/>
        <item m="1" x="186"/>
        <item x="56"/>
        <item m="1" x="187"/>
        <item x="54"/>
        <item x="79"/>
        <item x="110"/>
        <item x="111"/>
        <item x="53"/>
        <item x="55"/>
        <item m="1" x="185"/>
        <item x="6"/>
        <item x="156"/>
        <item x="145"/>
        <item x="160"/>
        <item x="159"/>
        <item x="128"/>
        <item x="131"/>
        <item x="132"/>
        <item x="168"/>
        <item x="135"/>
        <item x="134"/>
        <item x="112"/>
        <item x="133"/>
        <item x="171"/>
        <item m="1" x="173"/>
        <item x="0"/>
        <item x="1"/>
        <item t="default"/>
      </items>
    </pivotField>
    <pivotField showAll="0"/>
    <pivotField axis="axisPage" multipleItemSelectionAllowed="1" showAll="0">
      <items count="22">
        <item m="1" x="20"/>
        <item m="1" x="17"/>
        <item h="1" x="7"/>
        <item m="1" x="18"/>
        <item h="1" x="12"/>
        <item h="1" x="1"/>
        <item h="1" x="9"/>
        <item h="1" x="8"/>
        <item h="1" x="2"/>
        <item h="1" x="5"/>
        <item x="11"/>
        <item m="1" x="14"/>
        <item m="1" x="19"/>
        <item h="1" x="10"/>
        <item h="1" m="1" x="16"/>
        <item h="1" m="1" x="15"/>
        <item h="1" x="0"/>
        <item h="1" x="3"/>
        <item h="1" x="4"/>
        <item h="1" x="6"/>
        <item h="1" x="13"/>
        <item t="default"/>
      </items>
    </pivotField>
    <pivotField showAll="0"/>
    <pivotField axis="axisPage" multipleItemSelectionAllowed="1" showAll="0">
      <items count="12">
        <item h="1" x="6"/>
        <item h="1" x="0"/>
        <item x="3"/>
        <item x="4"/>
        <item x="1"/>
        <item x="5"/>
        <item x="2"/>
        <item h="1" x="8"/>
        <item h="1" x="7"/>
        <item h="1" m="1" x="9"/>
        <item h="1" m="1" x="10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8"/>
        <item x="5"/>
        <item x="6"/>
        <item m="1" x="10"/>
        <item x="1"/>
        <item x="2"/>
        <item x="7"/>
        <item x="9"/>
        <item x="0"/>
        <item m="1" x="11"/>
        <item x="4"/>
        <item x="3"/>
        <item t="default"/>
      </items>
    </pivotField>
    <pivotField showAll="0"/>
  </pivotFields>
  <rowFields count="1">
    <field x="25"/>
  </rowFields>
  <rowItems count="2">
    <i>
      <x v="6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3">
    <pageField fld="1" hier="-1"/>
    <pageField fld="3" hier="-1"/>
    <pageField fld="5" hier="-1"/>
  </pageFields>
  <dataFields count="9">
    <dataField name="Sum of 26M04" fld="8" baseField="0" baseItem="0"/>
    <dataField name="Sum of 26M05" fld="9" baseField="0" baseItem="0"/>
    <dataField name="Sum of 26M06" fld="10" baseField="0" baseItem="0"/>
    <dataField name="求和项:26M07" fld="11" baseField="0" baseItem="0"/>
    <dataField name="求和项:26M08" fld="12" baseField="0" baseItem="0"/>
    <dataField name="求和项:26M09" fld="13" baseField="0" baseItem="0"/>
    <dataField name="求和项:26M10" fld="14" baseField="0" baseItem="0"/>
    <dataField name="求和项:26M11" fld="15" baseField="0" baseItem="0"/>
    <dataField name="求和项:26M12" fld="16" baseField="0" baseItem="0"/>
  </dataFields>
  <formats count="7">
    <format dxfId="875">
      <pivotArea outline="0" collapsedLevelsAreSubtotals="1" fieldPosition="0"/>
    </format>
    <format dxfId="874">
      <pivotArea type="all" dataOnly="0" outline="0" fieldPosition="0"/>
    </format>
    <format dxfId="873">
      <pivotArea outline="0" collapsedLevelsAreSubtotals="1" fieldPosition="0"/>
    </format>
    <format dxfId="872">
      <pivotArea field="25" type="button" dataOnly="0" labelOnly="1" outline="0" axis="axisRow" fieldPosition="0"/>
    </format>
    <format dxfId="871">
      <pivotArea dataOnly="0" labelOnly="1" fieldPosition="0">
        <references count="1">
          <reference field="25" count="1">
            <x v="6"/>
          </reference>
        </references>
      </pivotArea>
    </format>
    <format dxfId="870">
      <pivotArea dataOnly="0" labelOnly="1" grandRow="1" outline="0" fieldPosition="0"/>
    </format>
    <format dxfId="86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C3D094-F51C-46BD-B0BD-1706D593F48B}" name="PivotTable2" cacheId="1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52:G57" firstHeaderRow="0" firstDataRow="1" firstDataCol="1" rowPageCount="5" colPageCount="1"/>
  <pivotFields count="27">
    <pivotField multipleItemSelectionAllowed="1" showAll="0"/>
    <pivotField axis="axisPage" showAll="0">
      <items count="298">
        <item m="1" x="243"/>
        <item m="1" x="294"/>
        <item m="1" x="259"/>
        <item x="138"/>
        <item m="1" x="217"/>
        <item x="94"/>
        <item m="1" x="230"/>
        <item m="1" x="286"/>
        <item x="26"/>
        <item m="1" x="207"/>
        <item m="1" x="249"/>
        <item x="35"/>
        <item x="103"/>
        <item m="1" x="242"/>
        <item x="87"/>
        <item m="1" x="226"/>
        <item x="41"/>
        <item x="158"/>
        <item x="82"/>
        <item x="74"/>
        <item x="4"/>
        <item x="75"/>
        <item m="1" x="219"/>
        <item x="157"/>
        <item m="1" x="274"/>
        <item m="1" x="216"/>
        <item m="1" x="206"/>
        <item m="1" x="231"/>
        <item m="1" x="175"/>
        <item m="1" x="233"/>
        <item m="1" x="293"/>
        <item x="23"/>
        <item m="1" x="280"/>
        <item x="49"/>
        <item x="30"/>
        <item m="1" x="208"/>
        <item x="155"/>
        <item m="1" x="214"/>
        <item m="1" x="260"/>
        <item x="76"/>
        <item x="25"/>
        <item x="3"/>
        <item m="1" x="265"/>
        <item x="116"/>
        <item m="1" x="273"/>
        <item m="1" x="261"/>
        <item x="83"/>
        <item x="84"/>
        <item x="85"/>
        <item x="86"/>
        <item x="78"/>
        <item x="64"/>
        <item m="1" x="246"/>
        <item m="1" x="232"/>
        <item x="73"/>
        <item m="1" x="227"/>
        <item m="1" x="190"/>
        <item x="72"/>
        <item m="1" x="285"/>
        <item m="1" x="289"/>
        <item x="10"/>
        <item x="50"/>
        <item m="1" x="279"/>
        <item m="1" x="228"/>
        <item m="1" x="262"/>
        <item x="125"/>
        <item x="153"/>
        <item m="1" x="272"/>
        <item x="51"/>
        <item m="1" x="252"/>
        <item m="1" x="174"/>
        <item m="1" x="229"/>
        <item m="1" x="263"/>
        <item x="169"/>
        <item x="65"/>
        <item x="43"/>
        <item x="58"/>
        <item m="1" x="296"/>
        <item x="45"/>
        <item m="1" x="177"/>
        <item x="118"/>
        <item m="1" x="269"/>
        <item m="1" x="281"/>
        <item x="22"/>
        <item m="1" x="271"/>
        <item x="34"/>
        <item m="1" x="282"/>
        <item m="1" x="270"/>
        <item x="66"/>
        <item x="24"/>
        <item m="1" x="225"/>
        <item x="136"/>
        <item m="1" x="213"/>
        <item x="31"/>
        <item x="59"/>
        <item x="163"/>
        <item x="69"/>
        <item m="1" x="283"/>
        <item x="162"/>
        <item x="105"/>
        <item x="21"/>
        <item x="9"/>
        <item m="1" x="218"/>
        <item x="137"/>
        <item x="28"/>
        <item x="99"/>
        <item x="115"/>
        <item x="140"/>
        <item x="108"/>
        <item x="47"/>
        <item x="48"/>
        <item m="1" x="183"/>
        <item x="114"/>
        <item m="1" x="241"/>
        <item m="1" x="253"/>
        <item x="70"/>
        <item x="71"/>
        <item m="1" x="244"/>
        <item x="117"/>
        <item m="1" x="245"/>
        <item m="1" x="264"/>
        <item x="61"/>
        <item m="1" x="275"/>
        <item m="1" x="276"/>
        <item m="1" x="238"/>
        <item x="80"/>
        <item x="8"/>
        <item x="7"/>
        <item x="42"/>
        <item x="33"/>
        <item x="109"/>
        <item x="81"/>
        <item m="1" x="291"/>
        <item x="88"/>
        <item x="142"/>
        <item x="62"/>
        <item x="36"/>
        <item x="89"/>
        <item m="1" x="268"/>
        <item m="1" x="277"/>
        <item x="143"/>
        <item m="1" x="250"/>
        <item m="1" x="278"/>
        <item x="152"/>
        <item x="106"/>
        <item x="12"/>
        <item x="37"/>
        <item x="91"/>
        <item m="1" x="235"/>
        <item x="5"/>
        <item m="1" x="212"/>
        <item m="1" x="257"/>
        <item x="92"/>
        <item m="1" x="287"/>
        <item x="150"/>
        <item m="1" x="220"/>
        <item m="1" x="224"/>
        <item x="16"/>
        <item x="148"/>
        <item m="1" x="290"/>
        <item x="113"/>
        <item m="1" x="223"/>
        <item x="93"/>
        <item m="1" x="266"/>
        <item m="1" x="234"/>
        <item m="1" x="236"/>
        <item m="1" x="239"/>
        <item m="1" x="254"/>
        <item m="1" x="222"/>
        <item x="107"/>
        <item x="32"/>
        <item m="1" x="255"/>
        <item x="20"/>
        <item m="1" x="237"/>
        <item m="1" x="221"/>
        <item x="144"/>
        <item x="38"/>
        <item m="1" x="292"/>
        <item x="39"/>
        <item m="1" x="258"/>
        <item m="1" x="180"/>
        <item x="52"/>
        <item x="14"/>
        <item x="63"/>
        <item m="1" x="188"/>
        <item m="1" x="179"/>
        <item m="1" x="240"/>
        <item x="104"/>
        <item m="1" x="295"/>
        <item m="1" x="267"/>
        <item m="1" x="284"/>
        <item m="1" x="288"/>
        <item x="120"/>
        <item m="1" x="248"/>
        <item m="1" x="215"/>
        <item m="1" x="210"/>
        <item m="1" x="189"/>
        <item m="1" x="247"/>
        <item m="1" x="205"/>
        <item m="1" x="204"/>
        <item m="1" x="184"/>
        <item m="1" x="256"/>
        <item m="1" x="211"/>
        <item x="127"/>
        <item x="165"/>
        <item x="161"/>
        <item x="141"/>
        <item m="1" x="251"/>
        <item x="102"/>
        <item x="151"/>
        <item x="19"/>
        <item x="46"/>
        <item x="68"/>
        <item m="1" x="191"/>
        <item m="1" x="192"/>
        <item m="1" x="193"/>
        <item m="1" x="194"/>
        <item x="67"/>
        <item m="1" x="195"/>
        <item m="1" x="196"/>
        <item m="1" x="197"/>
        <item m="1" x="198"/>
        <item m="1" x="199"/>
        <item m="1" x="200"/>
        <item x="90"/>
        <item x="77"/>
        <item m="1" x="201"/>
        <item m="1" x="202"/>
        <item m="1" x="209"/>
        <item x="121"/>
        <item x="146"/>
        <item x="147"/>
        <item x="149"/>
        <item x="139"/>
        <item m="1" x="176"/>
        <item x="166"/>
        <item x="154"/>
        <item m="1" x="178"/>
        <item x="170"/>
        <item x="167"/>
        <item x="172"/>
        <item x="11"/>
        <item x="17"/>
        <item x="129"/>
        <item m="1" x="181"/>
        <item m="1" x="182"/>
        <item x="40"/>
        <item x="60"/>
        <item m="1" x="203"/>
        <item x="98"/>
        <item x="123"/>
        <item x="27"/>
        <item x="13"/>
        <item x="15"/>
        <item x="97"/>
        <item x="96"/>
        <item x="101"/>
        <item x="126"/>
        <item x="124"/>
        <item x="18"/>
        <item x="44"/>
        <item x="95"/>
        <item x="100"/>
        <item x="29"/>
        <item x="119"/>
        <item x="122"/>
        <item x="130"/>
        <item x="164"/>
        <item x="2"/>
        <item x="57"/>
        <item m="1" x="186"/>
        <item x="56"/>
        <item m="1" x="187"/>
        <item x="54"/>
        <item x="79"/>
        <item x="110"/>
        <item x="111"/>
        <item x="53"/>
        <item x="55"/>
        <item m="1" x="185"/>
        <item x="6"/>
        <item x="156"/>
        <item x="145"/>
        <item x="160"/>
        <item x="159"/>
        <item x="128"/>
        <item x="131"/>
        <item x="132"/>
        <item x="168"/>
        <item x="135"/>
        <item x="134"/>
        <item x="112"/>
        <item x="133"/>
        <item x="171"/>
        <item m="1" x="173"/>
        <item x="0"/>
        <item x="1"/>
        <item t="default"/>
      </items>
    </pivotField>
    <pivotField showAll="0"/>
    <pivotField axis="axisPage" multipleItemSelectionAllowed="1" showAll="0">
      <items count="22">
        <item m="1" x="20"/>
        <item m="1" x="17"/>
        <item h="1" x="7"/>
        <item h="1" m="1" x="18"/>
        <item h="1" x="12"/>
        <item h="1" x="1"/>
        <item h="1" x="9"/>
        <item h="1" x="8"/>
        <item h="1" x="2"/>
        <item h="1" x="5"/>
        <item h="1" x="11"/>
        <item m="1" x="14"/>
        <item h="1" m="1" x="19"/>
        <item h="1" x="10"/>
        <item m="1" x="16"/>
        <item h="1" m="1" x="15"/>
        <item h="1" x="0"/>
        <item h="1" x="3"/>
        <item x="4"/>
        <item x="6"/>
        <item x="13"/>
        <item t="default"/>
      </items>
    </pivotField>
    <pivotField axis="axisPage" multipleItemSelectionAllowed="1" showAll="0">
      <items count="78">
        <item x="32"/>
        <item x="61"/>
        <item x="63"/>
        <item x="23"/>
        <item x="50"/>
        <item x="31"/>
        <item x="27"/>
        <item x="26"/>
        <item h="1" x="30"/>
        <item h="1" x="7"/>
        <item h="1" x="56"/>
        <item h="1" m="1" x="75"/>
        <item h="1" m="1" x="76"/>
        <item h="1" x="10"/>
        <item h="1" x="54"/>
        <item h="1" x="44"/>
        <item h="1" x="19"/>
        <item h="1" x="12"/>
        <item h="1" m="1" x="74"/>
        <item h="1" x="52"/>
        <item h="1" x="47"/>
        <item h="1" x="5"/>
        <item h="1" x="24"/>
        <item h="1" x="14"/>
        <item h="1" x="21"/>
        <item h="1" x="2"/>
        <item h="1" x="25"/>
        <item h="1" x="15"/>
        <item h="1" x="64"/>
        <item h="1" x="4"/>
        <item h="1" x="41"/>
        <item h="1" x="17"/>
        <item h="1" x="16"/>
        <item h="1" x="40"/>
        <item h="1" x="39"/>
        <item h="1" x="42"/>
        <item h="1" m="1" x="71"/>
        <item h="1" m="1" x="72"/>
        <item h="1" m="1" x="70"/>
        <item h="1" x="57"/>
        <item h="1" m="1" x="69"/>
        <item h="1" x="38"/>
        <item h="1" x="8"/>
        <item h="1" x="1"/>
        <item h="1" x="36"/>
        <item h="1" x="3"/>
        <item h="1" x="18"/>
        <item h="1" x="34"/>
        <item h="1" x="33"/>
        <item h="1" x="55"/>
        <item h="1" x="37"/>
        <item h="1" x="49"/>
        <item h="1" x="45"/>
        <item h="1" x="6"/>
        <item h="1" x="35"/>
        <item h="1" x="46"/>
        <item h="1" x="48"/>
        <item h="1" x="58"/>
        <item h="1" m="1" x="68"/>
        <item h="1" x="43"/>
        <item h="1" x="51"/>
        <item h="1" x="59"/>
        <item h="1" m="1" x="73"/>
        <item h="1" x="20"/>
        <item h="1" x="28"/>
        <item h="1" x="11"/>
        <item h="1" x="65"/>
        <item h="1" x="9"/>
        <item h="1" x="13"/>
        <item h="1" x="53"/>
        <item h="1" x="60"/>
        <item h="1" x="62"/>
        <item h="1" x="22"/>
        <item h="1" x="29"/>
        <item h="1" x="66"/>
        <item h="1" x="0"/>
        <item h="1" x="67"/>
        <item t="default"/>
      </items>
    </pivotField>
    <pivotField axis="axisPage" multipleItemSelectionAllowed="1" showAll="0">
      <items count="12">
        <item h="1" x="6"/>
        <item h="1" x="0"/>
        <item x="3"/>
        <item x="4"/>
        <item x="1"/>
        <item x="5"/>
        <item x="2"/>
        <item h="1" x="8"/>
        <item x="7"/>
        <item h="1" m="1" x="9"/>
        <item h="1" m="1"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1"/>
        <item h="1" x="2"/>
        <item h="1" x="0"/>
        <item h="1" m="1" x="3"/>
        <item t="default"/>
      </items>
    </pivotField>
    <pivotField showAll="0"/>
    <pivotField axis="axisRow" showAll="0">
      <items count="13">
        <item x="8"/>
        <item x="5"/>
        <item x="6"/>
        <item m="1" x="10"/>
        <item x="1"/>
        <item x="2"/>
        <item x="7"/>
        <item x="9"/>
        <item x="0"/>
        <item m="1" x="11"/>
        <item x="4"/>
        <item x="3"/>
        <item t="default"/>
      </items>
    </pivotField>
    <pivotField showAll="0"/>
  </pivotFields>
  <rowFields count="1">
    <field x="25"/>
  </rowFields>
  <rowItems count="5">
    <i>
      <x/>
    </i>
    <i>
      <x v="1"/>
    </i>
    <i>
      <x v="2"/>
    </i>
    <i>
      <x v="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5">
    <pageField fld="1" hier="-1"/>
    <pageField fld="3" hier="-1"/>
    <pageField fld="5" hier="-1"/>
    <pageField fld="23" item="0" hier="-1"/>
    <pageField fld="4" hier="-1"/>
  </pageFields>
  <dataFields count="6">
    <dataField name="求和项:26M07" fld="11" baseField="0" baseItem="0"/>
    <dataField name="求和项:26M08" fld="12" baseField="0" baseItem="0"/>
    <dataField name="求和项:26M09" fld="13" baseField="0" baseItem="0"/>
    <dataField name="求和项:26M10" fld="14" baseField="0" baseItem="0"/>
    <dataField name="求和项:26M11" fld="15" baseField="0" baseItem="0"/>
    <dataField name="求和项:26M12" fld="16" baseField="0" baseItem="0"/>
  </dataFields>
  <formats count="7">
    <format dxfId="882">
      <pivotArea outline="0" collapsedLevelsAreSubtotals="1" fieldPosition="0"/>
    </format>
    <format dxfId="881">
      <pivotArea type="all" dataOnly="0" outline="0" fieldPosition="0"/>
    </format>
    <format dxfId="880">
      <pivotArea outline="0" collapsedLevelsAreSubtotals="1" fieldPosition="0"/>
    </format>
    <format dxfId="879">
      <pivotArea field="25" type="button" dataOnly="0" labelOnly="1" outline="0" axis="axisRow" fieldPosition="0"/>
    </format>
    <format dxfId="878">
      <pivotArea dataOnly="0" labelOnly="1" fieldPosition="0">
        <references count="1">
          <reference field="25" count="5">
            <x v="0"/>
            <x v="1"/>
            <x v="2"/>
            <x v="4"/>
            <x v="7"/>
          </reference>
        </references>
      </pivotArea>
    </format>
    <format dxfId="877">
      <pivotArea dataOnly="0" labelOnly="1" grandRow="1" outline="0" fieldPosition="0"/>
    </format>
    <format dxfId="87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388B50-A699-460E-9A84-DF90E70920DF}" name="PivotTable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:J17" firstHeaderRow="0" firstDataRow="1" firstDataCol="1" rowPageCount="3" colPageCount="1"/>
  <pivotFields count="27">
    <pivotField multipleItemSelectionAllowed="1" showAll="0"/>
    <pivotField axis="axisPage" showAll="0">
      <items count="298">
        <item m="1" x="243"/>
        <item m="1" x="294"/>
        <item m="1" x="259"/>
        <item x="138"/>
        <item m="1" x="217"/>
        <item x="94"/>
        <item m="1" x="230"/>
        <item m="1" x="286"/>
        <item x="26"/>
        <item m="1" x="207"/>
        <item m="1" x="249"/>
        <item x="35"/>
        <item x="103"/>
        <item m="1" x="242"/>
        <item x="87"/>
        <item m="1" x="226"/>
        <item x="41"/>
        <item x="158"/>
        <item x="82"/>
        <item x="74"/>
        <item x="4"/>
        <item x="75"/>
        <item m="1" x="219"/>
        <item x="157"/>
        <item m="1" x="274"/>
        <item m="1" x="216"/>
        <item m="1" x="206"/>
        <item m="1" x="231"/>
        <item m="1" x="175"/>
        <item m="1" x="233"/>
        <item m="1" x="293"/>
        <item x="23"/>
        <item m="1" x="280"/>
        <item x="49"/>
        <item x="30"/>
        <item m="1" x="208"/>
        <item x="155"/>
        <item m="1" x="214"/>
        <item m="1" x="260"/>
        <item x="76"/>
        <item x="25"/>
        <item x="3"/>
        <item m="1" x="265"/>
        <item x="116"/>
        <item m="1" x="273"/>
        <item m="1" x="261"/>
        <item x="83"/>
        <item x="84"/>
        <item x="85"/>
        <item x="86"/>
        <item x="78"/>
        <item x="64"/>
        <item m="1" x="246"/>
        <item m="1" x="232"/>
        <item x="73"/>
        <item m="1" x="227"/>
        <item m="1" x="190"/>
        <item x="72"/>
        <item m="1" x="285"/>
        <item m="1" x="289"/>
        <item x="10"/>
        <item x="50"/>
        <item m="1" x="279"/>
        <item m="1" x="228"/>
        <item m="1" x="262"/>
        <item x="125"/>
        <item x="153"/>
        <item m="1" x="272"/>
        <item x="51"/>
        <item m="1" x="252"/>
        <item m="1" x="174"/>
        <item m="1" x="229"/>
        <item m="1" x="263"/>
        <item x="169"/>
        <item x="65"/>
        <item x="43"/>
        <item x="58"/>
        <item m="1" x="296"/>
        <item x="45"/>
        <item m="1" x="177"/>
        <item x="118"/>
        <item m="1" x="269"/>
        <item m="1" x="281"/>
        <item x="22"/>
        <item m="1" x="271"/>
        <item x="34"/>
        <item m="1" x="282"/>
        <item m="1" x="270"/>
        <item x="66"/>
        <item x="24"/>
        <item m="1" x="225"/>
        <item x="136"/>
        <item m="1" x="213"/>
        <item x="31"/>
        <item x="59"/>
        <item x="163"/>
        <item x="69"/>
        <item m="1" x="283"/>
        <item x="162"/>
        <item x="105"/>
        <item x="21"/>
        <item x="9"/>
        <item m="1" x="218"/>
        <item x="137"/>
        <item x="28"/>
        <item x="99"/>
        <item x="115"/>
        <item x="140"/>
        <item x="108"/>
        <item x="47"/>
        <item x="48"/>
        <item m="1" x="183"/>
        <item x="114"/>
        <item m="1" x="241"/>
        <item m="1" x="253"/>
        <item x="70"/>
        <item x="71"/>
        <item m="1" x="244"/>
        <item x="117"/>
        <item m="1" x="245"/>
        <item m="1" x="264"/>
        <item x="61"/>
        <item m="1" x="275"/>
        <item m="1" x="276"/>
        <item m="1" x="238"/>
        <item x="80"/>
        <item x="8"/>
        <item x="7"/>
        <item x="42"/>
        <item x="33"/>
        <item x="109"/>
        <item x="81"/>
        <item m="1" x="291"/>
        <item x="88"/>
        <item x="142"/>
        <item x="62"/>
        <item x="36"/>
        <item x="89"/>
        <item m="1" x="268"/>
        <item m="1" x="277"/>
        <item x="143"/>
        <item m="1" x="250"/>
        <item m="1" x="278"/>
        <item x="152"/>
        <item x="106"/>
        <item x="12"/>
        <item x="37"/>
        <item x="91"/>
        <item m="1" x="235"/>
        <item x="5"/>
        <item m="1" x="212"/>
        <item m="1" x="257"/>
        <item x="92"/>
        <item m="1" x="287"/>
        <item x="150"/>
        <item m="1" x="220"/>
        <item m="1" x="224"/>
        <item x="16"/>
        <item x="148"/>
        <item m="1" x="290"/>
        <item x="113"/>
        <item m="1" x="223"/>
        <item x="93"/>
        <item m="1" x="266"/>
        <item m="1" x="234"/>
        <item m="1" x="236"/>
        <item m="1" x="239"/>
        <item m="1" x="254"/>
        <item m="1" x="222"/>
        <item x="107"/>
        <item x="32"/>
        <item m="1" x="255"/>
        <item x="20"/>
        <item m="1" x="237"/>
        <item m="1" x="221"/>
        <item x="144"/>
        <item x="38"/>
        <item m="1" x="292"/>
        <item x="39"/>
        <item m="1" x="258"/>
        <item m="1" x="180"/>
        <item x="52"/>
        <item x="14"/>
        <item x="63"/>
        <item m="1" x="188"/>
        <item m="1" x="179"/>
        <item m="1" x="240"/>
        <item x="104"/>
        <item m="1" x="295"/>
        <item m="1" x="267"/>
        <item m="1" x="284"/>
        <item m="1" x="288"/>
        <item x="120"/>
        <item m="1" x="248"/>
        <item m="1" x="215"/>
        <item m="1" x="210"/>
        <item m="1" x="189"/>
        <item m="1" x="247"/>
        <item m="1" x="205"/>
        <item m="1" x="204"/>
        <item m="1" x="184"/>
        <item m="1" x="256"/>
        <item m="1" x="211"/>
        <item x="127"/>
        <item x="165"/>
        <item x="161"/>
        <item x="141"/>
        <item m="1" x="251"/>
        <item x="102"/>
        <item x="151"/>
        <item x="19"/>
        <item x="46"/>
        <item x="68"/>
        <item m="1" x="191"/>
        <item m="1" x="192"/>
        <item m="1" x="193"/>
        <item m="1" x="194"/>
        <item x="67"/>
        <item m="1" x="195"/>
        <item m="1" x="196"/>
        <item m="1" x="197"/>
        <item m="1" x="198"/>
        <item m="1" x="199"/>
        <item m="1" x="200"/>
        <item x="90"/>
        <item x="77"/>
        <item m="1" x="201"/>
        <item m="1" x="202"/>
        <item m="1" x="209"/>
        <item x="121"/>
        <item x="146"/>
        <item x="147"/>
        <item x="149"/>
        <item x="139"/>
        <item m="1" x="176"/>
        <item x="166"/>
        <item x="154"/>
        <item m="1" x="178"/>
        <item x="170"/>
        <item x="167"/>
        <item x="172"/>
        <item x="11"/>
        <item x="17"/>
        <item x="129"/>
        <item m="1" x="181"/>
        <item m="1" x="182"/>
        <item x="40"/>
        <item x="60"/>
        <item m="1" x="203"/>
        <item x="98"/>
        <item x="123"/>
        <item x="27"/>
        <item x="13"/>
        <item x="15"/>
        <item x="97"/>
        <item x="96"/>
        <item x="101"/>
        <item x="126"/>
        <item x="124"/>
        <item x="18"/>
        <item x="44"/>
        <item x="95"/>
        <item x="100"/>
        <item x="29"/>
        <item x="119"/>
        <item x="122"/>
        <item x="130"/>
        <item x="164"/>
        <item x="2"/>
        <item x="57"/>
        <item m="1" x="186"/>
        <item x="56"/>
        <item m="1" x="187"/>
        <item x="54"/>
        <item x="79"/>
        <item x="110"/>
        <item x="111"/>
        <item x="53"/>
        <item x="55"/>
        <item m="1" x="185"/>
        <item x="6"/>
        <item x="156"/>
        <item x="145"/>
        <item x="160"/>
        <item x="159"/>
        <item x="128"/>
        <item x="131"/>
        <item x="132"/>
        <item x="168"/>
        <item x="135"/>
        <item x="134"/>
        <item x="112"/>
        <item x="133"/>
        <item x="171"/>
        <item m="1" x="173"/>
        <item x="0"/>
        <item x="1"/>
        <item t="default"/>
      </items>
    </pivotField>
    <pivotField showAll="0"/>
    <pivotField axis="axisPage" multipleItemSelectionAllowed="1" showAll="0">
      <items count="22">
        <item m="1" x="20"/>
        <item m="1" x="17"/>
        <item h="1" x="7"/>
        <item m="1" x="18"/>
        <item h="1" x="12"/>
        <item h="1" x="1"/>
        <item x="9"/>
        <item x="8"/>
        <item x="2"/>
        <item x="5"/>
        <item h="1" x="11"/>
        <item m="1" x="14"/>
        <item m="1" x="19"/>
        <item h="1" x="10"/>
        <item m="1" x="16"/>
        <item m="1" x="15"/>
        <item x="0"/>
        <item h="1" x="3"/>
        <item h="1" x="4"/>
        <item h="1" x="6"/>
        <item h="1" x="13"/>
        <item t="default"/>
      </items>
    </pivotField>
    <pivotField showAll="0"/>
    <pivotField axis="axisPage" multipleItemSelectionAllowed="1" showAll="0">
      <items count="12">
        <item h="1" x="6"/>
        <item h="1" x="0"/>
        <item x="3"/>
        <item x="4"/>
        <item x="1"/>
        <item x="5"/>
        <item x="2"/>
        <item h="1" x="8"/>
        <item x="7"/>
        <item m="1" x="9"/>
        <item m="1" x="10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4"/>
        <item x="5"/>
        <item x="1"/>
        <item x="6"/>
        <item x="3"/>
        <item x="7"/>
        <item x="8"/>
        <item x="0"/>
        <item t="default"/>
      </items>
    </pivotField>
    <pivotField showAll="0" sortType="ascending">
      <items count="13">
        <item x="2"/>
        <item x="4"/>
        <item m="1" x="11"/>
        <item m="1" x="10"/>
        <item x="5"/>
        <item x="1"/>
        <item x="6"/>
        <item x="7"/>
        <item x="3"/>
        <item x="8"/>
        <item x="9"/>
        <item x="0"/>
        <item t="default"/>
      </items>
    </pivotField>
    <pivotField showAll="0"/>
  </pivotFields>
  <rowFields count="1">
    <field x="2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3">
    <pageField fld="1" hier="-1"/>
    <pageField fld="3" hier="-1"/>
    <pageField fld="5" hier="-1"/>
  </pageFields>
  <dataFields count="9">
    <dataField name="Sum of 26M04" fld="8" baseField="0" baseItem="0"/>
    <dataField name="Sum of 26M05" fld="9" baseField="0" baseItem="0"/>
    <dataField name="Sum of 26M06" fld="10" baseField="0" baseItem="0"/>
    <dataField name="求和项:26M07" fld="11" baseField="0" baseItem="0"/>
    <dataField name="求和项:26M08" fld="12" baseField="0" baseItem="0"/>
    <dataField name="求和项:26M09" fld="13" baseField="0" baseItem="0"/>
    <dataField name="求和项:26M10" fld="14" baseField="0" baseItem="0"/>
    <dataField name="求和项:26M11" fld="15" baseField="0" baseItem="0"/>
    <dataField name="求和项:26M12" fld="16" baseField="0" baseItem="0"/>
  </dataFields>
  <formats count="6">
    <format dxfId="888">
      <pivotArea outline="0" collapsedLevelsAreSubtotals="1" fieldPosition="0"/>
    </format>
    <format dxfId="887">
      <pivotArea type="all" dataOnly="0" outline="0" fieldPosition="0"/>
    </format>
    <format dxfId="886">
      <pivotArea outline="0" collapsedLevelsAreSubtotals="1" fieldPosition="0"/>
    </format>
    <format dxfId="885">
      <pivotArea field="25" type="button" dataOnly="0" labelOnly="1" outline="0"/>
    </format>
    <format dxfId="884">
      <pivotArea dataOnly="0" labelOnly="1" grandRow="1" outline="0" fieldPosition="0"/>
    </format>
    <format dxfId="883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AE3D39-507C-43D2-9AD9-5D10C8813E6F}" name="数据透视表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8:J38" firstHeaderRow="0" firstDataRow="1" firstDataCol="1" rowPageCount="3" colPageCount="1"/>
  <pivotFields count="27">
    <pivotField multipleItemSelectionAllowed="1" showAll="0"/>
    <pivotField axis="axisPage" showAll="0">
      <items count="298">
        <item m="1" x="243"/>
        <item m="1" x="294"/>
        <item m="1" x="259"/>
        <item x="138"/>
        <item m="1" x="217"/>
        <item x="94"/>
        <item m="1" x="230"/>
        <item m="1" x="286"/>
        <item x="26"/>
        <item m="1" x="207"/>
        <item m="1" x="249"/>
        <item x="35"/>
        <item x="103"/>
        <item m="1" x="242"/>
        <item x="87"/>
        <item m="1" x="226"/>
        <item x="41"/>
        <item x="158"/>
        <item x="82"/>
        <item x="74"/>
        <item x="4"/>
        <item x="75"/>
        <item m="1" x="219"/>
        <item x="157"/>
        <item m="1" x="274"/>
        <item m="1" x="216"/>
        <item m="1" x="206"/>
        <item m="1" x="231"/>
        <item m="1" x="175"/>
        <item m="1" x="233"/>
        <item m="1" x="293"/>
        <item x="23"/>
        <item m="1" x="280"/>
        <item x="49"/>
        <item x="30"/>
        <item m="1" x="208"/>
        <item x="155"/>
        <item m="1" x="214"/>
        <item m="1" x="260"/>
        <item x="76"/>
        <item x="25"/>
        <item x="3"/>
        <item m="1" x="265"/>
        <item x="116"/>
        <item m="1" x="273"/>
        <item m="1" x="261"/>
        <item x="83"/>
        <item x="84"/>
        <item x="85"/>
        <item x="86"/>
        <item x="78"/>
        <item x="64"/>
        <item m="1" x="246"/>
        <item m="1" x="232"/>
        <item x="73"/>
        <item m="1" x="227"/>
        <item m="1" x="190"/>
        <item x="72"/>
        <item m="1" x="285"/>
        <item m="1" x="289"/>
        <item x="10"/>
        <item x="50"/>
        <item m="1" x="279"/>
        <item m="1" x="228"/>
        <item m="1" x="262"/>
        <item x="125"/>
        <item x="153"/>
        <item m="1" x="272"/>
        <item x="51"/>
        <item m="1" x="252"/>
        <item m="1" x="174"/>
        <item m="1" x="229"/>
        <item m="1" x="263"/>
        <item x="169"/>
        <item x="65"/>
        <item x="43"/>
        <item x="58"/>
        <item m="1" x="296"/>
        <item x="45"/>
        <item m="1" x="177"/>
        <item x="118"/>
        <item m="1" x="269"/>
        <item m="1" x="281"/>
        <item x="22"/>
        <item m="1" x="271"/>
        <item x="34"/>
        <item m="1" x="282"/>
        <item m="1" x="270"/>
        <item x="66"/>
        <item x="24"/>
        <item m="1" x="225"/>
        <item x="136"/>
        <item m="1" x="213"/>
        <item x="31"/>
        <item x="59"/>
        <item x="163"/>
        <item x="69"/>
        <item m="1" x="283"/>
        <item x="162"/>
        <item x="105"/>
        <item x="21"/>
        <item x="9"/>
        <item m="1" x="218"/>
        <item x="137"/>
        <item x="28"/>
        <item x="99"/>
        <item x="115"/>
        <item x="140"/>
        <item x="108"/>
        <item x="47"/>
        <item x="48"/>
        <item m="1" x="183"/>
        <item x="114"/>
        <item m="1" x="241"/>
        <item m="1" x="253"/>
        <item x="70"/>
        <item x="71"/>
        <item m="1" x="244"/>
        <item x="117"/>
        <item m="1" x="245"/>
        <item m="1" x="264"/>
        <item x="61"/>
        <item m="1" x="275"/>
        <item m="1" x="276"/>
        <item m="1" x="238"/>
        <item x="80"/>
        <item x="8"/>
        <item x="7"/>
        <item x="42"/>
        <item x="33"/>
        <item x="109"/>
        <item x="81"/>
        <item m="1" x="291"/>
        <item x="88"/>
        <item x="142"/>
        <item x="62"/>
        <item x="36"/>
        <item x="89"/>
        <item m="1" x="268"/>
        <item m="1" x="277"/>
        <item x="143"/>
        <item m="1" x="250"/>
        <item m="1" x="278"/>
        <item x="152"/>
        <item x="106"/>
        <item x="12"/>
        <item x="37"/>
        <item x="91"/>
        <item m="1" x="235"/>
        <item x="5"/>
        <item m="1" x="212"/>
        <item m="1" x="257"/>
        <item x="92"/>
        <item m="1" x="287"/>
        <item x="150"/>
        <item m="1" x="220"/>
        <item m="1" x="224"/>
        <item x="16"/>
        <item x="148"/>
        <item m="1" x="290"/>
        <item x="113"/>
        <item m="1" x="223"/>
        <item x="93"/>
        <item m="1" x="266"/>
        <item m="1" x="234"/>
        <item m="1" x="236"/>
        <item m="1" x="239"/>
        <item m="1" x="254"/>
        <item m="1" x="222"/>
        <item x="107"/>
        <item x="32"/>
        <item m="1" x="255"/>
        <item x="20"/>
        <item m="1" x="237"/>
        <item m="1" x="221"/>
        <item x="144"/>
        <item x="38"/>
        <item m="1" x="292"/>
        <item x="39"/>
        <item m="1" x="258"/>
        <item m="1" x="180"/>
        <item x="52"/>
        <item x="14"/>
        <item x="63"/>
        <item m="1" x="188"/>
        <item m="1" x="179"/>
        <item m="1" x="240"/>
        <item x="104"/>
        <item m="1" x="295"/>
        <item m="1" x="267"/>
        <item m="1" x="284"/>
        <item m="1" x="288"/>
        <item x="120"/>
        <item m="1" x="248"/>
        <item m="1" x="215"/>
        <item m="1" x="210"/>
        <item m="1" x="189"/>
        <item m="1" x="247"/>
        <item m="1" x="205"/>
        <item m="1" x="204"/>
        <item m="1" x="184"/>
        <item m="1" x="256"/>
        <item m="1" x="211"/>
        <item x="127"/>
        <item x="165"/>
        <item x="161"/>
        <item x="141"/>
        <item m="1" x="251"/>
        <item x="102"/>
        <item x="151"/>
        <item x="19"/>
        <item x="46"/>
        <item x="68"/>
        <item m="1" x="191"/>
        <item m="1" x="192"/>
        <item m="1" x="193"/>
        <item m="1" x="194"/>
        <item x="67"/>
        <item m="1" x="195"/>
        <item m="1" x="196"/>
        <item m="1" x="197"/>
        <item m="1" x="198"/>
        <item m="1" x="199"/>
        <item m="1" x="200"/>
        <item x="90"/>
        <item x="77"/>
        <item m="1" x="201"/>
        <item m="1" x="202"/>
        <item m="1" x="209"/>
        <item x="121"/>
        <item x="146"/>
        <item x="147"/>
        <item x="149"/>
        <item x="139"/>
        <item m="1" x="176"/>
        <item x="166"/>
        <item x="154"/>
        <item m="1" x="178"/>
        <item x="170"/>
        <item x="167"/>
        <item x="172"/>
        <item x="11"/>
        <item x="17"/>
        <item x="129"/>
        <item m="1" x="181"/>
        <item m="1" x="182"/>
        <item x="40"/>
        <item x="60"/>
        <item m="1" x="203"/>
        <item x="98"/>
        <item x="123"/>
        <item x="27"/>
        <item x="13"/>
        <item x="15"/>
        <item x="97"/>
        <item x="96"/>
        <item x="101"/>
        <item x="126"/>
        <item x="124"/>
        <item x="18"/>
        <item x="44"/>
        <item x="95"/>
        <item x="100"/>
        <item x="29"/>
        <item x="119"/>
        <item x="122"/>
        <item x="130"/>
        <item x="164"/>
        <item x="2"/>
        <item x="57"/>
        <item m="1" x="186"/>
        <item x="56"/>
        <item m="1" x="187"/>
        <item x="54"/>
        <item x="79"/>
        <item x="110"/>
        <item x="111"/>
        <item x="53"/>
        <item x="55"/>
        <item m="1" x="185"/>
        <item x="6"/>
        <item x="156"/>
        <item x="145"/>
        <item x="160"/>
        <item x="159"/>
        <item x="128"/>
        <item x="131"/>
        <item x="132"/>
        <item x="168"/>
        <item x="135"/>
        <item x="134"/>
        <item x="112"/>
        <item x="133"/>
        <item x="171"/>
        <item m="1" x="173"/>
        <item x="0"/>
        <item x="1"/>
        <item t="default"/>
      </items>
    </pivotField>
    <pivotField showAll="0"/>
    <pivotField axis="axisPage" multipleItemSelectionAllowed="1" showAll="0">
      <items count="22">
        <item m="1" x="20"/>
        <item h="1" m="1" x="17"/>
        <item x="7"/>
        <item m="1" x="18"/>
        <item x="12"/>
        <item x="1"/>
        <item h="1" x="9"/>
        <item h="1" x="8"/>
        <item h="1" x="2"/>
        <item h="1" x="5"/>
        <item h="1" x="11"/>
        <item m="1" x="14"/>
        <item h="1" m="1" x="19"/>
        <item x="10"/>
        <item h="1" m="1" x="16"/>
        <item h="1" m="1" x="15"/>
        <item h="1" x="0"/>
        <item x="3"/>
        <item h="1" x="4"/>
        <item h="1" x="6"/>
        <item h="1" x="13"/>
        <item t="default"/>
      </items>
    </pivotField>
    <pivotField showAll="0"/>
    <pivotField axis="axisPage" multipleItemSelectionAllowed="1" showAll="0">
      <items count="12">
        <item h="1" x="6"/>
        <item h="1" x="0"/>
        <item x="3"/>
        <item x="4"/>
        <item x="1"/>
        <item x="5"/>
        <item x="2"/>
        <item h="1" x="8"/>
        <item x="7"/>
        <item h="1" m="1" x="9"/>
        <item h="1" m="1" x="10"/>
        <item t="default"/>
      </items>
    </pivotField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4"/>
        <item x="5"/>
        <item x="1"/>
        <item x="6"/>
        <item x="3"/>
        <item x="7"/>
        <item x="8"/>
        <item x="0"/>
        <item t="default"/>
      </items>
    </pivotField>
    <pivotField showAll="0">
      <items count="13">
        <item x="2"/>
        <item m="1" x="10"/>
        <item x="4"/>
        <item x="5"/>
        <item x="1"/>
        <item x="6"/>
        <item x="8"/>
        <item x="7"/>
        <item x="9"/>
        <item x="0"/>
        <item m="1" x="11"/>
        <item x="3"/>
        <item t="default"/>
      </items>
    </pivotField>
    <pivotField showAll="0"/>
  </pivotFields>
  <rowFields count="1">
    <field x="2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3">
    <pageField fld="1" hier="-1"/>
    <pageField fld="3" hier="-1"/>
    <pageField fld="5" hier="-1"/>
  </pageFields>
  <dataFields count="9">
    <dataField name="Sum of 26M04" fld="8" baseField="0" baseItem="0"/>
    <dataField name="Sum of 26M05" fld="9" baseField="0" baseItem="0"/>
    <dataField name="Sum of 26M06" fld="10" baseField="0" baseItem="0"/>
    <dataField name="求和项:26M07" fld="11" baseField="0" baseItem="0"/>
    <dataField name="求和项:26M08" fld="12" baseField="0" baseItem="0"/>
    <dataField name="求和项:26M09" fld="13" baseField="0" baseItem="0"/>
    <dataField name="求和项:26M10" fld="14" baseField="0" baseItem="0"/>
    <dataField name="求和项:26M11" fld="15" baseField="0" baseItem="0"/>
    <dataField name="求和项:26M12" fld="16" baseField="0" baseItem="0"/>
  </dataFields>
  <formats count="6">
    <format dxfId="894">
      <pivotArea outline="0" collapsedLevelsAreSubtotals="1" fieldPosition="0"/>
    </format>
    <format dxfId="893">
      <pivotArea type="all" dataOnly="0" outline="0" fieldPosition="0"/>
    </format>
    <format dxfId="892">
      <pivotArea outline="0" collapsedLevelsAreSubtotals="1" fieldPosition="0"/>
    </format>
    <format dxfId="891">
      <pivotArea field="25" type="button" dataOnly="0" labelOnly="1" outline="0"/>
    </format>
    <format dxfId="890">
      <pivotArea dataOnly="0" labelOnly="1" grandRow="1" outline="0" fieldPosition="0"/>
    </format>
    <format dxfId="88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DA211-4627-40EC-AAF5-6427F1A1DD93}" name="数据透视表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4:G155" firstHeaderRow="0" firstDataRow="1" firstDataCol="1" rowPageCount="3" colPageCount="1"/>
  <pivotFields count="27">
    <pivotField multipleItemSelectionAllowed="1" showAll="0"/>
    <pivotField axis="axisPage" showAll="0">
      <items count="298">
        <item m="1" x="243"/>
        <item m="1" x="294"/>
        <item m="1" x="259"/>
        <item x="138"/>
        <item m="1" x="217"/>
        <item x="94"/>
        <item m="1" x="230"/>
        <item m="1" x="286"/>
        <item x="26"/>
        <item m="1" x="207"/>
        <item m="1" x="249"/>
        <item x="35"/>
        <item x="103"/>
        <item m="1" x="242"/>
        <item x="87"/>
        <item m="1" x="226"/>
        <item x="41"/>
        <item x="158"/>
        <item x="82"/>
        <item x="74"/>
        <item x="4"/>
        <item x="75"/>
        <item m="1" x="219"/>
        <item x="157"/>
        <item m="1" x="274"/>
        <item m="1" x="216"/>
        <item m="1" x="206"/>
        <item m="1" x="231"/>
        <item m="1" x="175"/>
        <item m="1" x="233"/>
        <item m="1" x="293"/>
        <item x="23"/>
        <item m="1" x="280"/>
        <item x="49"/>
        <item x="30"/>
        <item m="1" x="208"/>
        <item x="155"/>
        <item m="1" x="214"/>
        <item m="1" x="260"/>
        <item x="76"/>
        <item x="25"/>
        <item x="3"/>
        <item m="1" x="265"/>
        <item x="116"/>
        <item m="1" x="273"/>
        <item m="1" x="261"/>
        <item x="83"/>
        <item x="84"/>
        <item x="85"/>
        <item x="86"/>
        <item x="78"/>
        <item x="64"/>
        <item m="1" x="246"/>
        <item m="1" x="232"/>
        <item x="73"/>
        <item m="1" x="227"/>
        <item m="1" x="190"/>
        <item x="72"/>
        <item m="1" x="285"/>
        <item m="1" x="289"/>
        <item x="10"/>
        <item x="50"/>
        <item m="1" x="279"/>
        <item m="1" x="228"/>
        <item m="1" x="262"/>
        <item x="125"/>
        <item x="153"/>
        <item m="1" x="272"/>
        <item x="51"/>
        <item m="1" x="252"/>
        <item m="1" x="174"/>
        <item m="1" x="229"/>
        <item m="1" x="263"/>
        <item x="169"/>
        <item x="65"/>
        <item x="43"/>
        <item x="58"/>
        <item m="1" x="296"/>
        <item x="45"/>
        <item m="1" x="177"/>
        <item x="118"/>
        <item m="1" x="269"/>
        <item m="1" x="281"/>
        <item x="22"/>
        <item m="1" x="271"/>
        <item x="34"/>
        <item m="1" x="282"/>
        <item m="1" x="270"/>
        <item x="66"/>
        <item x="24"/>
        <item m="1" x="225"/>
        <item x="136"/>
        <item m="1" x="213"/>
        <item x="31"/>
        <item x="59"/>
        <item x="163"/>
        <item x="69"/>
        <item m="1" x="283"/>
        <item x="162"/>
        <item x="105"/>
        <item x="21"/>
        <item x="9"/>
        <item m="1" x="218"/>
        <item x="137"/>
        <item x="28"/>
        <item x="99"/>
        <item x="115"/>
        <item x="140"/>
        <item x="108"/>
        <item x="47"/>
        <item x="48"/>
        <item m="1" x="183"/>
        <item x="114"/>
        <item m="1" x="241"/>
        <item m="1" x="253"/>
        <item x="70"/>
        <item x="71"/>
        <item m="1" x="244"/>
        <item x="117"/>
        <item m="1" x="245"/>
        <item m="1" x="264"/>
        <item x="61"/>
        <item m="1" x="275"/>
        <item m="1" x="276"/>
        <item m="1" x="238"/>
        <item x="80"/>
        <item x="8"/>
        <item x="7"/>
        <item x="42"/>
        <item x="33"/>
        <item x="109"/>
        <item x="81"/>
        <item m="1" x="291"/>
        <item x="88"/>
        <item x="142"/>
        <item x="62"/>
        <item x="36"/>
        <item x="89"/>
        <item m="1" x="268"/>
        <item m="1" x="277"/>
        <item x="143"/>
        <item m="1" x="250"/>
        <item m="1" x="278"/>
        <item x="152"/>
        <item x="106"/>
        <item x="12"/>
        <item x="37"/>
        <item x="91"/>
        <item m="1" x="235"/>
        <item x="5"/>
        <item m="1" x="212"/>
        <item m="1" x="257"/>
        <item x="92"/>
        <item m="1" x="287"/>
        <item x="150"/>
        <item m="1" x="220"/>
        <item m="1" x="224"/>
        <item x="16"/>
        <item x="148"/>
        <item m="1" x="290"/>
        <item x="113"/>
        <item m="1" x="223"/>
        <item x="93"/>
        <item m="1" x="266"/>
        <item m="1" x="234"/>
        <item m="1" x="236"/>
        <item m="1" x="239"/>
        <item m="1" x="254"/>
        <item m="1" x="222"/>
        <item x="107"/>
        <item x="32"/>
        <item m="1" x="255"/>
        <item x="20"/>
        <item m="1" x="237"/>
        <item m="1" x="221"/>
        <item x="144"/>
        <item x="38"/>
        <item m="1" x="292"/>
        <item x="39"/>
        <item m="1" x="258"/>
        <item m="1" x="180"/>
        <item x="52"/>
        <item x="14"/>
        <item x="63"/>
        <item m="1" x="188"/>
        <item m="1" x="179"/>
        <item m="1" x="240"/>
        <item x="104"/>
        <item m="1" x="295"/>
        <item m="1" x="267"/>
        <item m="1" x="284"/>
        <item m="1" x="288"/>
        <item x="120"/>
        <item m="1" x="248"/>
        <item m="1" x="215"/>
        <item m="1" x="210"/>
        <item m="1" x="189"/>
        <item m="1" x="247"/>
        <item m="1" x="205"/>
        <item m="1" x="204"/>
        <item m="1" x="184"/>
        <item m="1" x="256"/>
        <item m="1" x="211"/>
        <item x="127"/>
        <item x="165"/>
        <item x="161"/>
        <item x="141"/>
        <item m="1" x="251"/>
        <item x="102"/>
        <item x="151"/>
        <item x="19"/>
        <item x="46"/>
        <item x="68"/>
        <item m="1" x="191"/>
        <item m="1" x="192"/>
        <item m="1" x="193"/>
        <item m="1" x="194"/>
        <item x="67"/>
        <item m="1" x="195"/>
        <item m="1" x="196"/>
        <item m="1" x="197"/>
        <item m="1" x="198"/>
        <item m="1" x="199"/>
        <item m="1" x="200"/>
        <item x="90"/>
        <item x="77"/>
        <item m="1" x="201"/>
        <item m="1" x="202"/>
        <item m="1" x="209"/>
        <item x="121"/>
        <item x="146"/>
        <item x="147"/>
        <item x="149"/>
        <item x="139"/>
        <item m="1" x="176"/>
        <item x="166"/>
        <item x="154"/>
        <item m="1" x="178"/>
        <item x="170"/>
        <item x="167"/>
        <item x="172"/>
        <item x="11"/>
        <item x="17"/>
        <item x="129"/>
        <item m="1" x="181"/>
        <item m="1" x="182"/>
        <item x="40"/>
        <item x="60"/>
        <item m="1" x="203"/>
        <item x="98"/>
        <item x="123"/>
        <item x="27"/>
        <item x="13"/>
        <item x="15"/>
        <item x="97"/>
        <item x="96"/>
        <item x="101"/>
        <item x="126"/>
        <item x="124"/>
        <item x="18"/>
        <item x="44"/>
        <item x="95"/>
        <item x="100"/>
        <item x="29"/>
        <item x="119"/>
        <item x="122"/>
        <item x="130"/>
        <item x="164"/>
        <item x="2"/>
        <item x="57"/>
        <item m="1" x="186"/>
        <item x="56"/>
        <item m="1" x="187"/>
        <item x="54"/>
        <item x="79"/>
        <item x="110"/>
        <item x="111"/>
        <item x="53"/>
        <item x="55"/>
        <item m="1" x="185"/>
        <item x="6"/>
        <item x="156"/>
        <item x="145"/>
        <item x="160"/>
        <item x="159"/>
        <item x="128"/>
        <item x="131"/>
        <item x="132"/>
        <item x="168"/>
        <item x="135"/>
        <item x="134"/>
        <item x="112"/>
        <item x="133"/>
        <item x="171"/>
        <item m="1" x="173"/>
        <item x="0"/>
        <item x="1"/>
        <item t="default"/>
      </items>
    </pivotField>
    <pivotField showAll="0"/>
    <pivotField axis="axisPage" multipleItemSelectionAllowed="1" showAll="0">
      <items count="22">
        <item m="1" x="20"/>
        <item m="1" x="17"/>
        <item h="1" x="7"/>
        <item m="1" x="18"/>
        <item h="1" x="12"/>
        <item h="1" x="1"/>
        <item h="1" x="9"/>
        <item h="1" x="8"/>
        <item x="2"/>
        <item h="1" x="5"/>
        <item h="1" x="11"/>
        <item m="1" x="14"/>
        <item m="1" x="19"/>
        <item h="1" x="10"/>
        <item m="1" x="16"/>
        <item m="1" x="15"/>
        <item h="1" x="0"/>
        <item h="1" x="3"/>
        <item h="1" x="4"/>
        <item h="1" x="6"/>
        <item h="1" x="13"/>
        <item t="default"/>
      </items>
    </pivotField>
    <pivotField showAll="0"/>
    <pivotField axis="axisPage" multipleItemSelectionAllowed="1" showAll="0">
      <items count="12">
        <item h="1" x="6"/>
        <item h="1" x="0"/>
        <item x="3"/>
        <item x="4"/>
        <item x="1"/>
        <item x="5"/>
        <item x="2"/>
        <item h="1" x="8"/>
        <item h="1" x="7"/>
        <item h="1" m="1" x="9"/>
        <item h="1" m="1" x="10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3">
        <item x="2"/>
        <item m="1" x="10"/>
        <item x="5"/>
        <item x="1"/>
        <item x="6"/>
        <item x="8"/>
        <item x="7"/>
        <item x="9"/>
        <item x="0"/>
        <item m="1" x="11"/>
        <item x="4"/>
        <item x="3"/>
        <item t="default"/>
      </items>
    </pivotField>
    <pivotField showAll="0"/>
  </pivotFields>
  <rowFields count="1">
    <field x="25"/>
  </rowFields>
  <rowItems count="11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1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3">
    <pageField fld="1" hier="-1"/>
    <pageField fld="3" hier="-1"/>
    <pageField fld="5" hier="-1"/>
  </pageFields>
  <dataFields count="6">
    <dataField name="求和项:26M07" fld="11" baseField="0" baseItem="0"/>
    <dataField name="求和项:26M08" fld="12" baseField="0" baseItem="0"/>
    <dataField name="求和项:26M09" fld="13" baseField="0" baseItem="0"/>
    <dataField name="求和项:26M10" fld="14" baseField="0" baseItem="0"/>
    <dataField name="求和项:26M11" fld="15" baseField="0" baseItem="0"/>
    <dataField name="求和项:26M12" fld="16" baseField="0" baseItem="0"/>
  </dataFields>
  <formats count="7">
    <format dxfId="901">
      <pivotArea outline="0" collapsedLevelsAreSubtotals="1" fieldPosition="0"/>
    </format>
    <format dxfId="900">
      <pivotArea type="all" dataOnly="0" outline="0" fieldPosition="0"/>
    </format>
    <format dxfId="899">
      <pivotArea outline="0" collapsedLevelsAreSubtotals="1" fieldPosition="0"/>
    </format>
    <format dxfId="898">
      <pivotArea field="25" type="button" dataOnly="0" labelOnly="1" outline="0" axis="axisRow" fieldPosition="0"/>
    </format>
    <format dxfId="897">
      <pivotArea dataOnly="0" labelOnly="1" fieldPosition="0">
        <references count="1">
          <reference field="25" count="0"/>
        </references>
      </pivotArea>
    </format>
    <format dxfId="896">
      <pivotArea dataOnly="0" labelOnly="1" grandRow="1" outline="0" fieldPosition="0"/>
    </format>
    <format dxfId="895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455BF-3535-4CFD-882B-938BC820F34F}" name="数据透视表4" cacheId="18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compact="0" compactData="0" multipleFieldFilters="0">
  <location ref="A103:H114" firstHeaderRow="0" firstDataRow="1" firstDataCol="2" rowPageCount="2" colPageCount="1"/>
  <pivotFields count="22">
    <pivotField axis="axisRow" compact="0" outline="0" subtotalTop="0" showAll="0">
      <items count="26"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0"/>
        <item x="1"/>
        <item t="default"/>
      </items>
    </pivotField>
    <pivotField compact="0" outline="0" subtotalTop="0" showAll="0"/>
    <pivotField compact="0" outline="0" subtotalTop="0" showAll="0"/>
    <pivotField axis="axisPage" compact="0" outline="0" subtotalTop="0" multipleItemSelectionAllowed="1" showAll="0">
      <items count="16">
        <item h="1" x="6"/>
        <item x="4"/>
        <item x="13"/>
        <item h="1" x="11"/>
        <item h="1" x="3"/>
        <item h="1" x="7"/>
        <item h="1" x="12"/>
        <item h="1" x="10"/>
        <item h="1" x="1"/>
        <item h="1" x="0"/>
        <item h="1" x="9"/>
        <item h="1" x="8"/>
        <item h="1" x="2"/>
        <item h="1" x="5"/>
        <item h="1" x="14"/>
        <item t="default"/>
      </items>
    </pivotField>
    <pivotField axis="axisRow" compact="0" outline="0" subtotalTop="0" showAll="0">
      <items count="93">
        <item x="32"/>
        <item x="61"/>
        <item x="63"/>
        <item x="23"/>
        <item x="50"/>
        <item x="31"/>
        <item x="27"/>
        <item x="26"/>
        <item x="30"/>
        <item x="7"/>
        <item x="56"/>
        <item m="1" x="76"/>
        <item m="1" x="77"/>
        <item x="10"/>
        <item m="1" x="90"/>
        <item m="1" x="91"/>
        <item x="54"/>
        <item x="44"/>
        <item x="19"/>
        <item m="1" x="79"/>
        <item m="1" x="86"/>
        <item x="52"/>
        <item x="47"/>
        <item x="5"/>
        <item x="24"/>
        <item x="14"/>
        <item x="21"/>
        <item x="2"/>
        <item x="25"/>
        <item x="15"/>
        <item x="4"/>
        <item x="41"/>
        <item x="17"/>
        <item x="16"/>
        <item x="40"/>
        <item m="1" x="82"/>
        <item x="42"/>
        <item m="1" x="84"/>
        <item m="1" x="71"/>
        <item m="1" x="83"/>
        <item m="1" x="88"/>
        <item x="38"/>
        <item x="8"/>
        <item x="1"/>
        <item m="1" x="85"/>
        <item x="3"/>
        <item x="18"/>
        <item x="34"/>
        <item x="33"/>
        <item x="55"/>
        <item x="37"/>
        <item x="49"/>
        <item x="45"/>
        <item m="1" x="81"/>
        <item x="35"/>
        <item x="46"/>
        <item x="48"/>
        <item x="58"/>
        <item m="1" x="87"/>
        <item x="43"/>
        <item x="51"/>
        <item m="1" x="89"/>
        <item x="68"/>
        <item x="64"/>
        <item x="6"/>
        <item x="39"/>
        <item x="12"/>
        <item x="57"/>
        <item m="1" x="73"/>
        <item m="1" x="75"/>
        <item x="36"/>
        <item m="1" x="69"/>
        <item m="1" x="72"/>
        <item m="1" x="70"/>
        <item m="1" x="80"/>
        <item m="1" x="78"/>
        <item x="59"/>
        <item m="1" x="74"/>
        <item x="20"/>
        <item x="28"/>
        <item x="11"/>
        <item x="65"/>
        <item x="9"/>
        <item x="13"/>
        <item x="53"/>
        <item x="60"/>
        <item x="62"/>
        <item x="22"/>
        <item x="29"/>
        <item x="66"/>
        <item x="0"/>
        <item x="67"/>
        <item t="default"/>
      </items>
    </pivotField>
    <pivotField axis="axisPage" compact="0" outline="0" subtotalTop="0" multipleItemSelectionAllowed="1" showAll="0">
      <items count="12">
        <item h="1" x="6"/>
        <item h="1" x="0"/>
        <item x="3"/>
        <item x="4"/>
        <item x="1"/>
        <item h="1" x="5"/>
        <item h="1" x="2"/>
        <item h="1" x="8"/>
        <item h="1" x="7"/>
        <item h="1" m="1" x="9"/>
        <item h="1" m="1" x="10"/>
        <item t="default"/>
      </items>
    </pivotField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dataField="1" compact="0" outline="0" subtotalTop="0" showAl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2">
    <field x="0"/>
    <field x="4"/>
  </rowFields>
  <rowItems count="11">
    <i>
      <x v="6"/>
      <x v="13"/>
    </i>
    <i t="default">
      <x v="6"/>
    </i>
    <i>
      <x v="11"/>
      <x v="13"/>
    </i>
    <i t="default">
      <x v="11"/>
    </i>
    <i>
      <x v="15"/>
      <x v="9"/>
    </i>
    <i r="1">
      <x v="13"/>
    </i>
    <i t="default">
      <x v="15"/>
    </i>
    <i>
      <x v="20"/>
      <x v="9"/>
    </i>
    <i r="1">
      <x v="13"/>
    </i>
    <i t="default">
      <x v="20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2">
    <pageField fld="3" hier="-1"/>
    <pageField fld="5" hier="-1"/>
  </pageFields>
  <dataFields count="6">
    <dataField name="求和项:26M07" fld="11" baseField="0" baseItem="0"/>
    <dataField name="求和项:26M08" fld="12" baseField="0" baseItem="0"/>
    <dataField name="求和项:26M09" fld="13" baseField="0" baseItem="0"/>
    <dataField name="求和项:26M10" fld="14" baseField="0" baseItem="0"/>
    <dataField name="求和项:26M11" fld="15" baseField="0" baseItem="0"/>
    <dataField name="求和项:26M12" fld="16" baseField="0" baseItem="0"/>
  </dataFields>
  <formats count="11">
    <format dxfId="912">
      <pivotArea type="all" dataOnly="0" outline="0" fieldPosition="0"/>
    </format>
    <format dxfId="911">
      <pivotArea outline="0" collapsedLevelsAreSubtotals="1" fieldPosition="0"/>
    </format>
    <format dxfId="910">
      <pivotArea field="0" type="button" dataOnly="0" labelOnly="1" outline="0" axis="axisRow" fieldPosition="0"/>
    </format>
    <format dxfId="909">
      <pivotArea field="4" type="button" dataOnly="0" labelOnly="1" outline="0" axis="axisRow" fieldPosition="1"/>
    </format>
    <format dxfId="908">
      <pivotArea dataOnly="0" labelOnly="1" outline="0" fieldPosition="0">
        <references count="1">
          <reference field="0" count="4">
            <x v="6"/>
            <x v="8"/>
            <x v="11"/>
            <x v="20"/>
          </reference>
        </references>
      </pivotArea>
    </format>
    <format dxfId="907">
      <pivotArea dataOnly="0" labelOnly="1" grandRow="1" outline="0" fieldPosition="0"/>
    </format>
    <format dxfId="906">
      <pivotArea dataOnly="0" labelOnly="1" outline="0" fieldPosition="0">
        <references count="2">
          <reference field="0" count="1" selected="0">
            <x v="6"/>
          </reference>
          <reference field="4" count="6">
            <x v="0"/>
            <x v="3"/>
            <x v="5"/>
            <x v="6"/>
            <x v="7"/>
            <x v="8"/>
          </reference>
        </references>
      </pivotArea>
    </format>
    <format dxfId="905">
      <pivotArea dataOnly="0" labelOnly="1" outline="0" fieldPosition="0">
        <references count="2">
          <reference field="0" count="1" selected="0">
            <x v="8"/>
          </reference>
          <reference field="4" count="3">
            <x v="6"/>
            <x v="7"/>
            <x v="8"/>
          </reference>
        </references>
      </pivotArea>
    </format>
    <format dxfId="904">
      <pivotArea dataOnly="0" labelOnly="1" outline="0" fieldPosition="0">
        <references count="2">
          <reference field="0" count="1" selected="0">
            <x v="11"/>
          </reference>
          <reference field="4" count="3">
            <x v="4"/>
            <x v="6"/>
            <x v="8"/>
          </reference>
        </references>
      </pivotArea>
    </format>
    <format dxfId="903">
      <pivotArea dataOnly="0" labelOnly="1" outline="0" fieldPosition="0">
        <references count="2">
          <reference field="0" count="1" selected="0">
            <x v="20"/>
          </reference>
          <reference field="4" count="3">
            <x v="1"/>
            <x v="3"/>
            <x v="4"/>
          </reference>
        </references>
      </pivotArea>
    </format>
    <format dxfId="90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D289AFF9-CB14-4FC4-AE42-E5F47C2FEF11}" autoFormatId="16" applyNumberFormats="0" applyBorderFormats="0" applyFontFormats="0" applyPatternFormats="0" applyAlignmentFormats="0" applyWidthHeightFormats="0">
  <queryTableRefresh nextId="20">
    <queryTableFields count="6">
      <queryTableField id="16" name="Country" tableColumnId="15"/>
      <queryTableField id="10" name="Sales Team.Region" tableColumnId="10"/>
      <queryTableField id="9" name="Product Category" tableColumnId="9"/>
      <queryTableField id="11" name="Attribute" tableColumnId="11"/>
      <queryTableField id="18" name="Fcst unweighted" tableColumnId="16"/>
      <queryTableField id="19" name="Fcst weighted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DE803942-0240-4450-B4A9-76CCB9D6FB85}" autoFormatId="16" applyNumberFormats="0" applyBorderFormats="0" applyFontFormats="0" applyPatternFormats="0" applyAlignmentFormats="0" applyWidthHeightFormats="0">
  <queryTableRefresh nextId="52" unboundColumnsRight="3">
    <queryTableFields count="27">
      <queryTableField id="1" name="Country" tableColumnId="1"/>
      <queryTableField id="2" name="Customer name" tableColumnId="2"/>
      <queryTableField id="3" name="RSM" tableColumnId="3"/>
      <queryTableField id="4" name="Product Line" tableColumnId="4"/>
      <queryTableField id="5" name="Model name" tableColumnId="5"/>
      <queryTableField id="6" name="Stage" tableColumnId="6"/>
      <queryTableField id="7" name="Comments (Deal Breaker, spec/requirements, etc)" tableColumnId="7"/>
      <queryTableField id="31" name="Supply Chain" tableColumnId="9"/>
      <queryTableField id="16" name="26M04" tableColumnId="16"/>
      <queryTableField id="17" name="26M05" tableColumnId="17"/>
      <queryTableField id="18" name="26M06" tableColumnId="18"/>
      <queryTableField id="20" name="26M07" tableColumnId="10"/>
      <queryTableField id="21" name="26M08" tableColumnId="11"/>
      <queryTableField id="22" name="26M09" tableColumnId="12"/>
      <queryTableField id="33" name="26M10" tableColumnId="13"/>
      <queryTableField id="34" name="26M11" tableColumnId="14"/>
      <queryTableField id="35" name="26M12" tableColumnId="15"/>
      <queryTableField id="40" name="27M01" tableColumnId="8"/>
      <queryTableField id="41" name="27M02" tableColumnId="23"/>
      <queryTableField id="42" name="27M03" tableColumnId="24"/>
      <queryTableField id="43" name="27M04" tableColumnId="25"/>
      <queryTableField id="44" name="27M05" tableColumnId="26"/>
      <queryTableField id="45" name="27M06" tableColumnId="27"/>
      <queryTableField id="30" name="Product Category" tableColumnId="22"/>
      <queryTableField id="23" dataBound="0" tableColumnId="19"/>
      <queryTableField id="27" dataBound="0" tableColumnId="20"/>
      <queryTableField id="39" dataBound="0" tableColumnId="21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101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9402A3-8760-4E0C-9827-12B0783795BA}" name="Fcst_Accuracy_data" displayName="Fcst_Accuracy_data" ref="A1:F146" tableType="queryTable" totalsRowShown="0">
  <autoFilter ref="A1:F146" xr:uid="{569402A3-8760-4E0C-9827-12B0783795BA}"/>
  <tableColumns count="6">
    <tableColumn id="15" xr3:uid="{BB09434C-7C8D-4417-916C-878BB7A33EA4}" uniqueName="15" name="Country" queryTableFieldId="16"/>
    <tableColumn id="10" xr3:uid="{C1AE105A-2862-4A5A-8FA5-9ECA32C4D28E}" uniqueName="10" name="Sales Team.Region" queryTableFieldId="10"/>
    <tableColumn id="9" xr3:uid="{7C9A0B2C-C355-4C98-A499-31B84AFD11AE}" uniqueName="9" name="Product Category" queryTableFieldId="9"/>
    <tableColumn id="11" xr3:uid="{48299084-4A8F-4CA0-B7E9-16FE5F7A98C8}" uniqueName="11" name="Attribute" queryTableFieldId="11" dataDxfId="868"/>
    <tableColumn id="16" xr3:uid="{4DB5CBA3-74A3-4A64-B4EC-172E7F2E4EAE}" uniqueName="16" name="Fcst unweighted" queryTableFieldId="18"/>
    <tableColumn id="17" xr3:uid="{B51644E7-D03E-4E5D-84FE-471022AE86C7}" uniqueName="17" name="Fcst weighted" queryTableFieldId="1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E537CB-EE05-434D-894B-201253839DFC}" name="Conso_FCST" displayName="Conso_FCST" ref="A1:AA548" tableType="queryTable" totalsRowShown="0">
  <autoFilter ref="A1:AA548" xr:uid="{9BE537CB-EE05-434D-894B-201253839DFC}">
    <filterColumn colId="3">
      <filters>
        <filter val="ESS_TCL_CI"/>
      </filters>
    </filterColumn>
  </autoFilter>
  <tableColumns count="27">
    <tableColumn id="1" xr3:uid="{D7AD2BFD-4F3C-4FFF-B999-224620E06597}" uniqueName="1" name="Country" queryTableFieldId="1"/>
    <tableColumn id="2" xr3:uid="{148B8FC7-8353-4912-BDBF-B0050CAFE48D}" uniqueName="2" name="Customer name" queryTableFieldId="2"/>
    <tableColumn id="3" xr3:uid="{03CCF20F-1779-483C-8AA5-00EF1C76C582}" uniqueName="3" name="RSM" queryTableFieldId="3"/>
    <tableColumn id="4" xr3:uid="{810AC173-F79A-43CB-B4AB-C6BEFAE3884B}" uniqueName="4" name="Product Line" queryTableFieldId="4"/>
    <tableColumn id="5" xr3:uid="{67530497-4A7E-43E7-B914-2C1445888568}" uniqueName="5" name="Model name" queryTableFieldId="5"/>
    <tableColumn id="6" xr3:uid="{7B591657-95AD-4D16-9DAC-9FC9987802D9}" uniqueName="6" name="Stage" queryTableFieldId="6"/>
    <tableColumn id="7" xr3:uid="{C533BD45-BFE6-4656-9D56-05899C1ADEBB}" uniqueName="7" name="Comments (Deal Breaker, spec/requirements, etc)" queryTableFieldId="7"/>
    <tableColumn id="9" xr3:uid="{A7C036FB-F74D-486B-8920-4937524A35B1}" uniqueName="9" name="Supply Chain" queryTableFieldId="31" dataDxfId="0" dataCellStyle="Percent"/>
    <tableColumn id="16" xr3:uid="{24C30F79-878F-4105-867D-A01DD9311C6B}" uniqueName="16" name="26M04" queryTableFieldId="16" dataDxfId="867"/>
    <tableColumn id="17" xr3:uid="{436D37C8-141B-4E4A-B6E4-59B60DB025AB}" uniqueName="17" name="26M05" queryTableFieldId="17" dataDxfId="866"/>
    <tableColumn id="18" xr3:uid="{44681AC7-263A-44DA-8F1A-6CA585612252}" uniqueName="18" name="26M06" queryTableFieldId="18" dataDxfId="865"/>
    <tableColumn id="10" xr3:uid="{4EC69CA5-E60E-4AFB-8B31-7CEBA45318F1}" uniqueName="10" name="26M07" queryTableFieldId="20" dataDxfId="864"/>
    <tableColumn id="11" xr3:uid="{04BA83A3-A452-4BC5-9E81-B021A3B23715}" uniqueName="11" name="26M08" queryTableFieldId="21" dataDxfId="863"/>
    <tableColumn id="12" xr3:uid="{12BAB96B-92B6-4A6F-B485-922AA6BC256A}" uniqueName="12" name="26M09" queryTableFieldId="22" dataDxfId="862"/>
    <tableColumn id="13" xr3:uid="{A02E73FB-5A7E-47BF-AC91-425121E275B3}" uniqueName="13" name="26M10" queryTableFieldId="33"/>
    <tableColumn id="14" xr3:uid="{5382FBF5-5F73-4789-AABC-99B45FA7BC6E}" uniqueName="14" name="26M11" queryTableFieldId="34"/>
    <tableColumn id="15" xr3:uid="{68ADFE7D-C2EF-4132-9C53-871AA2024F54}" uniqueName="15" name="26M12" queryTableFieldId="35"/>
    <tableColumn id="8" xr3:uid="{5D926B35-CB36-488B-A365-BC6629280039}" uniqueName="8" name="27M01" queryTableFieldId="40"/>
    <tableColumn id="23" xr3:uid="{89936D9D-3D93-451F-8B1C-EDB43E918779}" uniqueName="23" name="27M02" queryTableFieldId="41"/>
    <tableColumn id="24" xr3:uid="{AC14A85F-0BB3-422B-9DC8-6115B9D36549}" uniqueName="24" name="27M03" queryTableFieldId="42"/>
    <tableColumn id="25" xr3:uid="{AC4C7578-5033-4436-9647-253D10E52B62}" uniqueName="25" name="27M04" queryTableFieldId="43"/>
    <tableColumn id="26" xr3:uid="{E153720B-0760-4DF9-90BD-19CAE17DCEE4}" uniqueName="26" name="27M05" queryTableFieldId="44"/>
    <tableColumn id="27" xr3:uid="{D0A75BDC-ED58-4C29-94E4-348144C447A2}" uniqueName="27" name="27M06" queryTableFieldId="45"/>
    <tableColumn id="22" xr3:uid="{97CC28F4-87C8-40CF-BE90-5E54B23A7A50}" uniqueName="22" name="Product Category" queryTableFieldId="30"/>
    <tableColumn id="19" xr3:uid="{4DDAFBA8-766B-4059-9301-3E0515BF3909}" uniqueName="19" name="Region" queryTableFieldId="23" dataDxfId="861">
      <calculatedColumnFormula>VLOOKUP(Conso_FCST[[#This Row],[Country]],'Country-Region'!A:D,4,0)</calculatedColumnFormula>
    </tableColumn>
    <tableColumn id="20" xr3:uid="{07AF42C5-45C2-4FD5-BB2D-CA3B02278A89}" uniqueName="20" name="Sales Team" queryTableFieldId="27" dataDxfId="860">
      <calculatedColumnFormula>VLOOKUP(Conso_FCST[[#This Row],[Country]],'Country-Region'!A:D,3,0)</calculatedColumnFormula>
    </tableColumn>
    <tableColumn id="21" xr3:uid="{95CD0927-A6D7-43FA-BC3D-7AD60003DE28}" uniqueName="21" name="Product Conso" queryTableFieldId="39" dataDxfId="859">
      <calculatedColumnFormula>IFERROR(VLOOKUP(Conso_FCST[[#This Row],[Model name]],Prod_T6[[#All],[Model name]:[Product Conso]],2,0),"exclude")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95BDC1-0B80-4788-A8EF-0299DC373918}" name="Saleteam" displayName="Saleteam" ref="A1:D34" totalsRowShown="0" headerRowDxfId="858" dataDxfId="856" headerRowBorderDxfId="857" tableBorderDxfId="855">
  <autoFilter ref="A1:D34" xr:uid="{5295BDC1-0B80-4788-A8EF-0299DC373918}"/>
  <sortState xmlns:xlrd2="http://schemas.microsoft.com/office/spreadsheetml/2017/richdata2" ref="A2:D34">
    <sortCondition ref="D1:D34"/>
  </sortState>
  <tableColumns count="4">
    <tableColumn id="1" xr3:uid="{D8507E74-CF6D-4E2E-9A07-F3C710DA18AA}" name="Country" dataDxfId="854"/>
    <tableColumn id="2" xr3:uid="{7B7C4E2A-D371-410C-972C-50C901011C12}" name="Market Country" dataDxfId="853"/>
    <tableColumn id="3" xr3:uid="{D447E786-8F10-4651-A4A6-E55D5DF4DF2C}" name="Sales Team" dataDxfId="852"/>
    <tableColumn id="4" xr3:uid="{28C11186-A4EE-4748-9766-B8DCE46A5D91}" name="Region" dataDxfId="85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9EF10DC-4DC1-4BD8-A76B-FA0EA6195350}" name="Nordics" displayName="Nordics" ref="A5:AE45" totalsRowShown="0" headerRowDxfId="850" dataDxfId="849">
  <autoFilter ref="A5:AE45" xr:uid="{F9EF10DC-4DC1-4BD8-A76B-FA0EA6195350}"/>
  <tableColumns count="31">
    <tableColumn id="1" xr3:uid="{6F88AD27-EF33-4136-BD23-627326FB8236}" name="Country" dataDxfId="848"/>
    <tableColumn id="2" xr3:uid="{EF85C007-3D08-4AB5-9948-4BF8E30DCAAE}" name="Customer name" dataDxfId="847"/>
    <tableColumn id="48" xr3:uid="{49A61A75-324B-4F8C-BCB0-63320F6BA96C}" name="RSM" dataDxfId="846" totalsRowDxfId="845"/>
    <tableColumn id="24" xr3:uid="{5DABB9EC-B5A3-4977-970B-008CD2759603}" name="Brand" dataDxfId="844">
      <calculatedColumnFormula>VLOOKUP(Nordics[[#This Row],[Product Line]],Prod_T6[],5,0)</calculatedColumnFormula>
    </tableColumn>
    <tableColumn id="4" xr3:uid="{50814E9E-2FB0-4A19-8CDA-15D4A579AE45}" name="Product Line" dataDxfId="843"/>
    <tableColumn id="11" xr3:uid="{8EA72C97-BBDE-4F7F-A6A6-84414685341B}" name="Model name" dataDxfId="842"/>
    <tableColumn id="10" xr3:uid="{6CC2E396-09E8-459A-B0A2-4B2FCD003C8E}" name="Stage" dataDxfId="841"/>
    <tableColumn id="16385" xr3:uid="{4112D6B8-FB29-4C16-9393-20BD62EC52FC}" name="Comments (Deal Breaker, spec/requirements, etc)" dataDxfId="840"/>
    <tableColumn id="16386" xr3:uid="{ACB21C54-47EE-49E5-9F50-F9E4B7BF19E1}" name="Supply Chain" dataDxfId="839" totalsRowDxfId="838" dataCellStyle="Percent"/>
    <tableColumn id="30" xr3:uid="{66A2F1C2-8442-48E1-8137-5E04311F2945}" name="26M04" dataDxfId="837" totalsRowDxfId="836"/>
    <tableColumn id="31" xr3:uid="{DF3808FC-8CE2-4B8E-B1B4-D91271C95C2D}" name="26M05" dataDxfId="835" totalsRowDxfId="834"/>
    <tableColumn id="32" xr3:uid="{04FDF24E-CFD6-4DA7-A562-F7505F2B1822}" name="26M06" dataDxfId="833" totalsRowDxfId="832"/>
    <tableColumn id="3" xr3:uid="{66867670-516B-4B4C-9D43-26589DF6FDB4}" name="26M07" dataDxfId="831" totalsRowDxfId="830"/>
    <tableColumn id="5" xr3:uid="{402BFF43-D612-4D50-924D-4BB1B68C0BC0}" name="26M08" dataDxfId="829" totalsRowDxfId="828"/>
    <tableColumn id="7" xr3:uid="{9AF5CA60-C8AC-4778-8CDA-C7B69B1B6A99}" name="26M09" dataDxfId="827" totalsRowDxfId="826"/>
    <tableColumn id="6" xr3:uid="{FDF63E10-F7E9-4F14-BA82-B6C1308D315C}" name="26M10" dataDxfId="825" totalsRowDxfId="824"/>
    <tableColumn id="12" xr3:uid="{7EBC18DF-BE26-4445-B196-C220005F8972}" name="26M11" dataDxfId="823" totalsRowDxfId="822"/>
    <tableColumn id="13" xr3:uid="{EE5E1B63-E90A-4B65-AD6F-41B76E7D16B7}" name="26M12" dataDxfId="821" totalsRowDxfId="820"/>
    <tableColumn id="34" xr3:uid="{09948C7F-F773-4B5F-BC9A-A2E1E4320839}" name="26Q2" dataDxfId="819" totalsRowDxfId="818" dataCellStyle="Comma">
      <calculatedColumnFormula>SUM(Nordics[[#This Row],[26M04]:[26M06]])</calculatedColumnFormula>
    </tableColumn>
    <tableColumn id="8" xr3:uid="{4C50C7D4-1274-42CF-8918-C7BF6E86B74A}" name="26Q3" dataDxfId="817" totalsRowDxfId="816">
      <calculatedColumnFormula>SUM(Nordics[[#This Row],[26M07]:[26M09]])</calculatedColumnFormula>
    </tableColumn>
    <tableColumn id="14" xr3:uid="{E639C862-D292-4531-9501-B37092B21A83}" name="26Q4" dataDxfId="815" totalsRowDxfId="814" dataCellStyle="Comma">
      <calculatedColumnFormula>SUM(Nordics[[#This Row],[26M10]:[26M12]])</calculatedColumnFormula>
    </tableColumn>
    <tableColumn id="15" xr3:uid="{7EB6F2CA-BA66-4DB2-8010-DDBA443DFFF8}" name="27M01" dataDxfId="813" totalsRowDxfId="812" dataCellStyle="Comma"/>
    <tableColumn id="16" xr3:uid="{9DE85E42-4652-4540-A018-428AE9EF95A7}" name="27M02" dataDxfId="811" totalsRowDxfId="810" dataCellStyle="Comma"/>
    <tableColumn id="17" xr3:uid="{82681A66-7BA3-44CC-93CB-F9446216E6D5}" name="27M03" dataDxfId="809" totalsRowDxfId="808" dataCellStyle="Comma"/>
    <tableColumn id="18" xr3:uid="{82473861-8BCE-44FD-B958-03F466620A2E}" name="27M04" dataDxfId="807" totalsRowDxfId="806" dataCellStyle="Comma"/>
    <tableColumn id="19" xr3:uid="{3F79CC6F-F852-48C9-96DE-3A6D3F3B1B29}" name="27M05" dataDxfId="805" totalsRowDxfId="804" dataCellStyle="Comma"/>
    <tableColumn id="20" xr3:uid="{85A02F00-DF74-4B40-BE97-676D2F773C49}" name="27M06" dataDxfId="803" totalsRowDxfId="802" dataCellStyle="Comma"/>
    <tableColumn id="21" xr3:uid="{C5D7695D-3157-4C86-A243-517500962751}" name="27Q1" dataDxfId="801" totalsRowDxfId="800" dataCellStyle="Comma">
      <calculatedColumnFormula>SUM(Nordics[[#This Row],[27M01]:[27M03]])</calculatedColumnFormula>
    </tableColumn>
    <tableColumn id="22" xr3:uid="{E7AAA78B-837F-4DD8-B07F-563C8BB9A8CC}" name="27Q2" dataDxfId="799" totalsRowDxfId="798" dataCellStyle="Comma">
      <calculatedColumnFormula>SUM(Nordics[[#This Row],[27M04]:[27M06]])</calculatedColumnFormula>
    </tableColumn>
    <tableColumn id="23" xr3:uid="{21742E8E-6B8B-4157-B80F-B980B16D9C03}" name="Only 2026?" dataDxfId="797" totalsRowDxfId="796" dataCellStyle="Comma">
      <calculatedColumnFormula>IF(SUM(Nordics[[#This Row],[26Q2]:[26Q4]])+SUM(Nordics[[#This Row],[27Q1]:[27Q2]])=0,"No FSCT",IF(AND(SUM(Nordics[[#This Row],[26Q2]:[26Q4]])&gt;0,SUM(Nordics[[#This Row],[27Q1]:[27Q2]])=0),"YES","NO"))</calculatedColumnFormula>
    </tableColumn>
    <tableColumn id="9" xr3:uid="{21E80EE9-B955-4BC0-9A2A-52E399F1754A}" name="Product Category" dataDxfId="795" totalsRowDxfId="794">
      <calculatedColumnFormula>VLOOKUP(Nordics[[#This Row],[Product Line]],Prod_T6[],4,0)</calculatedColumnFormula>
    </tableColumn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457B19D-C3DB-42F6-B47D-88FA520CA91E}" name="BE_NL" displayName="BE_NL" ref="A5:AE59" totalsRowShown="0" headerRowDxfId="793" dataDxfId="792">
  <autoFilter ref="A5:AE59" xr:uid="{5457B19D-C3DB-42F6-B47D-88FA520CA91E}">
    <filterColumn colId="6">
      <filters>
        <filter val="3 - Negotiation"/>
        <filter val="4 - BAFO"/>
        <filter val="6 - Won"/>
        <filter val="7 - Booked"/>
      </filters>
    </filterColumn>
  </autoFilter>
  <tableColumns count="31">
    <tableColumn id="1" xr3:uid="{A8D50072-0431-40F9-8B85-1F4E8589ECEA}" name="Country" dataDxfId="791"/>
    <tableColumn id="2" xr3:uid="{3066FD00-2E23-4B62-A23B-04FF61A9C11B}" name="Customer name" dataDxfId="790"/>
    <tableColumn id="48" xr3:uid="{41BB525D-9333-4B62-9889-677E9B90BCE1}" name="RSM" dataDxfId="789" totalsRowDxfId="788"/>
    <tableColumn id="24" xr3:uid="{2C500F2C-7628-45F5-BBB3-71183DE10861}" name="Brand" dataDxfId="787" totalsRowDxfId="786">
      <calculatedColumnFormula>VLOOKUP(BE_NL[[#This Row],[Product Line]],Prod_T6[],5,0)</calculatedColumnFormula>
    </tableColumn>
    <tableColumn id="4" xr3:uid="{BE2634F7-5FEF-4C5B-9809-B2364CD5FE88}" name="Product Line" dataDxfId="785"/>
    <tableColumn id="11" xr3:uid="{88C6AFE4-CC0A-4758-9FE0-649B41C87E1D}" name="Model name" dataDxfId="784" totalsRowDxfId="783"/>
    <tableColumn id="10" xr3:uid="{14926541-28AD-40FE-B4DE-88AF092EEA39}" name="Stage" dataDxfId="782" totalsRowDxfId="781"/>
    <tableColumn id="16385" xr3:uid="{AE80C5CD-15E3-440A-8049-2F4478CFEA2A}" name="Comments (Deal Breaker, spec/requirements, etc)" dataDxfId="780" totalsRowDxfId="779"/>
    <tableColumn id="16386" xr3:uid="{E1140180-B131-4464-AD81-2FF2E9B76A43}" name="Supply Chain" dataDxfId="778" totalsRowDxfId="777" dataCellStyle="Percent"/>
    <tableColumn id="30" xr3:uid="{CC6E6BA3-6EEB-42D8-B3CB-E5754C95BB0B}" name="26M04" dataDxfId="776" totalsRowDxfId="775"/>
    <tableColumn id="31" xr3:uid="{0B5815F8-7F11-43D8-9C62-16FD9E644EC3}" name="26M05" dataDxfId="774" totalsRowDxfId="773"/>
    <tableColumn id="32" xr3:uid="{F2ABC4B9-4C09-4463-AE4E-191281423031}" name="26M06" dataDxfId="772" totalsRowDxfId="771"/>
    <tableColumn id="3" xr3:uid="{B9E5434F-EF21-4110-B779-02A37955A3A2}" name="26M07" dataDxfId="770" totalsRowDxfId="769"/>
    <tableColumn id="5" xr3:uid="{7D7FE935-F788-411C-97E7-DA00E8E98295}" name="26M08" dataDxfId="768" totalsRowDxfId="767"/>
    <tableColumn id="7" xr3:uid="{D6E0EDFB-F94D-4E98-8E71-33CB677425D1}" name="26M09" dataDxfId="766" totalsRowDxfId="765"/>
    <tableColumn id="6" xr3:uid="{D157A660-1F58-4327-A724-664947223108}" name="26M10" dataDxfId="764" totalsRowDxfId="763"/>
    <tableColumn id="12" xr3:uid="{9A5B5E8A-7D25-4050-8547-7DD410AB9453}" name="26M11" dataDxfId="762" totalsRowDxfId="761"/>
    <tableColumn id="13" xr3:uid="{C42F51C7-3656-4865-B954-EC8287A7DE1A}" name="26M12" dataDxfId="760" totalsRowDxfId="759"/>
    <tableColumn id="34" xr3:uid="{4C952136-35C0-4A3E-B49C-C7168F90C61C}" name="26Q2" dataDxfId="758" totalsRowDxfId="757" dataCellStyle="Comma">
      <calculatedColumnFormula>SUM(BE_NL[[#This Row],[26M04]:[26M06]])</calculatedColumnFormula>
    </tableColumn>
    <tableColumn id="8" xr3:uid="{75073C4F-2D47-499F-A2DA-D0432A2A92B8}" name="26Q3" dataDxfId="756" totalsRowDxfId="755">
      <calculatedColumnFormula>SUM(BE_NL[[#This Row],[26M07]:[26M09]])</calculatedColumnFormula>
    </tableColumn>
    <tableColumn id="14" xr3:uid="{1657EF7B-F19E-480B-BFF9-4A65BA01953E}" name="26Q4" dataDxfId="754" totalsRowDxfId="753" dataCellStyle="Comma">
      <calculatedColumnFormula>SUM(BE_NL[[#This Row],[26M10]:[26M12]])</calculatedColumnFormula>
    </tableColumn>
    <tableColumn id="15" xr3:uid="{5E4721F0-8582-4389-A753-41748BD77EBC}" name="27M01" dataDxfId="752" totalsRowDxfId="751" dataCellStyle="Comma"/>
    <tableColumn id="16" xr3:uid="{776FA84B-7E5F-4D72-8BA4-E16DC6A3C7FC}" name="27M02" dataDxfId="750" totalsRowDxfId="749" dataCellStyle="Comma"/>
    <tableColumn id="17" xr3:uid="{5F82CF61-34C7-4330-9287-875253F62E0B}" name="27M03" dataDxfId="748" totalsRowDxfId="747" dataCellStyle="Comma"/>
    <tableColumn id="18" xr3:uid="{60556AAE-3C82-4E9A-A9AB-7E31BA188D4A}" name="27M04" dataDxfId="746" totalsRowDxfId="745" dataCellStyle="Comma"/>
    <tableColumn id="19" xr3:uid="{4FFB956D-75B6-4901-AA21-C9FA4523BACB}" name="27M05" dataDxfId="744" totalsRowDxfId="743" dataCellStyle="Comma"/>
    <tableColumn id="20" xr3:uid="{A9A16ECF-23DE-48DE-937C-A3BF62D65849}" name="27M06" dataDxfId="742" totalsRowDxfId="741" dataCellStyle="Comma"/>
    <tableColumn id="21" xr3:uid="{7B4B323B-251F-478A-8A2A-1D538F82B7B3}" name="27Q1" dataDxfId="740" totalsRowDxfId="739" dataCellStyle="Comma">
      <calculatedColumnFormula>SUM(BE_NL[[#This Row],[27M01]:[27M03]])</calculatedColumnFormula>
    </tableColumn>
    <tableColumn id="22" xr3:uid="{0D5BD9DD-38F2-4C89-BA36-F9777150E2EA}" name="27Q2" dataDxfId="738" totalsRowDxfId="737" dataCellStyle="Comma">
      <calculatedColumnFormula>SUM(BE_NL[[#This Row],[27M04]:[27M06]])</calculatedColumnFormula>
    </tableColumn>
    <tableColumn id="23" xr3:uid="{C58A9C43-EA2D-4AB4-BC6A-027B062B3A01}" name="Only 2026?" dataDxfId="736" totalsRowDxfId="735" dataCellStyle="Comma">
      <calculatedColumnFormula>IF(SUM(BE_NL[[#This Row],[26Q2]:[26Q4]])+SUM(BE_NL[[#This Row],[27Q1]:[27Q2]])=0,"No FSCT",IF(AND(SUM(BE_NL[[#This Row],[26Q2]:[26Q4]])&gt;0,SUM(BE_NL[[#This Row],[27Q1]:[27Q2]])=0),"YES","NO"))</calculatedColumnFormula>
    </tableColumn>
    <tableColumn id="9" xr3:uid="{A984557A-C7C7-4343-91FF-BF548BDA0393}" name="Product Category" dataDxfId="734" totalsRowDxfId="733">
      <calculatedColumnFormula>VLOOKUP(BE_NL[[#This Row],[Product Line]],Prod_T6[],4,0)</calculatedColumnFormula>
    </tableColumn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A0EBAB5-47CA-4E50-9F5D-64BC0275FC64}" name="UK_NO" displayName="UK_NO" ref="A5:AE98" totalsRowShown="0" headerRowDxfId="732" dataDxfId="731">
  <autoFilter ref="A5:AE98" xr:uid="{2A0EBAB5-47CA-4E50-9F5D-64BC0275FC64}"/>
  <tableColumns count="31">
    <tableColumn id="1" xr3:uid="{4B4BA98B-F5BD-48DF-8E41-CB2E0CCC965A}" name="Country" dataDxfId="730"/>
    <tableColumn id="2" xr3:uid="{84D40E6B-C212-4D3C-9ED2-779E79E8CF02}" name="Customer name" dataDxfId="729"/>
    <tableColumn id="48" xr3:uid="{6D2B8957-C0A3-4379-AF7E-4F3137FF1478}" name="RSM" dataDxfId="728" totalsRowDxfId="727"/>
    <tableColumn id="24" xr3:uid="{6CD4025D-B855-472C-93AC-F367AB91B259}" name="Brand" dataDxfId="726" totalsRowDxfId="725">
      <calculatedColumnFormula>VLOOKUP(UK_NO[[#This Row],[Product Line]],Prod_T6[],5,0)</calculatedColumnFormula>
    </tableColumn>
    <tableColumn id="4" xr3:uid="{C7597C2A-0436-46BD-B537-A89FD7B9D873}" name="Product Line" dataDxfId="724"/>
    <tableColumn id="11" xr3:uid="{1F60C5BD-91C3-438B-81CD-838BDCE7D11A}" name="Model name" dataDxfId="723" totalsRowDxfId="722"/>
    <tableColumn id="10" xr3:uid="{AFB3850F-2839-41AA-B410-38FF56EB8D15}" name="Stage" dataDxfId="721" totalsRowDxfId="720"/>
    <tableColumn id="16385" xr3:uid="{ED7AE76E-3878-499C-B31B-72CF0EBDAAC8}" name="Comments (Deal Breaker, spec/requirements, etc)" dataDxfId="719" totalsRowDxfId="718"/>
    <tableColumn id="16386" xr3:uid="{47F6DA7D-E35F-460B-BEDC-4DC82BB050CD}" name="Supply Chain" dataDxfId="717" totalsRowDxfId="716" dataCellStyle="Percent"/>
    <tableColumn id="30" xr3:uid="{B30732AB-F270-4367-8A2E-F34DEFE1828B}" name="26M04" dataDxfId="715" totalsRowDxfId="714"/>
    <tableColumn id="31" xr3:uid="{16127636-CDCD-46BD-95E6-7BF14AAC6FB7}" name="26M05" dataDxfId="713" totalsRowDxfId="712"/>
    <tableColumn id="32" xr3:uid="{3800ACEE-D04C-4A96-9025-0ACFAFEB2EFB}" name="26M06" dataDxfId="711" totalsRowDxfId="710"/>
    <tableColumn id="3" xr3:uid="{58D7220A-116A-48EB-B5D0-039D4032A8BB}" name="26M07" dataDxfId="709" totalsRowDxfId="708"/>
    <tableColumn id="5" xr3:uid="{793E5B9C-305D-4A07-97BF-4FC3E066DEDA}" name="26M08" dataDxfId="707" totalsRowDxfId="706"/>
    <tableColumn id="7" xr3:uid="{4782F1B0-D73C-40C5-BA5F-82AFB2947A9D}" name="26M09" dataDxfId="705" totalsRowDxfId="704"/>
    <tableColumn id="6" xr3:uid="{6687D687-FE0A-452D-89DE-21EEDD7310EB}" name="26M10" dataDxfId="703" totalsRowDxfId="702"/>
    <tableColumn id="12" xr3:uid="{69B6931D-4C96-4E14-BBE5-8E8D862B00A8}" name="26M11" dataDxfId="701" totalsRowDxfId="700"/>
    <tableColumn id="13" xr3:uid="{A9B9217A-26C5-456D-9C6F-77A8F9338272}" name="26M12" dataDxfId="699" totalsRowDxfId="698"/>
    <tableColumn id="34" xr3:uid="{88709F5B-E120-4B8B-B68B-6602DC8E2C04}" name="26Q2" dataDxfId="697" totalsRowDxfId="696" dataCellStyle="Comma">
      <calculatedColumnFormula>SUM(UK_NO[[#This Row],[26M04]:[26M06]])</calculatedColumnFormula>
    </tableColumn>
    <tableColumn id="8" xr3:uid="{3A348412-2E60-4661-934F-573D52D33464}" name="26Q3" dataDxfId="695" totalsRowDxfId="694"/>
    <tableColumn id="14" xr3:uid="{85A2E389-F3AB-4306-AAA0-93D2DB643137}" name="26Q4" dataDxfId="693" totalsRowDxfId="692" dataCellStyle="Comma">
      <calculatedColumnFormula>SUM(UK_NO[[#This Row],[26M10]:[26M12]])</calculatedColumnFormula>
    </tableColumn>
    <tableColumn id="15" xr3:uid="{3E4392FB-20B8-4CB2-B2BA-1029141AB45C}" name="27M01" dataDxfId="691" totalsRowDxfId="690" dataCellStyle="Comma"/>
    <tableColumn id="16" xr3:uid="{DF3464B9-4515-4FE3-8EDF-4977A2F05FA1}" name="27M02" dataDxfId="689" totalsRowDxfId="688" dataCellStyle="Comma"/>
    <tableColumn id="17" xr3:uid="{A3ABBBE4-CCFB-440C-B9C8-D4DB7C016806}" name="27M03" dataDxfId="687" totalsRowDxfId="686" dataCellStyle="Comma"/>
    <tableColumn id="18" xr3:uid="{7F87F671-A2EC-49DF-BC39-766486E5D642}" name="27M04" dataDxfId="685" totalsRowDxfId="684" dataCellStyle="Comma"/>
    <tableColumn id="19" xr3:uid="{FC1FCE36-4AD1-46D0-9F5B-76916C0CE6C4}" name="27M05" dataDxfId="683" totalsRowDxfId="682" dataCellStyle="Comma"/>
    <tableColumn id="20" xr3:uid="{7804B737-CE66-4E20-A9C6-264A07E85391}" name="27M06" dataDxfId="681" totalsRowDxfId="680" dataCellStyle="Comma"/>
    <tableColumn id="21" xr3:uid="{46855EB7-F861-4827-B8A6-6BB0A6207C34}" name="27Q1" dataDxfId="679" totalsRowDxfId="678" dataCellStyle="Comma">
      <calculatedColumnFormula>SUM(UK_NO[[#This Row],[27M01]:[27M03]])</calculatedColumnFormula>
    </tableColumn>
    <tableColumn id="22" xr3:uid="{2C59A598-CAF4-4320-9638-D1B39749B308}" name="27Q2" dataDxfId="677" totalsRowDxfId="676" dataCellStyle="Comma">
      <calculatedColumnFormula>SUM(UK_NO[[#This Row],[27M04]:[27M06]])</calculatedColumnFormula>
    </tableColumn>
    <tableColumn id="23" xr3:uid="{5FD73CB2-2624-4E0D-92FD-64CB14434F6D}" name="Only 2026?" dataDxfId="675" totalsRowDxfId="674" dataCellStyle="Comma">
      <calculatedColumnFormula>IF(SUM(UK_NO[[#This Row],[26Q2]:[26Q4]])+SUM(UK_NO[[#This Row],[27Q1]:[27Q2]])=0,"No FSCT",IF(AND(SUM(UK_NO[[#This Row],[26Q2]:[26Q4]])&gt;0,SUM(UK_NO[[#This Row],[27Q1]:[27Q2]])=0),"YES","NO"))</calculatedColumnFormula>
    </tableColumn>
    <tableColumn id="9" xr3:uid="{E4BCF997-5AE9-4A9F-BA85-B528132BDB82}" name="Product Category" dataDxfId="673" totalsRowDxfId="672">
      <calculatedColumnFormula>VLOOKUP(UK_NO[[#This Row],[Product Line]],Prod_T6[],4,0)</calculatedColumnFormula>
    </tableColumn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E5B5A36-97D7-4BE2-99D4-2B72041EDB8E}" name="ES" displayName="ES" ref="A5:AE46" totalsRowShown="0" headerRowDxfId="671" dataDxfId="670">
  <autoFilter ref="A5:AE46" xr:uid="{7E5B5A36-97D7-4BE2-99D4-2B72041EDB8E}">
    <filterColumn colId="6">
      <filters blank="1">
        <filter val="3 - Negotiation"/>
        <filter val="4 - BAFO"/>
        <filter val="5 - Finalize contract"/>
      </filters>
    </filterColumn>
  </autoFilter>
  <tableColumns count="31">
    <tableColumn id="1" xr3:uid="{5203BB14-D0EA-44B7-A698-E0483EF18A23}" name="Country" dataDxfId="669"/>
    <tableColumn id="2" xr3:uid="{DBFB8A2E-A9B2-467F-B2D1-67C1CB3572B8}" name="Customer name" dataDxfId="668"/>
    <tableColumn id="48" xr3:uid="{5A8E01F5-8804-4EF6-964D-D4E596E14CB9}" name="RSM" dataDxfId="667" totalsRowDxfId="666"/>
    <tableColumn id="24" xr3:uid="{F3E2E65B-9746-4619-A4A4-C79C0584AEAD}" name="Brand" dataDxfId="665" totalsRowDxfId="664">
      <calculatedColumnFormula>VLOOKUP(ES[[#This Row],[Product Line]],Prod_T6[],5,0)</calculatedColumnFormula>
    </tableColumn>
    <tableColumn id="4" xr3:uid="{F95D7532-637B-47C6-A1FF-D7816787A88F}" name="Product Line" dataDxfId="663"/>
    <tableColumn id="11" xr3:uid="{5752C7E2-F91F-408F-8AF2-8C0D2A4A41F3}" name="Model name" dataDxfId="662" totalsRowDxfId="661"/>
    <tableColumn id="10" xr3:uid="{2C61272D-ECC0-4022-8036-D6C91BC2B18B}" name="Stage" dataDxfId="660" totalsRowDxfId="659"/>
    <tableColumn id="16385" xr3:uid="{9C6280F7-B78C-41EB-8E03-7AE181EF013C}" name="Comments (Deal Breaker, spec/requirements, etc)" dataDxfId="658" totalsRowDxfId="657"/>
    <tableColumn id="16386" xr3:uid="{F19AE0AF-4CF4-4437-8C5F-6EFD9E07D346}" name="Supply Chain" dataDxfId="656" totalsRowDxfId="655" dataCellStyle="Percent"/>
    <tableColumn id="30" xr3:uid="{1AAD824A-0200-4C6F-A774-CC2C5526338F}" name="26M04" dataDxfId="654" totalsRowDxfId="653"/>
    <tableColumn id="31" xr3:uid="{4697A497-3928-4367-A519-4A03379234F2}" name="26M05" dataDxfId="652" totalsRowDxfId="651"/>
    <tableColumn id="32" xr3:uid="{D569BA37-A65D-4332-B48B-2EED6E5A4E36}" name="26M06" dataDxfId="650" totalsRowDxfId="649"/>
    <tableColumn id="3" xr3:uid="{FD28009F-5C65-40EF-8019-AC6BE5BAA773}" name="26M07" dataDxfId="648" totalsRowDxfId="647"/>
    <tableColumn id="5" xr3:uid="{F98D51D4-32B6-4572-8E89-CFDA6711E9FD}" name="26M08" dataDxfId="646" totalsRowDxfId="645"/>
    <tableColumn id="7" xr3:uid="{8F425C80-7FF0-4476-A0BA-76BC8BA27738}" name="26M09" dataDxfId="644" totalsRowDxfId="643"/>
    <tableColumn id="6" xr3:uid="{3E6400B6-856C-4E8F-809C-B91D1D8A6D96}" name="26M10" dataDxfId="642" totalsRowDxfId="641"/>
    <tableColumn id="12" xr3:uid="{52D89820-B260-4166-B190-53B410CC4436}" name="26M11" dataDxfId="640" totalsRowDxfId="639"/>
    <tableColumn id="13" xr3:uid="{4AC11D2B-F396-408E-B62D-90CF746E3B89}" name="26M12" dataDxfId="638" totalsRowDxfId="637"/>
    <tableColumn id="34" xr3:uid="{E9097AAA-0B95-4F38-954B-091F067C7B4D}" name="26Q2" dataDxfId="636" totalsRowDxfId="635" dataCellStyle="Comma">
      <calculatedColumnFormula>SUM(ES[[#This Row],[26M04]:[26M06]])</calculatedColumnFormula>
    </tableColumn>
    <tableColumn id="8" xr3:uid="{D13EE1A1-11E0-4C03-AC00-848A2BD3A46E}" name="26Q3" dataDxfId="634" totalsRowDxfId="633">
      <calculatedColumnFormula>SUM(ES[[#This Row],[26M07]:[26M09]])</calculatedColumnFormula>
    </tableColumn>
    <tableColumn id="14" xr3:uid="{D16DBF22-4941-43EB-B36D-1589CEFE245E}" name="26Q4" dataDxfId="632" totalsRowDxfId="631" dataCellStyle="Comma">
      <calculatedColumnFormula>SUM(ES[[#This Row],[26M10]:[26M12]])</calculatedColumnFormula>
    </tableColumn>
    <tableColumn id="15" xr3:uid="{1863F096-DC2D-40E0-9E63-43CA50FD698C}" name="27M01" dataDxfId="630" totalsRowDxfId="629" dataCellStyle="Comma"/>
    <tableColumn id="16" xr3:uid="{F11BDAAD-7F4E-4D75-AFB9-C4D1280EECA3}" name="27M02" dataDxfId="628" totalsRowDxfId="627" dataCellStyle="Comma"/>
    <tableColumn id="17" xr3:uid="{CA238617-0347-48AD-B2B9-288BD0413142}" name="27M03" dataDxfId="626" totalsRowDxfId="625" dataCellStyle="Comma"/>
    <tableColumn id="18" xr3:uid="{907AB173-0864-4551-98C6-AF3DEE3DBBBF}" name="27M04" dataDxfId="624" totalsRowDxfId="623" dataCellStyle="Comma"/>
    <tableColumn id="19" xr3:uid="{2C4708F3-04CA-449A-B7E6-3D29581834CD}" name="27M05" dataDxfId="622" totalsRowDxfId="621" dataCellStyle="Comma"/>
    <tableColumn id="20" xr3:uid="{7B7EA2A8-05D7-43C8-9C03-C956E6EE755E}" name="27M06" dataDxfId="620" totalsRowDxfId="619" dataCellStyle="Comma"/>
    <tableColumn id="21" xr3:uid="{972BD88C-27AE-478E-AB0F-83AF6265F671}" name="27Q1" dataDxfId="618" totalsRowDxfId="617" dataCellStyle="Comma">
      <calculatedColumnFormula>SUM(ES[[#This Row],[27M01]:[27M03]])</calculatedColumnFormula>
    </tableColumn>
    <tableColumn id="22" xr3:uid="{5515C3D4-C409-4719-9185-8D46EC206337}" name="27Q2" dataDxfId="616" totalsRowDxfId="615" dataCellStyle="Comma">
      <calculatedColumnFormula>SUM(ES[[#This Row],[27M04]:[27M06]])</calculatedColumnFormula>
    </tableColumn>
    <tableColumn id="23" xr3:uid="{10C6255B-EA60-49FB-B961-D3AC5245E961}" name="Only 2026?" dataDxfId="614" totalsRowDxfId="613" dataCellStyle="Comma">
      <calculatedColumnFormula>IF(SUM(ES[[#This Row],[26Q2]:[26Q4]])+SUM(ES[[#This Row],[27Q1]:[27Q2]])=0,"No FSCT",IF(AND(SUM(ES[[#This Row],[26Q2]:[26Q4]])&gt;0,SUM(ES[[#This Row],[27Q1]:[27Q2]])=0),"YES","NO"))</calculatedColumnFormula>
    </tableColumn>
    <tableColumn id="9" xr3:uid="{3125A12C-2B0A-4136-8CE1-B59BAA77B5CE}" name="Product Category" dataDxfId="612" totalsRowDxfId="611">
      <calculatedColumnFormula>VLOOKUP(ES[[#This Row],[Product Line]],Prod_T6[],4,0)</calculatedColumnFormula>
    </tableColumn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9D6B852-6C29-467C-A989-2BB1F0DE81E8}" name="FR_CH" displayName="FR_CH" ref="A5:AE107" totalsRowShown="0" headerRowDxfId="610" dataDxfId="609">
  <autoFilter ref="A5:AE107" xr:uid="{C9D6B852-6C29-467C-A989-2BB1F0DE81E8}"/>
  <tableColumns count="31">
    <tableColumn id="1" xr3:uid="{A9D16510-3EE5-4B3E-9A24-E2E248CEC9FC}" name="Country" dataDxfId="608"/>
    <tableColumn id="2" xr3:uid="{9612B0DF-A0E7-4678-BDBB-60B2F4DAC466}" name="Customer name" dataDxfId="607"/>
    <tableColumn id="48" xr3:uid="{C0C33529-52BB-4F13-A5E8-DBCED890F362}" name="RSM" dataDxfId="606" totalsRowDxfId="605"/>
    <tableColumn id="24" xr3:uid="{7E2C2649-A75C-4FCB-AD8D-7F77709D3F69}" name="Brand" dataDxfId="604" totalsRowDxfId="603">
      <calculatedColumnFormula>VLOOKUP(FR_CH[[#This Row],[Product Line]],Prod_T6[],5,0)</calculatedColumnFormula>
    </tableColumn>
    <tableColumn id="4" xr3:uid="{CBC42155-558A-4D61-8F69-D16A5D7B7F80}" name="Product Line" dataDxfId="602"/>
    <tableColumn id="11" xr3:uid="{0A2B07D9-113D-425F-B946-294CCEC47211}" name="Model name" dataDxfId="601" totalsRowDxfId="600"/>
    <tableColumn id="10" xr3:uid="{D08E2573-A034-4AF3-A831-43FADFCBF196}" name="Stage" dataDxfId="599" totalsRowDxfId="598"/>
    <tableColumn id="16385" xr3:uid="{E671CF45-231D-4EF5-A63F-23C300B0975F}" name="Comments (Deal Breaker, spec/requirements, etc)" dataDxfId="597" totalsRowDxfId="596"/>
    <tableColumn id="16386" xr3:uid="{55AA0474-F105-4DAB-B968-BEA9FD453487}" name="Supply Chain" dataDxfId="595" totalsRowDxfId="594" dataCellStyle="Percent"/>
    <tableColumn id="30" xr3:uid="{BAA38F1F-D5E4-46B5-8BAF-E5829E381A16}" name="26M04" dataDxfId="593" totalsRowDxfId="592"/>
    <tableColumn id="31" xr3:uid="{6FE950B5-E020-4A1E-B593-22B3FF2213F5}" name="26M05" dataDxfId="591" totalsRowDxfId="590"/>
    <tableColumn id="32" xr3:uid="{2A6CFB56-43D1-43DF-AEE7-69AA7F6ECCAE}" name="26M06" dataDxfId="589" totalsRowDxfId="588"/>
    <tableColumn id="3" xr3:uid="{3ACD86E7-3EF3-4717-B9E3-BA5C017FB2C6}" name="26M07" dataDxfId="587" totalsRowDxfId="586"/>
    <tableColumn id="5" xr3:uid="{24D6CC8F-2534-49B0-8760-415B4877FFD5}" name="26M08" dataDxfId="585" totalsRowDxfId="584"/>
    <tableColumn id="7" xr3:uid="{CF0DFE36-B9F4-427B-BE64-AC1BF2926DF1}" name="26M09" dataDxfId="583" totalsRowDxfId="582"/>
    <tableColumn id="6" xr3:uid="{67E725F8-8471-42D3-93BE-BF90F4479093}" name="26M10" dataDxfId="581" totalsRowDxfId="580"/>
    <tableColumn id="12" xr3:uid="{064C521C-CAAE-4AC8-8342-FED5D5D0786D}" name="26M11" dataDxfId="579" totalsRowDxfId="578"/>
    <tableColumn id="13" xr3:uid="{CCBEA8CF-335E-429C-943F-6FD3E17C820A}" name="26M12" dataDxfId="577" totalsRowDxfId="576"/>
    <tableColumn id="34" xr3:uid="{254DDE32-E02F-4174-9784-67780F0D1551}" name="26Q2" dataDxfId="575" totalsRowDxfId="574" dataCellStyle="Comma">
      <calculatedColumnFormula>SUM(FR_CH[[#This Row],[26M04]:[26M06]])</calculatedColumnFormula>
    </tableColumn>
    <tableColumn id="8" xr3:uid="{5E9F81A5-0F5C-41CE-B4E4-5DDAF39A506A}" name="26Q3" dataDxfId="573" totalsRowDxfId="572">
      <calculatedColumnFormula>SUM(FR_CH[[#This Row],[26M07]:[26M09]])</calculatedColumnFormula>
    </tableColumn>
    <tableColumn id="14" xr3:uid="{47CFC571-2313-4E16-8911-61F702320944}" name="26Q4" dataDxfId="571" totalsRowDxfId="570" dataCellStyle="Comma">
      <calculatedColumnFormula>SUM(FR_CH[[#This Row],[26M10]:[26M12]])</calculatedColumnFormula>
    </tableColumn>
    <tableColumn id="15" xr3:uid="{A8C85B9B-DA7B-4FE7-8DD9-3CAB92C9E0FE}" name="27M01" dataDxfId="569" totalsRowDxfId="568" dataCellStyle="Comma"/>
    <tableColumn id="16" xr3:uid="{CEA88549-03C9-45C6-9927-80DF67345DDF}" name="27M02" dataDxfId="567" totalsRowDxfId="566" dataCellStyle="Comma"/>
    <tableColumn id="17" xr3:uid="{88CCFEAC-83C8-4DF4-8205-80400807C75C}" name="27M03" dataDxfId="565" totalsRowDxfId="564" dataCellStyle="Comma"/>
    <tableColumn id="18" xr3:uid="{5C7BD2AF-4C75-4613-9B1A-36CF1C50C8F0}" name="27M04" dataDxfId="563" totalsRowDxfId="562" dataCellStyle="Comma"/>
    <tableColumn id="19" xr3:uid="{657F7A40-BD42-4ABE-BBAE-0148B15E374D}" name="27M05" dataDxfId="561" totalsRowDxfId="560" dataCellStyle="Comma"/>
    <tableColumn id="20" xr3:uid="{CBFE3522-329F-4BB4-82A3-03C64D0B00BC}" name="27M06" dataDxfId="559" totalsRowDxfId="558" dataCellStyle="Comma"/>
    <tableColumn id="21" xr3:uid="{6B85F225-5FCF-4BA7-B53A-68868A8AF4D6}" name="27Q1" dataDxfId="557" dataCellStyle="Comma">
      <calculatedColumnFormula>SUM(FR_CH[[#This Row],[27M01]:[27M03]])</calculatedColumnFormula>
    </tableColumn>
    <tableColumn id="22" xr3:uid="{C19A0C44-5F80-4A0A-9195-731688CE2662}" name="27Q2" dataDxfId="556" dataCellStyle="Comma">
      <calculatedColumnFormula>SUM(FR_CH[[#This Row],[27M01]:[27M03]])</calculatedColumnFormula>
    </tableColumn>
    <tableColumn id="23" xr3:uid="{EAC26432-AFA3-4AFD-B145-C2DA2128F48A}" name="Only 2026?" dataDxfId="555" totalsRowDxfId="554" dataCellStyle="Comma">
      <calculatedColumnFormula>IF(SUM(FR_CH[[#This Row],[26Q2]:[26Q4]])+SUM(FR_CH[[#This Row],[27Q1]:[27Q2]])=0,"No FSCT",IF(AND(SUM(FR_CH[[#This Row],[26Q2]:[26Q4]])&gt;0,SUM(FR_CH[[#This Row],[27Q1]:[27Q2]])=0),"YES","NO"))</calculatedColumnFormula>
    </tableColumn>
    <tableColumn id="9" xr3:uid="{D128E9D6-DC59-4A74-A17B-13EC49AB040F}" name="Product Category" dataDxfId="553" totalsRowDxfId="552">
      <calculatedColumnFormula>VLOOKUP(FR_CH[[#This Row],[Product Line]],Prod_T6[],4,0)</calculatedColumnFormula>
    </tableColumn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55FED25-7723-468A-8F39-D80A76AABF8C}" name="EM" displayName="EM" ref="A5:AE80" totalsRowShown="0" headerRowDxfId="551" dataDxfId="550">
  <autoFilter ref="A5:AE80" xr:uid="{B55FED25-7723-468A-8F39-D80A76AABF8C}">
    <filterColumn colId="6">
      <filters>
        <filter val="3 - Negotiation"/>
        <filter val="4 - BAFO"/>
        <filter val="5 - Finalize contract"/>
        <filter val="6 - Won"/>
        <filter val="7 - Booked"/>
      </filters>
    </filterColumn>
  </autoFilter>
  <tableColumns count="31">
    <tableColumn id="1" xr3:uid="{81D3F23A-855B-4856-992D-855114862D77}" name="Country" dataDxfId="549"/>
    <tableColumn id="2" xr3:uid="{5C5DA885-795B-485C-9705-F89FBB61D625}" name="Customer name" dataDxfId="548"/>
    <tableColumn id="48" xr3:uid="{E2FCA2AB-EA2D-4C1F-B7EE-34B8B3DE9462}" name="RSM" dataDxfId="547" totalsRowDxfId="546"/>
    <tableColumn id="24" xr3:uid="{3CCDC4CB-6D73-4B01-8F88-D85EFAF38035}" name="Brand" dataDxfId="545" totalsRowDxfId="544">
      <calculatedColumnFormula>VLOOKUP(EM[[#This Row],[Product Line]],Prod_T6[],5,0)</calculatedColumnFormula>
    </tableColumn>
    <tableColumn id="4" xr3:uid="{5CF06818-0BCD-4D08-998B-F798A1D812C2}" name="Product Line" dataDxfId="543"/>
    <tableColumn id="11" xr3:uid="{735A2A80-CEB4-453C-8D8D-05741EA9862D}" name="Model name" dataDxfId="542" totalsRowDxfId="541"/>
    <tableColumn id="10" xr3:uid="{5E9C0BA0-E457-474C-8360-1879ECB124A3}" name="Stage" dataDxfId="540" totalsRowDxfId="539"/>
    <tableColumn id="16385" xr3:uid="{0988CB22-43BE-4591-92D5-4CB351CAA2E4}" name="Comments (Deal Breaker, spec/requirements, etc)" dataDxfId="538" totalsRowDxfId="537"/>
    <tableColumn id="16386" xr3:uid="{54E9451A-F374-47A1-B3EB-079F28A4A4C7}" name="Supply Chain" dataDxfId="536" totalsRowDxfId="535" dataCellStyle="Percent"/>
    <tableColumn id="30" xr3:uid="{B38ABCA1-86CB-4BA1-97CA-C915D0107D72}" name="26M04" dataDxfId="534" totalsRowDxfId="533"/>
    <tableColumn id="31" xr3:uid="{DFA6766C-6E50-4BA9-BB5E-F01AF8E735B6}" name="26M05" dataDxfId="532" totalsRowDxfId="531"/>
    <tableColumn id="32" xr3:uid="{E775DFD3-5E51-47EC-942A-78E70ADEC392}" name="26M06" dataDxfId="530" totalsRowDxfId="529"/>
    <tableColumn id="3" xr3:uid="{968A9FDA-8E80-4665-AA9B-DEDDE525AE0E}" name="26M07" dataDxfId="528" totalsRowDxfId="527"/>
    <tableColumn id="5" xr3:uid="{06CF4189-71EE-4CC0-A56B-9DE86F6B8302}" name="26M08" dataDxfId="526" totalsRowDxfId="525"/>
    <tableColumn id="7" xr3:uid="{15D22700-0031-4E87-B96B-2B83640AC4D2}" name="26M09" dataDxfId="524" totalsRowDxfId="523"/>
    <tableColumn id="6" xr3:uid="{D91B7B0B-1AF5-405B-B7B1-90A78FEDD69D}" name="26M10" dataDxfId="522" totalsRowDxfId="521"/>
    <tableColumn id="12" xr3:uid="{7A90A2A0-E2C6-44EE-9265-4CE3A31B8EA7}" name="26M11" dataDxfId="520" totalsRowDxfId="519"/>
    <tableColumn id="13" xr3:uid="{718F1A28-A078-47CE-BF81-2FA8EDDF1465}" name="26M12" dataDxfId="518" totalsRowDxfId="517"/>
    <tableColumn id="34" xr3:uid="{83142666-23DC-43E5-B5A8-7886A29325C8}" name="26Q2" dataDxfId="516" totalsRowDxfId="515" dataCellStyle="Comma">
      <calculatedColumnFormula>SUM(EM[[#This Row],[26M04]:[26M06]])</calculatedColumnFormula>
    </tableColumn>
    <tableColumn id="8" xr3:uid="{DB3C0AD5-2E16-43A7-AAAC-871A5BB76F0E}" name="26Q3" dataDxfId="514" totalsRowDxfId="513">
      <calculatedColumnFormula>SUM(EM[[#This Row],[26M07]:[26M09]])</calculatedColumnFormula>
    </tableColumn>
    <tableColumn id="14" xr3:uid="{463515AC-9E57-44EA-ADDA-E2070A04DFE3}" name="26Q4" dataDxfId="512" totalsRowDxfId="511" dataCellStyle="Comma">
      <calculatedColumnFormula>SUM(EM[[#This Row],[26M10]:[26M12]])</calculatedColumnFormula>
    </tableColumn>
    <tableColumn id="15" xr3:uid="{E4DF0491-FA13-4FB3-894B-589298A3214E}" name="27M01" dataDxfId="510" totalsRowDxfId="509" dataCellStyle="Comma"/>
    <tableColumn id="16" xr3:uid="{822C9009-EC07-46CD-B44D-A0098818FA60}" name="27M02" dataDxfId="508" totalsRowDxfId="507" dataCellStyle="Comma"/>
    <tableColumn id="17" xr3:uid="{8F8E7898-9690-49A4-B8AD-A0F5290729A2}" name="27M03" dataDxfId="506" totalsRowDxfId="505" dataCellStyle="Comma"/>
    <tableColumn id="18" xr3:uid="{C2DFF103-E6B4-4DCE-91DD-2C76A8B17FEB}" name="27M04" dataDxfId="504" totalsRowDxfId="503" dataCellStyle="Comma"/>
    <tableColumn id="19" xr3:uid="{ABAC64F9-1978-4D05-82E1-09694C851FE3}" name="27M05" dataDxfId="502" totalsRowDxfId="501" dataCellStyle="Comma"/>
    <tableColumn id="20" xr3:uid="{EAF7BDD4-04EA-4B03-83F6-92BA98B3BB4D}" name="27M06" dataDxfId="500" totalsRowDxfId="499" dataCellStyle="Comma"/>
    <tableColumn id="21" xr3:uid="{D2E3F95B-1FB8-48B8-B6BD-6B16C20CAF39}" name="27Q1" dataDxfId="498" totalsRowDxfId="497" dataCellStyle="Comma">
      <calculatedColumnFormula>SUM(EM[[#This Row],[27M01]:[27M03]])</calculatedColumnFormula>
    </tableColumn>
    <tableColumn id="22" xr3:uid="{CD890F92-8F60-41E8-949D-081EF0F09CA6}" name="27Q2" dataDxfId="496" totalsRowDxfId="495" dataCellStyle="Comma">
      <calculatedColumnFormula>SUM(EM[[#This Row],[27M04]:[27M06]])</calculatedColumnFormula>
    </tableColumn>
    <tableColumn id="23" xr3:uid="{AB40FED8-2895-4673-B59B-A934968E9E9D}" name="Only 2026?" dataDxfId="494" totalsRowDxfId="493" dataCellStyle="Comma">
      <calculatedColumnFormula>IF(SUM(EM[[#This Row],[26Q2]:[26Q4]])+SUM(EM[[#This Row],[27Q1]:[27Q2]])=0,"No FSCT",IF(AND(SUM(EM[[#This Row],[26Q2]:[26Q4]])&gt;0,SUM(EM[[#This Row],[27Q1]:[27Q2]])=0),"YES","NO"))</calculatedColumnFormula>
    </tableColumn>
    <tableColumn id="9" xr3:uid="{EC1FE7CD-EADF-4BD8-BFA8-A837FA26363C}" name="Product Category" dataDxfId="492" totalsRowDxfId="491">
      <calculatedColumnFormula>VLOOKUP(EM[[#This Row],[Product Line]],Prod_T6[],4,0)</calculatedColumnFormula>
    </tableColumn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91F06F5-17DD-468D-9DD4-1CC1CBCD2EA5}" name="IT" displayName="IT" ref="A5:AE32" totalsRowShown="0" headerRowDxfId="490" dataDxfId="489">
  <autoFilter ref="A5:AE32" xr:uid="{091F06F5-17DD-468D-9DD4-1CC1CBCD2EA5}"/>
  <tableColumns count="31">
    <tableColumn id="1" xr3:uid="{9BF8B44C-DEFD-4F84-89E5-F8FB0E64A550}" name="Country" dataDxfId="488"/>
    <tableColumn id="2" xr3:uid="{4E6C3B94-6843-4EA6-9504-F5CF2903F4AD}" name="Customer name" dataDxfId="487"/>
    <tableColumn id="48" xr3:uid="{4A4F141A-3406-4690-85C7-BBB26BD65C89}" name="RSM" dataDxfId="486" totalsRowDxfId="485"/>
    <tableColumn id="24" xr3:uid="{0C75589A-6FCF-467A-B8AE-BFDFA7CACB3E}" name="Brand" dataDxfId="484" totalsRowDxfId="483">
      <calculatedColumnFormula>VLOOKUP(IT[[#This Row],[Product Line]],Prod_T6[],5,0)</calculatedColumnFormula>
    </tableColumn>
    <tableColumn id="4" xr3:uid="{04BD105B-C94A-4278-A958-478D0A3EB766}" name="Product Line" dataDxfId="482"/>
    <tableColumn id="11" xr3:uid="{A6FA71E2-1977-46CE-8DE8-519BE553AC6D}" name="Model name" dataDxfId="481" totalsRowDxfId="480"/>
    <tableColumn id="10" xr3:uid="{F7C35C80-AA99-4919-AB63-A2802110F84A}" name="Stage" dataDxfId="479" totalsRowDxfId="478"/>
    <tableColumn id="16385" xr3:uid="{B41A431A-C85D-438E-946E-D1B6A043AE4D}" name="Comments (Deal Breaker, spec/requirements, etc)" dataDxfId="477" totalsRowDxfId="476"/>
    <tableColumn id="16386" xr3:uid="{976584C2-47D6-4310-87A9-4D4421FD4D1A}" name="Supply Chain" dataDxfId="475" totalsRowDxfId="474" dataCellStyle="Percent"/>
    <tableColumn id="30" xr3:uid="{E266DC88-DA8D-4728-8617-C56B6F5D0B7B}" name="26M04" dataDxfId="473" totalsRowDxfId="472"/>
    <tableColumn id="31" xr3:uid="{628A6416-D781-45AC-B42E-9EF58E9157D4}" name="26M05" dataDxfId="471" totalsRowDxfId="470"/>
    <tableColumn id="32" xr3:uid="{23DAC646-FDEA-4335-9739-9F0994A445C8}" name="26M06" dataDxfId="469" totalsRowDxfId="468"/>
    <tableColumn id="3" xr3:uid="{4D5ECC99-1312-42EF-B963-0640CD162E46}" name="26M07" dataDxfId="467" totalsRowDxfId="466"/>
    <tableColumn id="5" xr3:uid="{C8805ADC-BC7B-4233-B931-D35B66D9D76A}" name="26M08" dataDxfId="465" totalsRowDxfId="464"/>
    <tableColumn id="7" xr3:uid="{985DF6F4-906B-4894-8288-B68A02E1E89C}" name="26M09" dataDxfId="463" totalsRowDxfId="462"/>
    <tableColumn id="6" xr3:uid="{61E0EF97-E415-4A70-883D-547E66BD8CC8}" name="26M10" dataDxfId="461" totalsRowDxfId="460"/>
    <tableColumn id="12" xr3:uid="{C8AC2A09-338A-4DC5-AAB3-3AAD4A62C072}" name="26M11" dataDxfId="459" totalsRowDxfId="458"/>
    <tableColumn id="13" xr3:uid="{80CDA8C5-9008-4099-BFF6-3B1C51C751BA}" name="26M12" dataDxfId="457" totalsRowDxfId="456"/>
    <tableColumn id="34" xr3:uid="{E2B4C379-707B-4DD7-85F8-3254557C8A05}" name="26Q2" dataDxfId="455" totalsRowDxfId="454" dataCellStyle="Comma">
      <calculatedColumnFormula>SUM(IT[[#This Row],[26M04]:[26M06]])</calculatedColumnFormula>
    </tableColumn>
    <tableColumn id="8" xr3:uid="{0EFF97C2-A224-4AC7-A8C0-0A3713A7E17B}" name="26Q3" dataDxfId="453" totalsRowDxfId="452">
      <calculatedColumnFormula>SUM(IT[[#This Row],[26M07]:[26M09]])</calculatedColumnFormula>
    </tableColumn>
    <tableColumn id="14" xr3:uid="{B9C5F6A2-9877-4ECC-BE7E-52356EA2B4A3}" name="26Q4" dataDxfId="451" totalsRowDxfId="450" dataCellStyle="Comma">
      <calculatedColumnFormula>SUM(IT[[#This Row],[26M10]:[26M12]])</calculatedColumnFormula>
    </tableColumn>
    <tableColumn id="15" xr3:uid="{39FF6860-802B-430B-8B1F-C8C55287FC75}" name="27M01" dataDxfId="449" totalsRowDxfId="448" dataCellStyle="Comma"/>
    <tableColumn id="16" xr3:uid="{53CC791C-CC12-4DDE-AC2F-C6F90D0FC48D}" name="27M02" dataDxfId="447" totalsRowDxfId="446" dataCellStyle="Comma"/>
    <tableColumn id="17" xr3:uid="{F4523C1E-5D4C-46FD-A475-78B93DECC88C}" name="27M03" dataDxfId="445" totalsRowDxfId="444" dataCellStyle="Comma"/>
    <tableColumn id="18" xr3:uid="{395AECF6-1655-4F84-B0BF-8DA3F57D416E}" name="27M04" dataDxfId="443" totalsRowDxfId="442" dataCellStyle="Comma"/>
    <tableColumn id="19" xr3:uid="{C3261A25-862E-4BB2-B042-0D3F278A14D9}" name="27M05" dataDxfId="441" totalsRowDxfId="440" dataCellStyle="Comma"/>
    <tableColumn id="20" xr3:uid="{D211F9FD-A624-40E8-8D78-A662A631D5FA}" name="27M06" dataDxfId="439" totalsRowDxfId="438" dataCellStyle="Comma"/>
    <tableColumn id="21" xr3:uid="{CF19C62C-2DAB-4425-89EC-1E7DDC8A0668}" name="27Q1" dataDxfId="437" totalsRowDxfId="436" dataCellStyle="Comma">
      <calculatedColumnFormula>SUM(IT[[#This Row],[27M01]:[27M03]])</calculatedColumnFormula>
    </tableColumn>
    <tableColumn id="22" xr3:uid="{BB80FDC0-8C8B-4FB5-81A2-13BD38036E81}" name="27Q2" dataDxfId="435" totalsRowDxfId="434" dataCellStyle="Comma">
      <calculatedColumnFormula>SUM(IT[[#This Row],[27M04]:[27M06]])</calculatedColumnFormula>
    </tableColumn>
    <tableColumn id="23" xr3:uid="{B427AA9F-EAB3-4D92-ACC8-F85023244A2D}" name="Only 2026?" dataDxfId="433" totalsRowDxfId="432" dataCellStyle="Comma">
      <calculatedColumnFormula>IF(SUM(IT[[#This Row],[26Q2]:[26Q4]])+SUM(IT[[#This Row],[27Q1]:[27Q2]])=0,"No FSCT",IF(AND(SUM(IT[[#This Row],[26Q2]:[26Q4]])&gt;0,SUM(IT[[#This Row],[27Q1]:[27Q2]])=0),"YES","NO"))</calculatedColumnFormula>
    </tableColumn>
    <tableColumn id="9" xr3:uid="{79D73D9E-E8A5-44A2-9243-EA221E7C5F17}" name="Product Category" dataDxfId="431" totalsRowDxfId="430">
      <calculatedColumnFormula>VLOOKUP(IT[[#This Row],[Product Line]],Prod_T6[],4,0)</calculatedColumnFormula>
    </tableColumn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94ABD24-C6EB-42C9-94DB-65FC81996419}" name="IT_12" displayName="IT_12" ref="A5:V32" totalsRowShown="0" headerRowDxfId="429" dataDxfId="428">
  <autoFilter ref="A5:V32" xr:uid="{F34BDD97-465E-4E0D-9E27-F2404DC1594D}"/>
  <tableColumns count="22">
    <tableColumn id="1" xr3:uid="{199076E1-0319-4DCF-98AE-BAB200DE1920}" name="Country" dataDxfId="427"/>
    <tableColumn id="2" xr3:uid="{51ADD743-89B2-4966-9994-1F11C186460A}" name="Customer name" dataDxfId="426"/>
    <tableColumn id="47" xr3:uid="{7F4AAF2A-8A9F-4571-ABC9-64CF1867CBAD}" name="RSM" dataDxfId="425" totalsRowDxfId="424"/>
    <tableColumn id="4" xr3:uid="{118045AC-95EB-4E7B-84F5-63B033487C9D}" name="Product Line" dataDxfId="423"/>
    <tableColumn id="11" xr3:uid="{9B48E44F-B332-4125-BF3D-9AF526FCB357}" name="Model name" dataDxfId="422" totalsRowDxfId="421"/>
    <tableColumn id="10" xr3:uid="{76836667-8859-477F-B343-EB7BC21594B9}" name="Stage" dataDxfId="420" totalsRowDxfId="419"/>
    <tableColumn id="16385" xr3:uid="{EA13EF41-79FE-401E-B922-6DDE054006F6}" name="Comments (Deal Breaker, spec/requirements, etc)" dataDxfId="418" totalsRowDxfId="417"/>
    <tableColumn id="16386" xr3:uid="{A1676122-F3A9-42C9-BD3C-148D1E645E07}" name="Supply Chain" dataDxfId="416" totalsRowDxfId="415" dataCellStyle="Percent"/>
    <tableColumn id="30" xr3:uid="{A39F4A75-819C-42E8-B21D-265AA35FBAB0}" name="26M04" dataDxfId="414" totalsRowDxfId="413"/>
    <tableColumn id="31" xr3:uid="{2D7F6212-7295-4A48-829D-FB1ED7670B54}" name="26M05" dataDxfId="412" totalsRowDxfId="411"/>
    <tableColumn id="32" xr3:uid="{312E2A03-E50E-463A-B8A0-5F70DCC9F5A6}" name="26M06" dataDxfId="410" totalsRowDxfId="409"/>
    <tableColumn id="3" xr3:uid="{448CEC57-02A5-46B5-8E82-9CC4E57DD8FE}" name="26M07" dataDxfId="408" totalsRowDxfId="407"/>
    <tableColumn id="5" xr3:uid="{7D259A77-B409-4723-889D-0EC09E662D64}" name="26M08" dataDxfId="406" totalsRowDxfId="405"/>
    <tableColumn id="7" xr3:uid="{959C661E-3B81-4BFC-812B-02D020E5F147}" name="26M09" dataDxfId="404" totalsRowDxfId="403"/>
    <tableColumn id="6" xr3:uid="{A9B9F18C-4D2D-4197-A266-9D7C514E9B05}" name="26M10" dataDxfId="402" totalsRowDxfId="401"/>
    <tableColumn id="12" xr3:uid="{A03FB209-065D-4456-9CF2-ACDD552D718D}" name="26M11" dataDxfId="400" totalsRowDxfId="399"/>
    <tableColumn id="13" xr3:uid="{4D5F758A-6B2B-469A-A990-B77A31FFA703}" name="26M12" dataDxfId="398" totalsRowDxfId="397"/>
    <tableColumn id="34" xr3:uid="{0B552C0F-D08E-48EC-B2E8-64C117E5EE92}" name="26Q2" dataDxfId="396" totalsRowDxfId="395" dataCellStyle="Comma">
      <calculatedColumnFormula>SUM(IT_12[[#This Row],[26M04]:[26M06]])</calculatedColumnFormula>
    </tableColumn>
    <tableColumn id="8" xr3:uid="{9F70B7F1-5D41-4FD5-B1AA-FD4DE6D1C1C6}" name="26Q3" dataDxfId="394" totalsRowDxfId="393" dataCellStyle="Comma">
      <calculatedColumnFormula>SUM(IT_12[[#This Row],[26M07]:[26M09]])</calculatedColumnFormula>
    </tableColumn>
    <tableColumn id="14" xr3:uid="{88416C91-C11F-4407-B760-2D13AC333F71}" name="26Q4" dataDxfId="392" totalsRowDxfId="391" dataCellStyle="Comma">
      <calculatedColumnFormula>SUM(IT_12[[#This Row],[26M10]:[26M12]])</calculatedColumnFormula>
    </tableColumn>
    <tableColumn id="9" xr3:uid="{78A653EA-024B-4AEB-BA28-D30D213335E8}" name="Product Category" dataDxfId="390" totalsRowDxfId="389">
      <calculatedColumnFormula>VLOOKUP(IT_12[[#This Row],[Product Line]],Prod_T6[],4,0)</calculatedColumnFormula>
    </tableColumn>
    <tableColumn id="15" xr3:uid="{198FD1FA-D71C-44CE-86D6-4869D7C7DFD2}" name="Colonna1" dataDxfId="388" totalsRowDxfId="387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563548-76A7-471B-95E6-C81AB612EF6F}" name="DE_AT9" displayName="DE_AT9" ref="A5:U159" totalsRowShown="0" headerRowDxfId="386" dataDxfId="385">
  <autoFilter ref="A5:U159" xr:uid="{F34BDD97-465E-4E0D-9E27-F2404DC1594D}"/>
  <tableColumns count="21">
    <tableColumn id="1" xr3:uid="{E02962D9-C761-4FBD-9324-4071867AC6C2}" name="Country" dataDxfId="384"/>
    <tableColumn id="2" xr3:uid="{88EC84CC-A521-4964-94B3-9BF907FF4C20}" name="Customer name" dataDxfId="383"/>
    <tableColumn id="48" xr3:uid="{913AF96F-F219-4CB1-9E3F-C773876AD06D}" name="RSM" dataDxfId="382" totalsRowDxfId="381"/>
    <tableColumn id="4" xr3:uid="{BA9BCFB3-C4FF-4225-957F-1D303D9749BF}" name="Product Line" dataDxfId="380"/>
    <tableColumn id="11" xr3:uid="{7173BCF8-B32C-4991-AA71-105B6909725B}" name="Model name" dataDxfId="379" totalsRowDxfId="378"/>
    <tableColumn id="10" xr3:uid="{B5069E3C-4DE3-4AE0-BE80-D6CE486086F1}" name="Stage" dataDxfId="377" totalsRowDxfId="376"/>
    <tableColumn id="16385" xr3:uid="{A4B1E94D-0AC7-43B8-9599-E42B33BF8E6A}" name="Comments (Deal Breaker, spec/requirements, etc)" dataDxfId="375" totalsRowDxfId="374"/>
    <tableColumn id="16386" xr3:uid="{80C3799F-601C-48AA-8E7C-11E32D27A278}" name="Supply Chain" dataDxfId="373" totalsRowDxfId="372" dataCellStyle="Percent"/>
    <tableColumn id="30" xr3:uid="{3B1B0F73-BD10-4B51-AA47-0D043025CA53}" name="26M04" dataDxfId="371" totalsRowDxfId="370"/>
    <tableColumn id="31" xr3:uid="{9A899A30-FDC6-462B-9A70-656D02ACEA1F}" name="26M05" dataDxfId="369" totalsRowDxfId="368"/>
    <tableColumn id="32" xr3:uid="{66FCD78F-AE81-499E-967C-0450681889BF}" name="26M06" dataDxfId="367"/>
    <tableColumn id="3" xr3:uid="{5285FB17-A84C-4050-B558-E11B8CA2B9B9}" name="26M07" dataDxfId="366"/>
    <tableColumn id="8" xr3:uid="{BE29309B-1089-4AEF-A3D4-02E4F5EBC82C}" name="26M08" dataDxfId="365">
      <calculatedColumnFormula>8*36*470</calculatedColumnFormula>
    </tableColumn>
    <tableColumn id="9" xr3:uid="{AFA16F48-B5D0-44F0-8AD3-3A396A298747}" name="26M09" dataDxfId="364"/>
    <tableColumn id="6" xr3:uid="{93EAB77E-E06E-4FF1-B687-72523966C35A}" name="26M10" dataDxfId="363"/>
    <tableColumn id="12" xr3:uid="{B3FA02C3-11EC-4510-8324-37D54A267236}" name="26M11" dataDxfId="362"/>
    <tableColumn id="13" xr3:uid="{32FD5D2A-8BF0-4AFB-AC00-6608790F123C}" name="26M12" dataDxfId="361"/>
    <tableColumn id="34" xr3:uid="{90BF4500-898F-4C1C-A80C-FDA99017FEDE}" name="26Q2" dataDxfId="360" totalsRowDxfId="359" dataCellStyle="Comma">
      <calculatedColumnFormula>SUM(DE_AT9[[#This Row],[26M04]:[26M06]])</calculatedColumnFormula>
    </tableColumn>
    <tableColumn id="5" xr3:uid="{D552C320-1501-4872-82EE-93895203D9C2}" name="26Q3" dataDxfId="358">
      <calculatedColumnFormula>SUM(DE_AT9[[#This Row],[26M07]:[26M09]])</calculatedColumnFormula>
    </tableColumn>
    <tableColumn id="14" xr3:uid="{50ED1182-3692-46F0-8104-110B14B9B9F5}" name="26Q4" dataDxfId="357">
      <calculatedColumnFormula>SUM(DE_AT9[[#This Row],[26M10]:[26M12]])</calculatedColumnFormula>
    </tableColumn>
    <tableColumn id="7" xr3:uid="{5CCDF17C-F527-4AFB-8F5A-9417BF7098F7}" name="Product Category" dataDxfId="356">
      <calculatedColumnFormula>VLOOKUP(DE_AT9[[#This Row],[Product Line]],Prod_T6[],4,0)</calculatedColumnFormula>
    </tableColumn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663A7BA6-6E2C-44D1-833A-71523089895C}" name="DE_AT" displayName="DE_AT" ref="A5:AE159" totalsRowShown="0" headerRowDxfId="355" dataDxfId="354">
  <autoFilter ref="A5:AE159" xr:uid="{663A7BA6-6E2C-44D1-833A-71523089895C}">
    <filterColumn colId="6">
      <filters>
        <filter val="3 - Negotiation"/>
        <filter val="4 - BAFO"/>
        <filter val="5 - Finalize contract"/>
        <filter val="6 - Won"/>
      </filters>
    </filterColumn>
  </autoFilter>
  <tableColumns count="31">
    <tableColumn id="1" xr3:uid="{EE6584B6-DCFC-4A7A-856B-DEA6509496CA}" name="Country" dataDxfId="353"/>
    <tableColumn id="2" xr3:uid="{052CF07A-6CB7-4B1F-965A-4805F16AFA88}" name="Customer name" dataDxfId="352"/>
    <tableColumn id="48" xr3:uid="{E3EE8ACE-302E-444C-994F-CF4B32089EDC}" name="RSM" dataDxfId="351" totalsRowDxfId="350"/>
    <tableColumn id="24" xr3:uid="{A95242B5-A644-4CDE-9E44-FC83A3BF678E}" name="Brand" dataDxfId="349" totalsRowDxfId="348">
      <calculatedColumnFormula>VLOOKUP(DE_AT[[#This Row],[Product Line]],Prod_T6[],5,0)</calculatedColumnFormula>
    </tableColumn>
    <tableColumn id="4" xr3:uid="{8CE94D73-5565-4C1F-A8E4-CEEE71C25BC3}" name="Product Line" dataDxfId="347"/>
    <tableColumn id="11" xr3:uid="{2D2914B9-7B73-493F-A569-3667DBCF51E4}" name="Model name" dataDxfId="346"/>
    <tableColumn id="10" xr3:uid="{3FC4F326-2C35-41A0-887E-7853622AE088}" name="Stage" dataDxfId="345"/>
    <tableColumn id="16385" xr3:uid="{BC514F5F-57B6-4C96-9EF5-5C04DA75AF26}" name="Comments (Deal Breaker, spec/requirements, etc)" dataDxfId="344"/>
    <tableColumn id="16386" xr3:uid="{339AC156-8D01-4FB4-95B4-9AFBE2A08A58}" name="Supply Chain" dataDxfId="343" dataCellStyle="Percent"/>
    <tableColumn id="30" xr3:uid="{6D720573-D646-45E7-A44C-DAD11E31C63E}" name="26M04" dataDxfId="342"/>
    <tableColumn id="31" xr3:uid="{F215E575-8B1E-4C11-BEAB-DE1F0B8DE7A8}" name="26M05" dataDxfId="341"/>
    <tableColumn id="32" xr3:uid="{C381B71C-0CFF-4A23-882F-844F40EBD88B}" name="26M06" dataDxfId="340"/>
    <tableColumn id="3" xr3:uid="{A9F983A5-FEAD-42D6-AD84-C1B75FC65B0F}" name="26M07" dataDxfId="339"/>
    <tableColumn id="5" xr3:uid="{F383A4E6-ED17-4199-ABE0-496D6C1793A2}" name="26M08" dataDxfId="338"/>
    <tableColumn id="7" xr3:uid="{4D564E06-505A-4EF1-8DC5-63E07CE57CCA}" name="26M09" dataDxfId="337"/>
    <tableColumn id="6" xr3:uid="{7ACD94D5-1EA3-49FC-8144-402541AD89AD}" name="26M10" dataDxfId="336"/>
    <tableColumn id="12" xr3:uid="{A0139319-7176-480D-A47B-22C71154CF8E}" name="26M11" dataDxfId="335"/>
    <tableColumn id="13" xr3:uid="{C166A53F-3243-4CCA-B1F7-909D206F32A9}" name="26M12" dataDxfId="334" totalsRowDxfId="333"/>
    <tableColumn id="34" xr3:uid="{89030BFF-24FC-467B-A98A-CEC953584C28}" name="26Q2" dataDxfId="332" totalsRowDxfId="331" dataCellStyle="Comma">
      <calculatedColumnFormula>SUM(DE_AT[[#This Row],[26M04]:[26M06]])</calculatedColumnFormula>
    </tableColumn>
    <tableColumn id="8" xr3:uid="{7C927C26-33A4-4BB6-953E-EA0E75EC094A}" name="26Q3" dataDxfId="330" totalsRowDxfId="329">
      <calculatedColumnFormula>SUM(DE_AT[[#This Row],[26M07]:[26M09]])</calculatedColumnFormula>
    </tableColumn>
    <tableColumn id="14" xr3:uid="{D96D80D9-E036-48A7-A3A8-EEA61428D953}" name="26Q4" dataDxfId="328" totalsRowDxfId="327" dataCellStyle="Comma">
      <calculatedColumnFormula>SUM(DE_AT[[#This Row],[26M10]:[26M12]])</calculatedColumnFormula>
    </tableColumn>
    <tableColumn id="15" xr3:uid="{F353270F-73AC-416B-A7A4-F991F496BDE2}" name="27M01" dataDxfId="326" totalsRowDxfId="325" dataCellStyle="Comma"/>
    <tableColumn id="16" xr3:uid="{FEB55C09-1E1C-4F1D-93B9-A6EBE15D7416}" name="27M02" dataDxfId="324" totalsRowDxfId="323" dataCellStyle="Comma"/>
    <tableColumn id="17" xr3:uid="{9D43E6B7-620C-4D3D-875F-66D140F5433D}" name="27M03" dataDxfId="322" totalsRowDxfId="321" dataCellStyle="Comma"/>
    <tableColumn id="18" xr3:uid="{A66E7512-7215-4066-A27E-FCB6A5FE39F7}" name="27M04" dataDxfId="320" totalsRowDxfId="319" dataCellStyle="Comma"/>
    <tableColumn id="19" xr3:uid="{905E13CF-F1C2-4D8B-8FD0-B60882ADF73C}" name="27M05" dataDxfId="318" totalsRowDxfId="317" dataCellStyle="Comma"/>
    <tableColumn id="20" xr3:uid="{418E28F9-60BF-4931-847A-278675D71933}" name="27M06" dataDxfId="316" totalsRowDxfId="315" dataCellStyle="Comma"/>
    <tableColumn id="21" xr3:uid="{E5D2B895-9905-438A-A1C1-3956B39D45C3}" name="27Q1" dataDxfId="314" totalsRowDxfId="313" dataCellStyle="Comma">
      <calculatedColumnFormula>SUM(DE_AT[[#This Row],[27M01]:[27M03]])</calculatedColumnFormula>
    </tableColumn>
    <tableColumn id="22" xr3:uid="{9FAB4C4E-EEEA-4C1A-A569-292C9143DB30}" name="27Q2" dataDxfId="312" totalsRowDxfId="311" dataCellStyle="Comma">
      <calculatedColumnFormula>SUM(DE_AT[[#This Row],[27M04]:[27M06]])</calculatedColumnFormula>
    </tableColumn>
    <tableColumn id="23" xr3:uid="{16B46387-D81F-4236-90BE-498D0E9CE0CF}" name="Only 2026?" dataDxfId="310" totalsRowDxfId="309" dataCellStyle="Comma">
      <calculatedColumnFormula>IF(SUM(DE_AT[[#This Row],[26Q2]:[26Q4]])+SUM(DE_AT[[#This Row],[27Q1]:[27Q2]])=0,"No FSCT",IF(AND(SUM(DE_AT[[#This Row],[26Q2]:[26Q4]])&gt;0,SUM(DE_AT[[#This Row],[27Q1]:[27Q2]])=0),"YES","NO"))</calculatedColumnFormula>
    </tableColumn>
    <tableColumn id="9" xr3:uid="{F1266639-E7CD-439C-9A01-96E14D655E80}" name="Product Category" dataDxfId="308" totalsRowDxfId="307">
      <calculatedColumnFormula>VLOOKUP(DE_AT[[#This Row],[Product Line]],Prod_T6[],4,0)</calculatedColumnFormula>
    </tableColumn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5B8BE12-B7B3-4305-841F-9FEB34134115}" name="Prod_T6" displayName="Prod_T6" ref="T1:X117" totalsRowShown="0">
  <autoFilter ref="T1:X117" xr:uid="{A5B8BE12-B7B3-4305-841F-9FEB34134115}"/>
  <sortState xmlns:xlrd2="http://schemas.microsoft.com/office/spreadsheetml/2017/richdata2" ref="T2:X117">
    <sortCondition ref="T1:T117"/>
  </sortState>
  <tableColumns count="5">
    <tableColumn id="1" xr3:uid="{159B5DC2-FF4B-4FA3-99E3-3B39C59A10D8}" name="Product Line" dataDxfId="306"/>
    <tableColumn id="2" xr3:uid="{E5174CAE-1989-4E87-AAA2-1567E1656707}" name="Model name" dataDxfId="305"/>
    <tableColumn id="3" xr3:uid="{F8A9B417-872E-4708-B741-2D0ED5B883E2}" name="Product Conso"/>
    <tableColumn id="5" xr3:uid="{0CC300E9-8995-4246-8442-46AB11BC1C37}" name="Product Category"/>
    <tableColumn id="4" xr3:uid="{1326F634-7AA2-4F64-B58E-BF188E10A08E}" name="Brand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243B2E-1DA7-4767-A1B9-052EEB9767E8}" name="表4" displayName="表4" ref="I3:M200" totalsRowShown="0" headerRowDxfId="304">
  <autoFilter ref="I3:M200" xr:uid="{C0243B2E-1DA7-4767-A1B9-052EEB9767E8}"/>
  <sortState xmlns:xlrd2="http://schemas.microsoft.com/office/spreadsheetml/2017/richdata2" ref="I4:M200">
    <sortCondition ref="L3:L200"/>
  </sortState>
  <tableColumns count="5">
    <tableColumn id="1" xr3:uid="{10035786-0655-4C4F-A3B2-DA65D29A3628}" name="Italy &amp; Malta" dataDxfId="303"/>
    <tableColumn id="2" xr3:uid="{CADE7FA9-5F2D-471B-879F-4C73F9A3B2F1}" name="Nordic"/>
    <tableColumn id="3" xr3:uid="{8ABD9A07-EDED-4F94-9FA7-3B9A9C67E4EA}" name="Spain"/>
    <tableColumn id="4" xr3:uid="{8AE9F73B-E1ED-4AD8-AC64-6901D09D5AD2}" name="UK"/>
    <tableColumn id="5" xr3:uid="{904D3F94-4450-47D6-87C8-0C74010E3163}" name="UPP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BAAA20-7B9A-4CA0-A31F-8A7EDA530EE0}" name="Stage" displayName="Stage" ref="D3:H11" totalsRowShown="0" headerRowDxfId="302" headerRowBorderDxfId="301" tableBorderDxfId="300">
  <autoFilter ref="D3:H11" xr:uid="{95A169AC-4EA5-48A5-B499-2FEF85889888}"/>
  <tableColumns count="5">
    <tableColumn id="1" xr3:uid="{8DEDE09D-860D-4148-AF36-F3225C4C6204}" name="Stage" dataDxfId="299"/>
    <tableColumn id="2" xr3:uid="{7681FA64-3EBD-4EE8-8174-8C352753A57E}" name="Stage description" dataDxfId="298"/>
    <tableColumn id="3" xr3:uid="{E481F81D-5B1B-4D01-B18E-FB3644D080A6}" name="Expectation" dataDxfId="297"/>
    <tableColumn id="4" xr3:uid="{D9875940-13F5-45F7-9BFA-075F2F400858}" name="Status" dataDxfId="296"/>
    <tableColumn id="5" xr3:uid="{6CB2A897-19D8-4F54-BC3D-7C9A5475EC53}" name="Probability / Weight" dataDxfId="295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669D97F-838D-47AC-8280-2E8DB03B715F}" name="B_Cat7" displayName="B_Cat7" ref="D14:E19" totalsRowShown="0" headerRowDxfId="294" headerRowBorderDxfId="293" tableBorderDxfId="292" totalsRowBorderDxfId="291">
  <autoFilter ref="D14:E19" xr:uid="{65975EDF-5AEB-43EB-8406-CD2AEF114EA2}"/>
  <tableColumns count="2">
    <tableColumn id="1" xr3:uid="{DDAF6EDA-97E8-47E8-9E35-C9B26FC1BE0B}" name="Business Cat" dataDxfId="290"/>
    <tableColumn id="2" xr3:uid="{FD3D5D8E-A4EA-4849-BB68-FA039D06E43F}" name="Description" dataDxfId="289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58505B8-AE15-47CA-B721-353D7BC43422}" name="Incoterm" displayName="Incoterm" ref="D22:E29" totalsRowShown="0" headerRowDxfId="288" headerRowBorderDxfId="287" tableBorderDxfId="286" totalsRowBorderDxfId="285">
  <autoFilter ref="D22:E29" xr:uid="{114B5D46-4A22-4910-B7B7-BAC07B6C0948}"/>
  <tableColumns count="2">
    <tableColumn id="1" xr3:uid="{E56C6D65-D6D8-4CFE-ADAD-F799EBB2AD2A}" name="Incoterm" dataDxfId="284"/>
    <tableColumn id="2" xr3:uid="{27C9433F-A7FA-406F-9B7E-DC7F364A9727}" name="Invoicing" dataDxfId="283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2095AFCE-7388-4A81-8F92-04010B550891}" name="EM_24" displayName="EM_24" ref="A5:U80" totalsRowShown="0" headerRowDxfId="282" dataDxfId="281">
  <autoFilter ref="A5:U80" xr:uid="{F34BDD97-465E-4E0D-9E27-F2404DC1594D}"/>
  <tableColumns count="21">
    <tableColumn id="1" xr3:uid="{59CA0BC0-BC71-498A-8166-142C30888B33}" name="Country" dataDxfId="280"/>
    <tableColumn id="2" xr3:uid="{5D820BA8-8875-4500-A568-A26917FE2B77}" name="Customer name" dataDxfId="279"/>
    <tableColumn id="48" xr3:uid="{CBD13AA7-E865-4B2D-A879-BC860DD6FA73}" name="RSM" dataDxfId="278" totalsRowDxfId="277"/>
    <tableColumn id="4" xr3:uid="{546A6A04-CEE8-46B0-9CF7-75A18A2A334C}" name="Product Line" dataDxfId="276"/>
    <tableColumn id="11" xr3:uid="{6054472D-7564-493D-ACCA-8158CE8FA799}" name="Model name" dataDxfId="275" totalsRowDxfId="274"/>
    <tableColumn id="10" xr3:uid="{F837C0CD-5CA9-49E9-A9F9-C320CEAC0667}" name="Stage" dataDxfId="273" totalsRowDxfId="272"/>
    <tableColumn id="16385" xr3:uid="{D8ACCEA5-D39D-4BDB-BE2D-82625BA44207}" name="Comments (Deal Breaker, spec/requirements, etc)" dataDxfId="271" totalsRowDxfId="270"/>
    <tableColumn id="16386" xr3:uid="{2F117641-0664-47A8-B9BF-BFD846DA55B7}" name="Supply Chain" dataDxfId="269" totalsRowDxfId="268" dataCellStyle="Percent"/>
    <tableColumn id="30" xr3:uid="{DBF466AC-BCDA-45EF-B517-16192059EAF9}" name="26M04" dataDxfId="267" totalsRowDxfId="266"/>
    <tableColumn id="31" xr3:uid="{C02C1C43-A683-48A3-9BAC-C1BE24FEDCA5}" name="26M05" dataDxfId="265" totalsRowDxfId="264"/>
    <tableColumn id="32" xr3:uid="{D1DBDADB-EC0E-4819-8683-C84DB4AF8020}" name="26M06" dataDxfId="263" totalsRowDxfId="262"/>
    <tableColumn id="3" xr3:uid="{039B6D18-46D7-47D0-95B3-4729D418A036}" name="26M07" dataDxfId="261" totalsRowDxfId="260"/>
    <tableColumn id="5" xr3:uid="{398F6FD4-FC25-4BA5-80A2-C70DFC0C309F}" name="26M08" dataDxfId="259" totalsRowDxfId="258"/>
    <tableColumn id="7" xr3:uid="{6951C6D4-12FF-4A9B-AE05-46558588BC4D}" name="26M09" dataDxfId="257" totalsRowDxfId="256"/>
    <tableColumn id="6" xr3:uid="{9A8C7EEE-CDEA-45FF-A22F-2265235DE4AB}" name="26M10" dataDxfId="255" totalsRowDxfId="254"/>
    <tableColumn id="12" xr3:uid="{246E0D2A-F837-435E-BC0B-6CAE53D269AC}" name="26M11" dataDxfId="253" totalsRowDxfId="252"/>
    <tableColumn id="13" xr3:uid="{8AB74270-D743-4DC5-A812-E81E3EBB26A9}" name="26M12" dataDxfId="251" totalsRowDxfId="250"/>
    <tableColumn id="34" xr3:uid="{8F4AEF66-7CB6-420C-AA77-0136FB48102D}" name="26Q2" dataDxfId="249" totalsRowDxfId="248" dataCellStyle="Comma">
      <calculatedColumnFormula>SUM(EM_24[[#This Row],[26M04]:[26M06]])</calculatedColumnFormula>
    </tableColumn>
    <tableColumn id="8" xr3:uid="{4822FDE4-9150-42E0-BC67-9FC6A7B31ED2}" name="26Q3" dataDxfId="247" totalsRowDxfId="246" dataCellStyle="Comma">
      <calculatedColumnFormula>SUM(EM_24[[#This Row],[26M07]:[26M09]])</calculatedColumnFormula>
    </tableColumn>
    <tableColumn id="15" xr3:uid="{1DD5A9F8-CE9D-4DAF-ADC1-0FC3D9074DE7}" name="26Q4" dataDxfId="245" totalsRowDxfId="244" dataCellStyle="Comma">
      <calculatedColumnFormula>O6++EM_24[[#This Row],[26M11]]+EM_24[[#This Row],[26M12]]</calculatedColumnFormula>
    </tableColumn>
    <tableColumn id="9" xr3:uid="{57EEE474-DEF1-45A9-B022-60CBF53128E3}" name="Product Category" dataDxfId="243" totalsRowDxfId="242">
      <calculatedColumnFormula>VLOOKUP(EM_24[[#This Row],[Product Line]],Prod_T6[],4,0)</calculatedColumnFormula>
    </tableColumn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46C422D-A85C-4B97-B2D6-83FAF13307DC}" name="Nordics17" displayName="Nordics17" ref="A2:U42" totalsRowShown="0" headerRowDxfId="241" dataDxfId="240">
  <autoFilter ref="A2:U42" xr:uid="{3140A79E-E3A5-4648-B8C8-89E98114AE3F}"/>
  <tableColumns count="21">
    <tableColumn id="1" xr3:uid="{036C9EF6-1294-4113-A993-DEBB62310FF8}" name="Country" dataDxfId="239"/>
    <tableColumn id="2" xr3:uid="{E94019D7-C65D-4619-B0F0-3C94675B1B57}" name="Customer name" dataDxfId="238"/>
    <tableColumn id="48" xr3:uid="{9AFA0175-DFDC-435D-811D-F122362AE821}" name="RSM" dataDxfId="237" totalsRowDxfId="236"/>
    <tableColumn id="4" xr3:uid="{A709184F-0E06-408E-9CC9-9D49A9D1E276}" name="Product Line" dataDxfId="235"/>
    <tableColumn id="11" xr3:uid="{F93BD74A-5D7B-4E0A-863E-ACA951F73E05}" name="Model name" dataDxfId="234" totalsRowDxfId="233"/>
    <tableColumn id="10" xr3:uid="{DD93A63C-4693-4A72-8AAF-4528E737D838}" name="Stage" dataDxfId="232" totalsRowDxfId="231"/>
    <tableColumn id="16385" xr3:uid="{7DFA89E1-9545-497B-AFAD-259BC7B95DA2}" name="Comments (Deal Breaker, spec/requirements, etc)" dataDxfId="230" totalsRowDxfId="229"/>
    <tableColumn id="16386" xr3:uid="{139D9DDA-4E70-4A5D-9D6F-CA9D4154C95D}" name="Supply Chain" dataDxfId="228" totalsRowDxfId="227" dataCellStyle="Percent"/>
    <tableColumn id="30" xr3:uid="{BEF82225-2AED-4637-801D-0D8395966E58}" name="26M04" dataDxfId="226" totalsRowDxfId="225"/>
    <tableColumn id="31" xr3:uid="{4EE05B0F-F822-4C1D-906C-C70CDDA16442}" name="26M05" dataDxfId="224" totalsRowDxfId="223"/>
    <tableColumn id="32" xr3:uid="{A4C1E019-3F39-4A80-8833-902C0CCDBE6A}" name="26M06" dataDxfId="222" totalsRowDxfId="221"/>
    <tableColumn id="7" xr3:uid="{9E69D158-C219-4031-8C66-083E5F9084CB}" name="26M07" dataDxfId="220" totalsRowDxfId="219"/>
    <tableColumn id="8" xr3:uid="{0F8BA185-FB01-42A8-A680-6AD039CFB308}" name="26M08" dataDxfId="218" totalsRowDxfId="217"/>
    <tableColumn id="9" xr3:uid="{6DE8D9C4-DE96-48F4-9BEA-8D406A98F40C}" name="26M09" dataDxfId="216" totalsRowDxfId="215"/>
    <tableColumn id="6" xr3:uid="{D901BE34-55D7-44EB-8132-E68DBF5683FC}" name="26M10" dataDxfId="214" totalsRowDxfId="213"/>
    <tableColumn id="12" xr3:uid="{5A677E08-6011-4C03-A74C-8E5BC0D9D3DB}" name="26M11" dataDxfId="212" totalsRowDxfId="211"/>
    <tableColumn id="13" xr3:uid="{0E0F81E0-0501-4A2D-8ABC-F209684B941E}" name="26M12" dataDxfId="210" totalsRowDxfId="209"/>
    <tableColumn id="34" xr3:uid="{96935A1F-DF76-45FA-A87E-40C1B9715E38}" name="26Q2" dataDxfId="208" totalsRowDxfId="207" dataCellStyle="Comma">
      <calculatedColumnFormula>SUM(Nordics17[[#This Row],[26M04]:[26M06]])</calculatedColumnFormula>
    </tableColumn>
    <tableColumn id="3" xr3:uid="{BFD0932F-DDB3-4253-B241-54E26A065E14}" name="26Q3" dataDxfId="206" totalsRowDxfId="205" dataCellStyle="Comma">
      <calculatedColumnFormula>SUM(Nordics17[[#This Row],[26M07]:[26M09]])</calculatedColumnFormula>
    </tableColumn>
    <tableColumn id="14" xr3:uid="{CBEAD877-3E2B-4D44-A4AE-0929AB3993F6}" name="26Q4" dataDxfId="204" totalsRowDxfId="203" dataCellStyle="Comma">
      <calculatedColumnFormula>SUM(Nordics17[[#This Row],[26M10]:[26M12]])</calculatedColumnFormula>
    </tableColumn>
    <tableColumn id="5" xr3:uid="{8FE3D463-C0DC-4C78-A3A7-47BB44C07B38}" name="Product Category" dataDxfId="202" totalsRowDxfId="201">
      <calculatedColumnFormula>VLOOKUP(Nordics17[[#This Row],[Product Line]],Prod_T6[],4,0)</calculatedColumnFormula>
    </tableColumn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E4B76F4-ED77-454A-9658-54DE85A6BD60}" name="BE_NL16" displayName="BE_NL16" ref="A5:U59" totalsRowShown="0" headerRowDxfId="200" dataDxfId="199">
  <autoFilter ref="A5:U59" xr:uid="{E6F745E4-E943-43D7-A54B-1560BDEE8B94}"/>
  <tableColumns count="21">
    <tableColumn id="1" xr3:uid="{9B00BD99-C72E-4A87-8900-7FF22984627B}" name="Country" dataDxfId="198"/>
    <tableColumn id="2" xr3:uid="{B85DD9E1-BAAF-452A-8AAE-352751506AA1}" name="Customer name" dataDxfId="197"/>
    <tableColumn id="48" xr3:uid="{EAE9AFCD-ECF6-4C40-B6C1-A08BC618185D}" name="RSM" dataDxfId="196" totalsRowDxfId="195"/>
    <tableColumn id="4" xr3:uid="{B0EE91F9-00FE-42F1-A0C2-D86775AA228C}" name="Product Line" dataDxfId="194"/>
    <tableColumn id="11" xr3:uid="{6450058E-D720-439F-A8C1-6E20C873D839}" name="Model name" dataDxfId="193" totalsRowDxfId="192"/>
    <tableColumn id="10" xr3:uid="{AA9FC88D-BB79-4C52-B8DC-BA19647BCD9E}" name="Stage" dataDxfId="191" totalsRowDxfId="190"/>
    <tableColumn id="16385" xr3:uid="{55436DB1-1D32-4E37-8E54-C1F60C41A4A9}" name="Comments (Deal Breaker, spec/requirements, etc)" dataDxfId="189" totalsRowDxfId="188"/>
    <tableColumn id="16386" xr3:uid="{3FA8F71C-EADE-4731-ACE0-7B8B8000188F}" name="Supply Chain" dataDxfId="187" totalsRowDxfId="186" dataCellStyle="Percent"/>
    <tableColumn id="30" xr3:uid="{60038CE7-A94D-4186-AC5F-6B7D4012969C}" name="26M04" dataDxfId="185" totalsRowDxfId="184"/>
    <tableColumn id="31" xr3:uid="{298E663D-79B6-46ED-B232-0024BBBDEF84}" name="26M05" dataDxfId="183" totalsRowDxfId="182"/>
    <tableColumn id="32" xr3:uid="{C80F121F-91BA-4311-8DEA-A6B1FF4D7D6C}" name="26M06" dataDxfId="181" totalsRowDxfId="180"/>
    <tableColumn id="3" xr3:uid="{A0F5AF70-7D82-45EE-B94C-F12B0CC372AA}" name="26M07" dataDxfId="179" totalsRowDxfId="178"/>
    <tableColumn id="8" xr3:uid="{32A797D3-5E8E-472D-8280-908744E7D787}" name="26M08" dataDxfId="177" totalsRowDxfId="176"/>
    <tableColumn id="9" xr3:uid="{50F832BD-9314-4AA3-955D-5656F996BAF1}" name="26M09" dataDxfId="175" totalsRowDxfId="174"/>
    <tableColumn id="14" xr3:uid="{5EDDC6F3-47A1-45F2-9794-9420B1629738}" name="26M10" dataDxfId="173" totalsRowDxfId="172"/>
    <tableColumn id="15" xr3:uid="{53A76861-C883-441E-AFAE-25FA012AB53E}" name="26M11" dataDxfId="171" totalsRowDxfId="170"/>
    <tableColumn id="16" xr3:uid="{C0D2750E-FCB8-4CD1-9456-67E73C414C4E}" name="26M12" dataDxfId="169" totalsRowDxfId="168"/>
    <tableColumn id="34" xr3:uid="{4BF7BE3C-B79E-4A7C-BA9B-F14B26D99B14}" name="26Q2" dataDxfId="167" totalsRowDxfId="166" dataCellStyle="Comma">
      <calculatedColumnFormula>SUM(BE_NL16[[#This Row],[26M04]:[26M06]])</calculatedColumnFormula>
    </tableColumn>
    <tableColumn id="7" xr3:uid="{14A10680-2929-411A-AE0B-45D2F6AD81A3}" name="26Q3" dataDxfId="165" totalsRowDxfId="164" dataCellStyle="Comma">
      <calculatedColumnFormula>SUM(BE_NL16[[#This Row],[26M07]:[26M09]])</calculatedColumnFormula>
    </tableColumn>
    <tableColumn id="17" xr3:uid="{031A7780-0B99-4E1E-9ABE-BA10396E7555}" name="26Q4" dataDxfId="163" totalsRowDxfId="162" dataCellStyle="Comma">
      <calculatedColumnFormula>SUM(BE_NL16[[#This Row],[26M10]:[26M12]])</calculatedColumnFormula>
    </tableColumn>
    <tableColumn id="5" xr3:uid="{F0EC2474-E826-40B1-AE84-171C4F7F133B}" name="Product Category" dataDxfId="161" totalsRowDxfId="160">
      <calculatedColumnFormula>VLOOKUP(BE_NL16[[#This Row],[Product Line]],Prod_T6[],4,0)</calculatedColumnFormula>
    </tableColumn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23C17A4-DDD2-4A4A-97AB-01F8A05996E1}" name="ES_13" displayName="ES_13" ref="A5:U45" totalsRowShown="0" headerRowDxfId="159" dataDxfId="158">
  <autoFilter ref="A5:U45" xr:uid="{F34BDD97-465E-4E0D-9E27-F2404DC1594D}"/>
  <tableColumns count="21">
    <tableColumn id="1" xr3:uid="{E2887C9B-834C-452E-9B61-96A6693EF8E2}" name="Country" dataDxfId="157"/>
    <tableColumn id="2" xr3:uid="{3050286C-A1E0-4DB2-AEB7-F7B9E89DC64C}" name="Customer name" dataDxfId="156"/>
    <tableColumn id="48" xr3:uid="{0FFA506E-0468-4EFB-804C-88B0CD63EC7C}" name="RSM" dataDxfId="155" totalsRowDxfId="154"/>
    <tableColumn id="4" xr3:uid="{00686330-EB78-4B15-8B49-80C36228F1B8}" name="Product Line" dataDxfId="153"/>
    <tableColumn id="11" xr3:uid="{6AC1CD6F-B82E-4AF3-8EC8-B4CD5E9CA542}" name="Model name" dataDxfId="152" totalsRowDxfId="151"/>
    <tableColumn id="10" xr3:uid="{FC49E70D-3EEB-4D5C-BF60-72BD9A5B6072}" name="Stage" dataDxfId="150" totalsRowDxfId="149"/>
    <tableColumn id="16385" xr3:uid="{95EB089C-3665-4119-B589-AA2E5191D8E4}" name="Comments (Deal Breaker, spec/requirements, etc)" dataDxfId="148" totalsRowDxfId="147"/>
    <tableColumn id="16386" xr3:uid="{14D51AB0-A28D-45AC-9AED-A3F6FD47512D}" name="Supply Chain" dataDxfId="146" totalsRowDxfId="145" dataCellStyle="Percent"/>
    <tableColumn id="30" xr3:uid="{1A1D7CCF-5679-425E-9B87-C12EEAED89B9}" name="26M04" dataDxfId="144" totalsRowDxfId="143"/>
    <tableColumn id="31" xr3:uid="{232C42F2-79FE-4BA4-AE0F-B91FA08BA0BA}" name="26M05" dataDxfId="142" totalsRowDxfId="141"/>
    <tableColumn id="32" xr3:uid="{9380203F-1805-4980-A548-C5AF50368218}" name="26M06" dataDxfId="140" totalsRowDxfId="139"/>
    <tableColumn id="7" xr3:uid="{93C1B6A7-77C0-4725-9A06-3C4E454FC4E8}" name="26M07" dataDxfId="138" totalsRowDxfId="137"/>
    <tableColumn id="8" xr3:uid="{F2949CC3-BBF5-4340-9385-B60A5BBC6CD7}" name="26M08" dataDxfId="136" totalsRowDxfId="135"/>
    <tableColumn id="9" xr3:uid="{D7638CCB-A086-45E0-883E-007769A9F4D8}" name="26M09" dataDxfId="134" totalsRowDxfId="133"/>
    <tableColumn id="6" xr3:uid="{13C2A25E-0A6F-44A6-8348-EA425A002455}" name="26M10" dataDxfId="132" totalsRowDxfId="131"/>
    <tableColumn id="12" xr3:uid="{2E179EE0-126F-4156-940B-1BE191FAE169}" name="26M11" dataDxfId="130" totalsRowDxfId="129"/>
    <tableColumn id="13" xr3:uid="{90122658-3344-46CC-8AA3-472BE8CB5A0E}" name="26M12" dataDxfId="128" totalsRowDxfId="127"/>
    <tableColumn id="34" xr3:uid="{94B508C8-86B0-49E6-B64A-16503C422FF1}" name="26Q2" dataDxfId="126" totalsRowDxfId="125" dataCellStyle="Comma">
      <calculatedColumnFormula>SUM(ES_13[[#This Row],[26M04]:[26M06]])</calculatedColumnFormula>
    </tableColumn>
    <tableColumn id="3" xr3:uid="{4F904A01-60D7-4043-ACA8-4A4856C460E9}" name="26Q3" dataDxfId="124" totalsRowDxfId="123">
      <calculatedColumnFormula>SUM(ES_13[[#This Row],[26M07]:[26M09]])</calculatedColumnFormula>
    </tableColumn>
    <tableColumn id="14" xr3:uid="{F396DB2B-27EC-4B13-9F7A-4725D09CC6B7}" name="26Q4" dataDxfId="122" totalsRowDxfId="121">
      <calculatedColumnFormula>SUM(ES_13[[#This Row],[26M10]:[26M12]])</calculatedColumnFormula>
    </tableColumn>
    <tableColumn id="5" xr3:uid="{8E429ACE-9B52-4EA9-A666-74092C0BD208}" name="Product Category" dataDxfId="120" totalsRowDxfId="119">
      <calculatedColumnFormula>VLOOKUP(ES_13[[#This Row],[Product Line]],Prod_T6[],4,0)</calculatedColumnFormula>
    </tableColumn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09C5A0-C2D8-40C3-BD82-ADA82260DA61}" name="FR_CH3" displayName="FR_CH3" ref="A5:U95" totalsRowShown="0" headerRowDxfId="118" dataDxfId="117">
  <autoFilter ref="A5:U95" xr:uid="{E91A8FB0-D170-45EB-86FF-3AE0EAB3E5DA}"/>
  <sortState xmlns:xlrd2="http://schemas.microsoft.com/office/spreadsheetml/2017/richdata2" ref="A6:U95">
    <sortCondition ref="D5:D95"/>
  </sortState>
  <tableColumns count="21">
    <tableColumn id="1" xr3:uid="{BB289310-8A2F-49AF-AF2B-48807518F1A8}" name="Country" dataDxfId="116" totalsRowDxfId="115"/>
    <tableColumn id="2" xr3:uid="{A1482F78-CE32-4111-BF62-BC3163AD7014}" name="Customer name" dataDxfId="114" totalsRowDxfId="113"/>
    <tableColumn id="48" xr3:uid="{B464AE96-A360-431F-A96D-6A4FC40FAE18}" name="RSM" dataDxfId="112" totalsRowDxfId="111"/>
    <tableColumn id="4" xr3:uid="{1A58051F-925F-4CD4-B976-20DB7D3628D7}" name="Product Line" dataDxfId="110" totalsRowDxfId="109"/>
    <tableColumn id="11" xr3:uid="{E8F8B5CB-79BE-4FCF-AA21-C2BEDC0011CF}" name="Model name" dataDxfId="108" totalsRowDxfId="107"/>
    <tableColumn id="10" xr3:uid="{C1EAC3CD-221A-4DD3-9CF2-DB48414BBD18}" name="Stage" dataDxfId="106" totalsRowDxfId="105"/>
    <tableColumn id="16385" xr3:uid="{91457D19-7777-42F7-8FFD-2B5E35C4DD3D}" name="Comments (Deal Breaker, spec/requirements, etc)" dataDxfId="104" totalsRowDxfId="103"/>
    <tableColumn id="16386" xr3:uid="{0EDA7827-3441-413F-9F6C-722938FC233D}" name="Supply Chain" dataDxfId="102" totalsRowDxfId="101" dataCellStyle="Percent"/>
    <tableColumn id="30" xr3:uid="{478C3FFC-427C-414F-B5CE-5C98695D686B}" name="26M04" dataDxfId="100" totalsRowDxfId="99"/>
    <tableColumn id="31" xr3:uid="{987C668B-2995-4305-BD9F-5610BEAC1202}" name="26M05" dataDxfId="98" totalsRowDxfId="97"/>
    <tableColumn id="32" xr3:uid="{D093B6B6-A118-4B7C-9EAF-7C8487D80E32}" name="26M06" dataDxfId="96" totalsRowDxfId="95"/>
    <tableColumn id="7" xr3:uid="{81974273-C5EA-4205-8197-3715902F7E93}" name="26M07" dataDxfId="94" totalsRowDxfId="93"/>
    <tableColumn id="8" xr3:uid="{ACC0DA9F-503F-414E-914F-E520870552B4}" name="26M08" dataDxfId="92" totalsRowDxfId="91"/>
    <tableColumn id="9" xr3:uid="{A189B2A6-8C90-4525-BA11-0F38E4B194CF}" name="26M09" dataDxfId="90" totalsRowDxfId="89"/>
    <tableColumn id="6" xr3:uid="{F0A1FF10-526A-4942-9FFC-276922073270}" name="26M10" dataDxfId="88" totalsRowDxfId="87"/>
    <tableColumn id="12" xr3:uid="{F7CF5181-D7B8-49EF-B63E-AC405E20D4BC}" name="26M11" dataDxfId="86" totalsRowDxfId="85"/>
    <tableColumn id="13" xr3:uid="{2200A56F-67FC-4F33-809B-EB56E71C7D7F}" name="26M12" dataDxfId="84" totalsRowDxfId="83"/>
    <tableColumn id="34" xr3:uid="{8A6C9328-B058-40DC-9FB3-9166A6DEF6BF}" name="26Q2" dataDxfId="82" totalsRowDxfId="81" dataCellStyle="Comma">
      <calculatedColumnFormula>SUM(FR_CH3[[#This Row],[26M04]:[26M06]])</calculatedColumnFormula>
    </tableColumn>
    <tableColumn id="3" xr3:uid="{589512CD-445E-4452-ABE7-B9A3B5B7AC4C}" name="26Q3" dataDxfId="80" totalsRowDxfId="79">
      <calculatedColumnFormula>SUM(FR_CH3[[#This Row],[26M07]:[26M09]])</calculatedColumnFormula>
    </tableColumn>
    <tableColumn id="14" xr3:uid="{8D67EAB7-1603-4297-A9F7-828A1DBCEE0F}" name="26Q4" dataDxfId="78" totalsRowDxfId="77">
      <calculatedColumnFormula>SUM(FR_CH3[[#This Row],[26M10]:[26M12]])</calculatedColumnFormula>
    </tableColumn>
    <tableColumn id="5" xr3:uid="{D8085C05-754F-46CC-8621-70C2FE509E17}" name="Product Category" dataDxfId="76" totalsRowDxfId="75">
      <calculatedColumnFormula>VLOOKUP(FR_CH3[[#This Row],[Product Line]],Prod_T6[],4,0)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46" dT="2026-07-02T13:11:55.63" personId="{2396CA0B-DDA2-4EFE-B196-29186AB719F1}" id="{0C492460-B9DD-441E-A34C-2D4127E52720}">
    <text>DE BESPAARPARTNER</text>
  </threadedComment>
  <threadedComment ref="B59" dT="2026-01-28T07:56:59.97" personId="{2396CA0B-DDA2-4EFE-B196-29186AB719F1}" id="{08D2AD1A-E8C0-49C1-AE3E-209B9483BE72}">
    <text>NEW PARTNER:  SOLAR GROOTHANDEL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F62" dT="2025-09-16T08:36:53.50" personId="{2B8BE072-8D0D-4FDC-8864-58B5467EC83C}" id="{2B922C6E-D28A-45CD-BE48-7CE2E9C4126E}" done="1">
    <text xml:space="preserve">@Antoine Lefresne peux tu confirmer si beosin de 500 CFP </text>
    <mentions>
      <mention mentionpersonId="{4CE57772-7276-4A89-B164-7180FA87FB25}" mentionId="{F155F15A-49D2-409D-A8B8-725FE1749FB8}" startIndex="0" length="17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O28" dT="2026-07-14T13:16:12.22" personId="{6F02DAB5-5213-457E-ABE1-D64BCE82525D}" id="{B8C7B36D-45F8-42CF-828A-8B7753D8BA34}">
    <text>postponed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N28" dT="2026-07-14T13:16:12.22" personId="{6F02DAB5-5213-457E-ABE1-D64BCE82525D}" id="{DCCB707D-E1A6-4C96-B1C9-D362C6F78B8A}">
    <text>postponed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31" dT="2026-03-25T09:22:26.78" personId="{D5E0D02A-F15F-489E-AE78-08987EC9D1DB}" id="{79B2CD4E-2DA3-4D46-9527-6BCC52E9C9F4}">
    <text>@Andreas Kauls Is it correct that you used 2 different Entities for Kühn?</text>
    <mentions>
      <mention mentionpersonId="{40BE5369-AA75-4D77-88A0-0715CA8F856C}" mentionId="{E465C316-B2E8-404B-B856-7141A2DDE515}" startIndex="0" length="14"/>
    </mentions>
  </threadedComment>
  <threadedComment ref="L60" dT="2026-05-20T08:22:12.81" personId="{D5E0D02A-F15F-489E-AE78-08987EC9D1DB}" id="{4F09A4EA-1CC4-4C41-BA65-B69589EE6A91}">
    <text>@Matthias Doering  Neues BC wird im Juli und August nicht verfügbar sein</text>
    <mentions>
      <mention mentionpersonId="{2E179275-DCA3-4CA4-AF86-D61B2FCB650C}" mentionId="{BC32A651-ACFB-4987-ABFC-C8621ABE2298}" startIndex="0" length="17"/>
    </mentions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31" dT="2026-03-25T09:22:26.78" personId="{D5E0D02A-F15F-489E-AE78-08987EC9D1DB}" id="{CAF2BE62-7E70-4A92-AAAE-2AC5D87BBAE9}">
    <text>@Andreas Kauls Is it correct that you used 2 different Entities for Kühn?</text>
    <mentions>
      <mention mentionpersonId="{40BE5369-AA75-4D77-88A0-0715CA8F856C}" mentionId="{277E406B-6ADE-4F0D-81C9-D7C0CD482B60}" startIndex="0" length="14"/>
    </mentions>
  </threadedComment>
  <threadedComment ref="M60" dT="2026-05-20T08:22:12.81" personId="{D5E0D02A-F15F-489E-AE78-08987EC9D1DB}" id="{26DA10D2-E514-4714-A0D1-55DBC8097DAE}">
    <text>@Matthias Doering  Neues BC wird im Juli und August nicht verfügbar sein</text>
    <mentions>
      <mention mentionpersonId="{2E179275-DCA3-4CA4-AF86-D61B2FCB650C}" mentionId="{8E8FD5B8-0BAC-4596-A142-C14DDF661238}" startIndex="0" length="17"/>
    </mentions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F5" dT="2026-04-24T17:12:10.51" personId="{16E08012-FE48-E547-90B5-8321D8F7B613}" id="{C8849CFE-63CD-4C3A-B2B9-A8D6A15C28D1}">
    <text>@Arleen Hu 胡斯雅 please do additional column for X5 and W10</text>
    <mentions>
      <mention mentionpersonId="{8E074E4E-878C-C548-B4E9-CD3C262F8FBD}" mentionId="{E7A66187-925C-4400-B137-2AE4D25747BA}" startIndex="0" length="14"/>
    </mentions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B46" dT="2026-07-02T13:11:55.63" personId="{2396CA0B-DDA2-4EFE-B196-29186AB719F1}" id="{9135E6CF-1106-4EB3-A7B3-8402FB5E2674}">
    <text>DE BESPAARPARTNER</text>
  </threadedComment>
  <threadedComment ref="B59" dT="2026-01-28T07:56:59.97" personId="{2396CA0B-DDA2-4EFE-B196-29186AB719F1}" id="{BA74BEE0-E63D-46E8-B222-FC52142F4812}">
    <text>NEW PARTNER:  SOLAR GROOTHANDEL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E62" dT="2025-09-16T08:36:53.50" personId="{2B8BE072-8D0D-4FDC-8864-58B5467EC83C}" id="{1B89BF32-7C1E-4838-8776-61B20B62A132}" done="1">
    <text xml:space="preserve">@Antoine Lefresne peux tu confirmer si beosin de 500 CFP </text>
    <mentions>
      <mention mentionpersonId="{4CE57772-7276-4A89-B164-7180FA87FB25}" mentionId="{8CC3C99C-824F-4475-835B-1D46F1C868D4}" startIndex="0" length="17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Relationship Id="rId6" Type="http://schemas.microsoft.com/office/2019/04/relationships/namedSheetView" Target="../namedSheetViews/namedSheetView1.xml"/><Relationship Id="rId5" Type="http://schemas.microsoft.com/office/2017/10/relationships/threadedComment" Target="../threadedComments/threadedComment3.xml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4.vml"/><Relationship Id="rId5" Type="http://schemas.microsoft.com/office/2019/04/relationships/namedSheetView" Target="../namedSheetViews/namedSheetView2.xml"/><Relationship Id="rId4" Type="http://schemas.microsoft.com/office/2017/10/relationships/threadedComment" Target="../threadedComments/threadedComment4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5.vml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Relationship Id="rId6" Type="http://schemas.microsoft.com/office/2019/04/relationships/documenttask" Target="../documenttasks/documenttask3.xml"/><Relationship Id="rId5" Type="http://schemas.microsoft.com/office/2017/10/relationships/threadedComment" Target="../threadedComments/threadedComment6.xml"/><Relationship Id="rId4" Type="http://schemas.openxmlformats.org/officeDocument/2006/relationships/comments" Target="../comments6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7.vml"/><Relationship Id="rId4" Type="http://schemas.microsoft.com/office/2017/10/relationships/threadedComment" Target="../threadedComments/threadedComment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1.bin"/><Relationship Id="rId5" Type="http://schemas.microsoft.com/office/2017/10/relationships/threadedComment" Target="../threadedComments/threadedComment8.xml"/><Relationship Id="rId4" Type="http://schemas.openxmlformats.org/officeDocument/2006/relationships/comments" Target="../comments8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9.vml"/><Relationship Id="rId5" Type="http://schemas.microsoft.com/office/2019/04/relationships/documenttask" Target="../documenttasks/documenttask4.xml"/><Relationship Id="rId4" Type="http://schemas.microsoft.com/office/2017/10/relationships/threadedComment" Target="../threadedComments/threadedComment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C14E-5636-466B-90AA-B87DC5E41413}">
  <sheetPr codeName="Sheet1"/>
  <dimension ref="A1:L216"/>
  <sheetViews>
    <sheetView topLeftCell="A46" zoomScale="85" zoomScaleNormal="85" workbookViewId="0">
      <selection activeCell="B68" sqref="B68:D69"/>
    </sheetView>
  </sheetViews>
  <sheetFormatPr defaultColWidth="8.90625" defaultRowHeight="14.5"/>
  <cols>
    <col min="1" max="1" width="23.6328125" style="158" bestFit="1" customWidth="1"/>
    <col min="2" max="2" width="22.453125" style="158" bestFit="1" customWidth="1"/>
    <col min="3" max="10" width="14.54296875" style="158" bestFit="1" customWidth="1"/>
    <col min="11" max="11" width="5.6328125" style="158" bestFit="1" customWidth="1"/>
    <col min="12" max="12" width="6.08984375" style="158" bestFit="1" customWidth="1"/>
    <col min="13" max="13" width="5" style="158" bestFit="1" customWidth="1"/>
    <col min="14" max="14" width="6.08984375" style="158" bestFit="1" customWidth="1"/>
    <col min="15" max="15" width="5.36328125" style="158" bestFit="1" customWidth="1"/>
    <col min="16" max="16" width="5" style="158" bestFit="1" customWidth="1"/>
    <col min="17" max="17" width="7.36328125" style="158" bestFit="1" customWidth="1"/>
    <col min="18" max="18" width="5" style="158" bestFit="1" customWidth="1"/>
    <col min="19" max="16384" width="8.90625" style="158"/>
  </cols>
  <sheetData>
    <row r="1" spans="1:10">
      <c r="A1" s="157" t="s">
        <v>0</v>
      </c>
    </row>
    <row r="3" spans="1:10">
      <c r="A3" s="287" t="s">
        <v>1</v>
      </c>
      <c r="B3" s="158" t="s">
        <v>2</v>
      </c>
    </row>
    <row r="4" spans="1:10">
      <c r="A4" s="287" t="s">
        <v>3</v>
      </c>
      <c r="B4" s="158" t="s">
        <v>4</v>
      </c>
    </row>
    <row r="5" spans="1:10">
      <c r="A5" s="287" t="s">
        <v>5</v>
      </c>
      <c r="B5" s="158" t="s">
        <v>4</v>
      </c>
    </row>
    <row r="7" spans="1:10">
      <c r="A7" s="287" t="s">
        <v>6</v>
      </c>
      <c r="B7" s="158" t="s">
        <v>7</v>
      </c>
      <c r="C7" s="158" t="s">
        <v>8</v>
      </c>
      <c r="D7" s="158" t="s">
        <v>9</v>
      </c>
      <c r="E7" s="158" t="s">
        <v>10</v>
      </c>
      <c r="F7" s="158" t="s">
        <v>11</v>
      </c>
      <c r="G7" s="158" t="s">
        <v>12</v>
      </c>
      <c r="H7" s="158" t="s">
        <v>13</v>
      </c>
      <c r="I7" s="158" t="s">
        <v>14</v>
      </c>
      <c r="J7" s="158" t="s">
        <v>15</v>
      </c>
    </row>
    <row r="8" spans="1:10">
      <c r="A8" s="159" t="s">
        <v>16</v>
      </c>
      <c r="B8" s="288">
        <v>1.27</v>
      </c>
      <c r="C8" s="288">
        <v>4.1100000000000003</v>
      </c>
      <c r="D8" s="288">
        <v>8.14</v>
      </c>
      <c r="E8" s="288">
        <v>4.46</v>
      </c>
      <c r="F8" s="288">
        <v>2.84</v>
      </c>
      <c r="G8" s="288">
        <v>11</v>
      </c>
      <c r="H8" s="288">
        <v>9.1999999999999993</v>
      </c>
      <c r="I8" s="288">
        <v>7.2</v>
      </c>
      <c r="J8" s="288">
        <v>7.2</v>
      </c>
    </row>
    <row r="9" spans="1:10">
      <c r="A9" s="159" t="s">
        <v>17</v>
      </c>
      <c r="B9" s="288">
        <v>14</v>
      </c>
      <c r="C9" s="288">
        <v>17.5</v>
      </c>
      <c r="D9" s="288">
        <v>15</v>
      </c>
      <c r="E9" s="288">
        <v>8.8000000000000007</v>
      </c>
      <c r="F9" s="288">
        <v>8</v>
      </c>
      <c r="G9" s="288">
        <v>9</v>
      </c>
      <c r="H9" s="288">
        <v>17</v>
      </c>
      <c r="I9" s="288">
        <v>9</v>
      </c>
      <c r="J9" s="288"/>
    </row>
    <row r="10" spans="1:10">
      <c r="A10" s="159" t="s">
        <v>18</v>
      </c>
      <c r="B10" s="288">
        <v>18.428999999999998</v>
      </c>
      <c r="C10" s="288">
        <v>14.000000000000002</v>
      </c>
      <c r="D10" s="288">
        <v>14.8</v>
      </c>
      <c r="E10" s="288">
        <v>16.3</v>
      </c>
      <c r="F10" s="288">
        <v>13.522000000000002</v>
      </c>
      <c r="G10" s="288">
        <v>11.416000000000002</v>
      </c>
      <c r="H10" s="288">
        <v>10.670000000000002</v>
      </c>
      <c r="I10" s="288">
        <v>10.670000000000003</v>
      </c>
      <c r="J10" s="288">
        <v>10.670000000000003</v>
      </c>
    </row>
    <row r="11" spans="1:10">
      <c r="A11" s="159" t="s">
        <v>19</v>
      </c>
      <c r="B11" s="288">
        <v>39</v>
      </c>
      <c r="C11" s="288">
        <v>21.4</v>
      </c>
      <c r="D11" s="288">
        <v>21</v>
      </c>
      <c r="E11" s="288">
        <v>19.2</v>
      </c>
      <c r="F11" s="288">
        <v>1.35</v>
      </c>
      <c r="G11" s="288">
        <v>44.6</v>
      </c>
      <c r="H11" s="288">
        <v>49.9</v>
      </c>
      <c r="I11" s="288">
        <v>61.75</v>
      </c>
      <c r="J11" s="288">
        <v>21.35</v>
      </c>
    </row>
    <row r="12" spans="1:10">
      <c r="A12" s="159" t="s">
        <v>20</v>
      </c>
      <c r="B12" s="288">
        <v>19</v>
      </c>
      <c r="C12" s="288">
        <v>49</v>
      </c>
      <c r="D12" s="288">
        <v>36</v>
      </c>
      <c r="E12" s="288">
        <v>47</v>
      </c>
      <c r="F12" s="288">
        <v>11.6</v>
      </c>
      <c r="G12" s="288">
        <v>71</v>
      </c>
      <c r="H12" s="288">
        <v>34</v>
      </c>
      <c r="I12" s="288">
        <v>54</v>
      </c>
      <c r="J12" s="288">
        <v>17</v>
      </c>
    </row>
    <row r="13" spans="1:10">
      <c r="A13" s="159" t="s">
        <v>21</v>
      </c>
      <c r="B13" s="288">
        <v>8</v>
      </c>
      <c r="C13" s="288">
        <v>9</v>
      </c>
      <c r="D13" s="288">
        <v>9</v>
      </c>
      <c r="E13" s="288">
        <v>5.3</v>
      </c>
      <c r="F13" s="288">
        <v>8.4</v>
      </c>
      <c r="G13" s="288">
        <v>8.6000000000000014</v>
      </c>
      <c r="H13" s="288">
        <v>7.0000000000000018</v>
      </c>
      <c r="I13" s="288">
        <v>26.200000000000003</v>
      </c>
      <c r="J13" s="288">
        <v>4.3999999999999995</v>
      </c>
    </row>
    <row r="14" spans="1:10">
      <c r="A14" s="159" t="s">
        <v>22</v>
      </c>
      <c r="B14" s="288">
        <v>6.4</v>
      </c>
      <c r="C14" s="288">
        <v>2.8</v>
      </c>
      <c r="D14" s="288">
        <v>2.4</v>
      </c>
      <c r="E14" s="288">
        <v>0.8</v>
      </c>
      <c r="F14" s="288">
        <v>2</v>
      </c>
      <c r="G14" s="288">
        <v>16.8</v>
      </c>
      <c r="H14" s="288">
        <v>12.6</v>
      </c>
      <c r="I14" s="288">
        <v>10</v>
      </c>
      <c r="J14" s="288"/>
    </row>
    <row r="15" spans="1:10">
      <c r="A15" s="159" t="s">
        <v>23</v>
      </c>
      <c r="B15" s="288">
        <v>8.3179999999999996</v>
      </c>
      <c r="C15" s="288">
        <v>11.090999999999998</v>
      </c>
      <c r="D15" s="288">
        <v>10.113</v>
      </c>
      <c r="E15" s="288">
        <v>21.081</v>
      </c>
      <c r="F15" s="288">
        <v>8.8610000000000007</v>
      </c>
      <c r="G15" s="288">
        <v>11.811</v>
      </c>
      <c r="H15" s="288">
        <v>11.741</v>
      </c>
      <c r="I15" s="288">
        <v>15.101999999999999</v>
      </c>
      <c r="J15" s="288">
        <v>3.8740000000000001</v>
      </c>
    </row>
    <row r="16" spans="1:10">
      <c r="A16" s="159" t="s">
        <v>24</v>
      </c>
      <c r="B16" s="288"/>
      <c r="C16" s="288"/>
      <c r="D16" s="288"/>
      <c r="E16" s="288">
        <v>2.6</v>
      </c>
      <c r="F16" s="288">
        <v>2.6</v>
      </c>
      <c r="G16" s="288">
        <v>2.6</v>
      </c>
      <c r="H16" s="288">
        <v>0.5</v>
      </c>
      <c r="I16" s="288">
        <v>0.5</v>
      </c>
      <c r="J16" s="288">
        <v>0.5</v>
      </c>
    </row>
    <row r="17" spans="1:10">
      <c r="A17" s="159" t="s">
        <v>25</v>
      </c>
      <c r="B17" s="288">
        <v>114.417</v>
      </c>
      <c r="C17" s="288">
        <v>128.90099999999998</v>
      </c>
      <c r="D17" s="288">
        <v>116.453</v>
      </c>
      <c r="E17" s="288">
        <v>125.541</v>
      </c>
      <c r="F17" s="288">
        <v>59.173000000000009</v>
      </c>
      <c r="G17" s="288">
        <v>186.82700000000003</v>
      </c>
      <c r="H17" s="288">
        <v>152.61099999999999</v>
      </c>
      <c r="I17" s="288">
        <v>194.422</v>
      </c>
      <c r="J17" s="288">
        <v>64.994</v>
      </c>
    </row>
    <row r="20" spans="1:10">
      <c r="A20" s="157" t="s">
        <v>0</v>
      </c>
    </row>
    <row r="24" spans="1:10">
      <c r="A24" s="287" t="s">
        <v>1</v>
      </c>
      <c r="B24" s="158" t="s">
        <v>2</v>
      </c>
    </row>
    <row r="25" spans="1:10">
      <c r="A25" s="287" t="s">
        <v>3</v>
      </c>
      <c r="B25" s="158" t="s">
        <v>4</v>
      </c>
    </row>
    <row r="26" spans="1:10">
      <c r="A26" s="287" t="s">
        <v>5</v>
      </c>
      <c r="B26" s="158" t="s">
        <v>4</v>
      </c>
    </row>
    <row r="28" spans="1:10">
      <c r="A28" s="287" t="s">
        <v>6</v>
      </c>
      <c r="B28" s="158" t="s">
        <v>7</v>
      </c>
      <c r="C28" s="158" t="s">
        <v>8</v>
      </c>
      <c r="D28" s="158" t="s">
        <v>9</v>
      </c>
      <c r="E28" s="158" t="s">
        <v>10</v>
      </c>
      <c r="F28" s="158" t="s">
        <v>11</v>
      </c>
      <c r="G28" s="158" t="s">
        <v>12</v>
      </c>
      <c r="H28" s="158" t="s">
        <v>13</v>
      </c>
      <c r="I28" s="158" t="s">
        <v>14</v>
      </c>
      <c r="J28" s="158" t="s">
        <v>15</v>
      </c>
    </row>
    <row r="29" spans="1:10">
      <c r="A29" s="159" t="s">
        <v>16</v>
      </c>
      <c r="B29" s="288">
        <v>0.42</v>
      </c>
      <c r="C29" s="288">
        <v>1.32</v>
      </c>
      <c r="D29" s="288">
        <v>0.42</v>
      </c>
      <c r="E29" s="288">
        <v>0.92</v>
      </c>
      <c r="F29" s="288">
        <v>0.1</v>
      </c>
      <c r="G29" s="288">
        <v>1.9200000000000002</v>
      </c>
      <c r="H29" s="288">
        <v>2.5</v>
      </c>
      <c r="I29" s="288">
        <v>3.9000000000000004</v>
      </c>
      <c r="J29" s="288">
        <v>3.8000000000000003</v>
      </c>
    </row>
    <row r="30" spans="1:10">
      <c r="A30" s="159" t="s">
        <v>17</v>
      </c>
      <c r="B30" s="288"/>
      <c r="C30" s="288">
        <v>3.5</v>
      </c>
      <c r="D30" s="288"/>
      <c r="E30" s="288"/>
      <c r="F30" s="288"/>
      <c r="G30" s="288"/>
      <c r="H30" s="288"/>
      <c r="I30" s="288"/>
      <c r="J30" s="288"/>
    </row>
    <row r="31" spans="1:10">
      <c r="A31" s="159" t="s">
        <v>18</v>
      </c>
      <c r="B31" s="288">
        <v>3.2</v>
      </c>
      <c r="C31" s="288">
        <v>1.9</v>
      </c>
      <c r="D31" s="288">
        <v>4.1500000000000004</v>
      </c>
      <c r="E31" s="288">
        <v>3.0569999999999999</v>
      </c>
      <c r="F31" s="288">
        <v>3.2000000000000006</v>
      </c>
      <c r="G31" s="288">
        <v>3.4789999999999996</v>
      </c>
      <c r="H31" s="288">
        <v>2.1970000000000001</v>
      </c>
      <c r="I31" s="288">
        <v>1.7000000000000002</v>
      </c>
      <c r="J31" s="288">
        <v>2.5500000000000003</v>
      </c>
    </row>
    <row r="32" spans="1:10">
      <c r="A32" s="159" t="s">
        <v>19</v>
      </c>
      <c r="B32" s="288">
        <v>6.4908479999999988</v>
      </c>
      <c r="C32" s="288">
        <v>4.7761000000000005</v>
      </c>
      <c r="D32" s="288">
        <v>5.536030000000002</v>
      </c>
      <c r="E32" s="288">
        <v>2.6311000000000004</v>
      </c>
      <c r="F32" s="288">
        <v>3.6295380000000002</v>
      </c>
      <c r="G32" s="288">
        <v>5.5626499999999988</v>
      </c>
      <c r="H32" s="288">
        <v>5.7345500000000014</v>
      </c>
      <c r="I32" s="288">
        <v>7.7362279999999979</v>
      </c>
      <c r="J32" s="288">
        <v>2.8942800000000006</v>
      </c>
    </row>
    <row r="33" spans="1:10">
      <c r="A33" s="159" t="s">
        <v>20</v>
      </c>
      <c r="B33" s="288">
        <v>17</v>
      </c>
      <c r="C33" s="288">
        <v>17</v>
      </c>
      <c r="D33" s="288">
        <v>19</v>
      </c>
      <c r="E33" s="288">
        <v>16</v>
      </c>
      <c r="F33" s="288">
        <v>11</v>
      </c>
      <c r="G33" s="288">
        <v>22</v>
      </c>
      <c r="H33" s="288">
        <v>22</v>
      </c>
      <c r="I33" s="288">
        <v>22</v>
      </c>
      <c r="J33" s="288">
        <v>18</v>
      </c>
    </row>
    <row r="34" spans="1:10">
      <c r="A34" s="159" t="s">
        <v>21</v>
      </c>
      <c r="B34" s="288">
        <v>1.05</v>
      </c>
      <c r="C34" s="288">
        <v>2.2000000000000002</v>
      </c>
      <c r="D34" s="288">
        <v>2.5999999999999996</v>
      </c>
      <c r="E34" s="288">
        <v>2.5000000000000004</v>
      </c>
      <c r="F34" s="288">
        <v>0.9</v>
      </c>
      <c r="G34" s="288">
        <v>3.2</v>
      </c>
      <c r="H34" s="288">
        <v>2.8</v>
      </c>
      <c r="I34" s="288">
        <v>3.5999999999999996</v>
      </c>
      <c r="J34" s="288">
        <v>2.2000000000000002</v>
      </c>
    </row>
    <row r="35" spans="1:10">
      <c r="A35" s="159" t="s">
        <v>22</v>
      </c>
      <c r="B35" s="288"/>
      <c r="C35" s="288">
        <v>0.2</v>
      </c>
      <c r="D35" s="288"/>
      <c r="E35" s="288">
        <v>1</v>
      </c>
      <c r="F35" s="288"/>
      <c r="G35" s="288"/>
      <c r="H35" s="288">
        <v>1.2</v>
      </c>
      <c r="I35" s="288"/>
      <c r="J35" s="288"/>
    </row>
    <row r="36" spans="1:10">
      <c r="A36" s="159" t="s">
        <v>23</v>
      </c>
      <c r="B36" s="288">
        <v>6.5184000000000006</v>
      </c>
      <c r="C36" s="288">
        <v>7.548</v>
      </c>
      <c r="D36" s="288">
        <v>3.460999999999999</v>
      </c>
      <c r="E36" s="288">
        <v>3.6920000000000002</v>
      </c>
      <c r="F36" s="288">
        <v>2.3130000000000002</v>
      </c>
      <c r="G36" s="288">
        <v>4.3029999999999999</v>
      </c>
      <c r="H36" s="288">
        <v>2.0910000000000002</v>
      </c>
      <c r="I36" s="288">
        <v>2.6789999999999998</v>
      </c>
      <c r="J36" s="288">
        <v>1.5609999999999999</v>
      </c>
    </row>
    <row r="37" spans="1:10">
      <c r="A37" s="159" t="s">
        <v>24</v>
      </c>
      <c r="B37" s="288">
        <v>0.4</v>
      </c>
      <c r="C37" s="288">
        <v>0</v>
      </c>
      <c r="D37" s="288">
        <v>0.4</v>
      </c>
      <c r="E37" s="288">
        <v>0.8</v>
      </c>
      <c r="F37" s="288">
        <v>0.8</v>
      </c>
      <c r="G37" s="288">
        <v>0.8</v>
      </c>
      <c r="H37" s="288">
        <v>0.5</v>
      </c>
      <c r="I37" s="288">
        <v>0.5</v>
      </c>
      <c r="J37" s="288">
        <v>0.5</v>
      </c>
    </row>
    <row r="38" spans="1:10">
      <c r="A38" s="159" t="s">
        <v>25</v>
      </c>
      <c r="B38" s="288">
        <v>35.079248</v>
      </c>
      <c r="C38" s="288">
        <v>38.444099999999999</v>
      </c>
      <c r="D38" s="288">
        <v>35.567030000000003</v>
      </c>
      <c r="E38" s="288">
        <v>30.600100000000001</v>
      </c>
      <c r="F38" s="288">
        <v>21.942537999999999</v>
      </c>
      <c r="G38" s="288">
        <v>41.264649999999996</v>
      </c>
      <c r="H38" s="288">
        <v>39.022550000000003</v>
      </c>
      <c r="I38" s="288">
        <v>42.115228000000002</v>
      </c>
      <c r="J38" s="288">
        <v>31.505280000000003</v>
      </c>
    </row>
    <row r="44" spans="1:10">
      <c r="A44" s="157" t="s">
        <v>0</v>
      </c>
    </row>
    <row r="46" spans="1:10">
      <c r="A46" s="287" t="s">
        <v>1</v>
      </c>
      <c r="B46" s="158" t="s">
        <v>2</v>
      </c>
    </row>
    <row r="47" spans="1:10">
      <c r="A47" s="287" t="s">
        <v>3</v>
      </c>
      <c r="B47" s="158" t="s">
        <v>4</v>
      </c>
    </row>
    <row r="48" spans="1:10">
      <c r="A48" s="287" t="s">
        <v>5</v>
      </c>
      <c r="B48" s="158" t="s">
        <v>4</v>
      </c>
    </row>
    <row r="49" spans="1:12">
      <c r="A49" s="287" t="s">
        <v>26</v>
      </c>
      <c r="B49" s="158" t="s">
        <v>27</v>
      </c>
    </row>
    <row r="50" spans="1:12">
      <c r="A50" s="287" t="s">
        <v>28</v>
      </c>
      <c r="B50" s="158" t="s">
        <v>4</v>
      </c>
    </row>
    <row r="52" spans="1:12">
      <c r="A52" s="287" t="s">
        <v>6</v>
      </c>
      <c r="B52" s="158" t="s">
        <v>10</v>
      </c>
      <c r="C52" s="158" t="s">
        <v>11</v>
      </c>
      <c r="D52" s="158" t="s">
        <v>12</v>
      </c>
      <c r="E52" s="158" t="s">
        <v>13</v>
      </c>
      <c r="F52" s="158" t="s">
        <v>14</v>
      </c>
      <c r="G52" s="158" t="s">
        <v>15</v>
      </c>
    </row>
    <row r="53" spans="1:12">
      <c r="A53" s="159" t="s">
        <v>29</v>
      </c>
      <c r="B53" s="160">
        <v>70</v>
      </c>
      <c r="C53" s="160">
        <v>35</v>
      </c>
      <c r="D53" s="160">
        <v>70</v>
      </c>
      <c r="E53" s="160">
        <v>75</v>
      </c>
      <c r="F53" s="160">
        <v>75</v>
      </c>
      <c r="G53" s="160">
        <v>30</v>
      </c>
    </row>
    <row r="54" spans="1:12">
      <c r="A54" s="159" t="s">
        <v>30</v>
      </c>
      <c r="B54" s="160">
        <v>128</v>
      </c>
      <c r="C54" s="160">
        <v>61</v>
      </c>
      <c r="D54" s="160">
        <v>91</v>
      </c>
      <c r="E54" s="160">
        <v>93</v>
      </c>
      <c r="F54" s="160">
        <v>103</v>
      </c>
      <c r="G54" s="160">
        <v>87</v>
      </c>
    </row>
    <row r="55" spans="1:12">
      <c r="A55" s="159" t="s">
        <v>31</v>
      </c>
      <c r="B55" s="160">
        <v>650</v>
      </c>
      <c r="C55" s="160">
        <v>320</v>
      </c>
      <c r="D55" s="160">
        <v>630</v>
      </c>
      <c r="E55" s="160">
        <v>540</v>
      </c>
      <c r="F55" s="160">
        <v>650</v>
      </c>
      <c r="G55" s="160">
        <v>740</v>
      </c>
    </row>
    <row r="56" spans="1:12">
      <c r="A56" s="159" t="s">
        <v>32</v>
      </c>
      <c r="B56" s="160">
        <v>8</v>
      </c>
      <c r="C56" s="160">
        <v>14</v>
      </c>
      <c r="D56" s="160">
        <v>18</v>
      </c>
      <c r="E56" s="160">
        <v>13</v>
      </c>
      <c r="F56" s="160">
        <v>21</v>
      </c>
      <c r="G56" s="160">
        <v>11</v>
      </c>
    </row>
    <row r="57" spans="1:12">
      <c r="A57" s="159" t="s">
        <v>25</v>
      </c>
      <c r="B57" s="160">
        <v>856</v>
      </c>
      <c r="C57" s="160">
        <v>430</v>
      </c>
      <c r="D57" s="160">
        <v>809</v>
      </c>
      <c r="E57" s="160">
        <v>721</v>
      </c>
      <c r="F57" s="160">
        <v>849</v>
      </c>
      <c r="G57" s="160">
        <v>868</v>
      </c>
      <c r="H57" s="158">
        <v>498</v>
      </c>
      <c r="I57" s="158">
        <v>586</v>
      </c>
      <c r="J57" s="158">
        <v>378</v>
      </c>
      <c r="K57" s="158">
        <v>280</v>
      </c>
      <c r="L57" s="265">
        <v>527</v>
      </c>
    </row>
    <row r="58" spans="1:12" ht="15">
      <c r="A58"/>
      <c r="B58"/>
      <c r="C58"/>
      <c r="D58"/>
      <c r="E58"/>
      <c r="F58"/>
      <c r="G58"/>
    </row>
    <row r="59" spans="1:12" ht="15">
      <c r="A59"/>
      <c r="B59"/>
      <c r="C59"/>
      <c r="D59"/>
      <c r="E59"/>
      <c r="F59"/>
      <c r="G59"/>
    </row>
    <row r="63" spans="1:12">
      <c r="A63" s="161" t="s">
        <v>33</v>
      </c>
      <c r="B63" s="162" t="s">
        <v>34</v>
      </c>
      <c r="C63" s="162" t="s">
        <v>35</v>
      </c>
      <c r="D63" s="162" t="s">
        <v>36</v>
      </c>
    </row>
    <row r="64" spans="1:12">
      <c r="A64" s="159" t="s">
        <v>29</v>
      </c>
      <c r="B64" s="160">
        <v>75</v>
      </c>
      <c r="C64" s="160">
        <v>75</v>
      </c>
      <c r="D64" s="160">
        <v>30</v>
      </c>
    </row>
    <row r="65" spans="1:10">
      <c r="A65" s="159" t="s">
        <v>30</v>
      </c>
      <c r="B65" s="160">
        <v>101</v>
      </c>
      <c r="C65" s="160">
        <v>103</v>
      </c>
      <c r="D65" s="160">
        <v>95</v>
      </c>
    </row>
    <row r="66" spans="1:10">
      <c r="A66" s="159" t="s">
        <v>31</v>
      </c>
      <c r="B66" s="160">
        <v>540</v>
      </c>
      <c r="C66" s="160">
        <v>650</v>
      </c>
      <c r="D66" s="160">
        <v>740</v>
      </c>
    </row>
    <row r="67" spans="1:10">
      <c r="A67" s="159" t="s">
        <v>32</v>
      </c>
      <c r="B67" s="160">
        <v>13</v>
      </c>
      <c r="C67" s="160">
        <v>21</v>
      </c>
      <c r="D67" s="160">
        <v>11</v>
      </c>
    </row>
    <row r="68" spans="1:10">
      <c r="A68" s="163" t="s">
        <v>37</v>
      </c>
      <c r="B68" s="164">
        <v>721</v>
      </c>
      <c r="C68" s="164">
        <v>849</v>
      </c>
      <c r="D68" s="164">
        <v>868</v>
      </c>
    </row>
    <row r="75" spans="1:10">
      <c r="A75" s="287" t="s">
        <v>1</v>
      </c>
      <c r="B75" s="158" t="s">
        <v>2</v>
      </c>
    </row>
    <row r="76" spans="1:10">
      <c r="A76" s="287" t="s">
        <v>3</v>
      </c>
      <c r="B76" s="158" t="s">
        <v>38</v>
      </c>
    </row>
    <row r="77" spans="1:10">
      <c r="A77" s="287" t="s">
        <v>5</v>
      </c>
      <c r="B77" s="158" t="s">
        <v>4</v>
      </c>
    </row>
    <row r="79" spans="1:10">
      <c r="A79" s="287" t="s">
        <v>6</v>
      </c>
      <c r="B79" s="158" t="s">
        <v>7</v>
      </c>
      <c r="C79" s="158" t="s">
        <v>8</v>
      </c>
      <c r="D79" s="158" t="s">
        <v>9</v>
      </c>
      <c r="E79" s="158" t="s">
        <v>10</v>
      </c>
      <c r="F79" s="158" t="s">
        <v>11</v>
      </c>
      <c r="G79" s="158" t="s">
        <v>12</v>
      </c>
      <c r="H79" s="158" t="s">
        <v>13</v>
      </c>
      <c r="I79" s="158" t="s">
        <v>14</v>
      </c>
      <c r="J79" s="158" t="s">
        <v>15</v>
      </c>
    </row>
    <row r="80" spans="1:10">
      <c r="A80" s="159" t="s">
        <v>39</v>
      </c>
      <c r="B80" s="288"/>
      <c r="C80" s="288"/>
      <c r="D80" s="288"/>
      <c r="E80" s="288">
        <v>2</v>
      </c>
      <c r="F80" s="288"/>
      <c r="G80" s="288"/>
      <c r="H80" s="288"/>
      <c r="I80" s="288"/>
      <c r="J80" s="288"/>
    </row>
    <row r="81" spans="1:10">
      <c r="A81" s="159" t="s">
        <v>25</v>
      </c>
      <c r="B81" s="288"/>
      <c r="C81" s="288"/>
      <c r="D81" s="288"/>
      <c r="E81" s="288">
        <v>2</v>
      </c>
      <c r="F81" s="288"/>
      <c r="G81" s="288"/>
      <c r="H81" s="288"/>
      <c r="I81" s="288"/>
      <c r="J81" s="288"/>
    </row>
    <row r="88" spans="1:10">
      <c r="A88" s="165" t="s">
        <v>40</v>
      </c>
      <c r="B88" s="162" t="s">
        <v>41</v>
      </c>
      <c r="C88" s="162" t="s">
        <v>42</v>
      </c>
      <c r="D88" s="162" t="s">
        <v>43</v>
      </c>
      <c r="E88" s="162" t="s">
        <v>34</v>
      </c>
      <c r="F88" s="162" t="s">
        <v>35</v>
      </c>
      <c r="G88" s="162" t="s">
        <v>36</v>
      </c>
    </row>
    <row r="89" spans="1:10">
      <c r="A89" s="159" t="s">
        <v>39</v>
      </c>
      <c r="B89" s="167">
        <v>2</v>
      </c>
      <c r="C89" s="166"/>
      <c r="D89" s="166"/>
      <c r="E89" s="167"/>
      <c r="F89" s="166"/>
      <c r="G89" s="166"/>
    </row>
    <row r="90" spans="1:10">
      <c r="A90" s="163" t="s">
        <v>37</v>
      </c>
      <c r="B90" s="169">
        <v>2</v>
      </c>
      <c r="C90" s="168"/>
      <c r="D90" s="168"/>
      <c r="E90" s="169"/>
      <c r="F90" s="168"/>
      <c r="G90" s="168"/>
    </row>
    <row r="98" spans="1:8">
      <c r="A98" s="157" t="s">
        <v>44</v>
      </c>
    </row>
    <row r="100" spans="1:8">
      <c r="A100" s="287" t="s">
        <v>3</v>
      </c>
      <c r="B100" s="158" t="s">
        <v>4</v>
      </c>
    </row>
    <row r="101" spans="1:8">
      <c r="A101" s="287" t="s">
        <v>5</v>
      </c>
      <c r="B101" s="158" t="s">
        <v>4</v>
      </c>
    </row>
    <row r="103" spans="1:8">
      <c r="A103" s="287" t="s">
        <v>45</v>
      </c>
      <c r="B103" s="287" t="s">
        <v>28</v>
      </c>
      <c r="C103" s="158" t="s">
        <v>10</v>
      </c>
      <c r="D103" s="158" t="s">
        <v>11</v>
      </c>
      <c r="E103" s="158" t="s">
        <v>12</v>
      </c>
      <c r="F103" s="158" t="s">
        <v>13</v>
      </c>
      <c r="G103" s="158" t="s">
        <v>14</v>
      </c>
      <c r="H103" s="158" t="s">
        <v>15</v>
      </c>
    </row>
    <row r="104" spans="1:8">
      <c r="A104" s="158" t="s">
        <v>30</v>
      </c>
      <c r="B104" s="158" t="s">
        <v>46</v>
      </c>
      <c r="C104" s="289"/>
      <c r="D104" s="289">
        <v>1</v>
      </c>
      <c r="E104" s="289">
        <v>1</v>
      </c>
      <c r="F104" s="289"/>
      <c r="G104" s="289"/>
      <c r="H104" s="289"/>
    </row>
    <row r="105" spans="1:8">
      <c r="A105" s="158" t="s">
        <v>47</v>
      </c>
      <c r="C105" s="289"/>
      <c r="D105" s="289">
        <v>1</v>
      </c>
      <c r="E105" s="289">
        <v>1</v>
      </c>
      <c r="F105" s="289"/>
      <c r="G105" s="289"/>
      <c r="H105" s="289"/>
    </row>
    <row r="106" spans="1:8">
      <c r="A106" s="158" t="s">
        <v>31</v>
      </c>
      <c r="B106" s="158" t="s">
        <v>46</v>
      </c>
      <c r="C106" s="289">
        <v>2</v>
      </c>
      <c r="D106" s="289">
        <v>2</v>
      </c>
      <c r="E106" s="289">
        <v>2</v>
      </c>
      <c r="F106" s="289">
        <v>4</v>
      </c>
      <c r="G106" s="289">
        <v>4</v>
      </c>
      <c r="H106" s="289">
        <v>6</v>
      </c>
    </row>
    <row r="107" spans="1:8">
      <c r="A107" s="158" t="s">
        <v>48</v>
      </c>
      <c r="C107" s="289">
        <v>2</v>
      </c>
      <c r="D107" s="289">
        <v>2</v>
      </c>
      <c r="E107" s="289">
        <v>2</v>
      </c>
      <c r="F107" s="289">
        <v>4</v>
      </c>
      <c r="G107" s="289">
        <v>4</v>
      </c>
      <c r="H107" s="289">
        <v>6</v>
      </c>
    </row>
    <row r="108" spans="1:8">
      <c r="A108" s="158" t="s">
        <v>49</v>
      </c>
      <c r="B108" s="158" t="s">
        <v>50</v>
      </c>
      <c r="C108" s="289"/>
      <c r="D108" s="289"/>
      <c r="E108" s="289"/>
      <c r="F108" s="289"/>
      <c r="G108" s="289"/>
      <c r="H108" s="289"/>
    </row>
    <row r="109" spans="1:8">
      <c r="B109" s="158" t="s">
        <v>46</v>
      </c>
      <c r="C109" s="289"/>
      <c r="D109" s="289"/>
      <c r="E109" s="289"/>
      <c r="F109" s="289"/>
      <c r="G109" s="289"/>
      <c r="H109" s="289"/>
    </row>
    <row r="110" spans="1:8">
      <c r="A110" s="158" t="s">
        <v>51</v>
      </c>
      <c r="C110" s="289"/>
      <c r="D110" s="289"/>
      <c r="E110" s="289"/>
      <c r="F110" s="289"/>
      <c r="G110" s="289"/>
      <c r="H110" s="289"/>
    </row>
    <row r="111" spans="1:8">
      <c r="A111" s="158" t="s">
        <v>29</v>
      </c>
      <c r="B111" s="158" t="s">
        <v>50</v>
      </c>
      <c r="C111" s="289"/>
      <c r="D111" s="289"/>
      <c r="E111" s="289"/>
      <c r="F111" s="289">
        <v>2</v>
      </c>
      <c r="G111" s="289">
        <v>4</v>
      </c>
      <c r="H111" s="289">
        <v>4</v>
      </c>
    </row>
    <row r="112" spans="1:8">
      <c r="B112" s="158" t="s">
        <v>46</v>
      </c>
      <c r="C112" s="289"/>
      <c r="D112" s="289"/>
      <c r="E112" s="289">
        <v>4</v>
      </c>
      <c r="F112" s="289">
        <v>12</v>
      </c>
      <c r="G112" s="289">
        <v>12</v>
      </c>
      <c r="H112" s="289">
        <v>4</v>
      </c>
    </row>
    <row r="113" spans="1:8">
      <c r="A113" s="158" t="s">
        <v>52</v>
      </c>
      <c r="C113" s="289"/>
      <c r="D113" s="289"/>
      <c r="E113" s="289">
        <v>4</v>
      </c>
      <c r="F113" s="289">
        <v>14</v>
      </c>
      <c r="G113" s="289">
        <v>16</v>
      </c>
      <c r="H113" s="289">
        <v>8</v>
      </c>
    </row>
    <row r="114" spans="1:8">
      <c r="A114" s="158" t="s">
        <v>25</v>
      </c>
      <c r="C114" s="289">
        <v>2</v>
      </c>
      <c r="D114" s="289">
        <v>3</v>
      </c>
      <c r="E114" s="289">
        <v>7</v>
      </c>
      <c r="F114" s="289">
        <v>18</v>
      </c>
      <c r="G114" s="289">
        <v>20</v>
      </c>
      <c r="H114" s="289">
        <v>14</v>
      </c>
    </row>
    <row r="115" spans="1:8" ht="15">
      <c r="A115"/>
      <c r="B115"/>
      <c r="C115"/>
      <c r="D115"/>
      <c r="E115"/>
      <c r="F115"/>
      <c r="G115"/>
      <c r="H115"/>
    </row>
    <row r="116" spans="1:8" ht="15">
      <c r="A116"/>
      <c r="B116"/>
      <c r="C116"/>
      <c r="D116"/>
      <c r="E116"/>
      <c r="F116"/>
      <c r="G116"/>
      <c r="H116"/>
    </row>
    <row r="117" spans="1:8" ht="15">
      <c r="A117"/>
      <c r="B117"/>
      <c r="C117"/>
      <c r="D117"/>
      <c r="E117"/>
      <c r="F117"/>
      <c r="G117"/>
      <c r="H117"/>
    </row>
    <row r="118" spans="1:8" ht="15">
      <c r="A118"/>
      <c r="B118"/>
      <c r="C118"/>
      <c r="D118"/>
      <c r="E118"/>
      <c r="F118"/>
      <c r="G118"/>
      <c r="H118"/>
    </row>
    <row r="119" spans="1:8" ht="15">
      <c r="A119"/>
      <c r="B119"/>
      <c r="C119"/>
      <c r="D119"/>
      <c r="E119"/>
      <c r="F119"/>
      <c r="G119"/>
      <c r="H119"/>
    </row>
    <row r="120" spans="1:8" ht="15">
      <c r="A120"/>
      <c r="B120"/>
      <c r="C120"/>
      <c r="D120"/>
      <c r="E120"/>
      <c r="F120"/>
      <c r="G120"/>
      <c r="H120"/>
    </row>
    <row r="121" spans="1:8" ht="15">
      <c r="A121"/>
      <c r="B121"/>
      <c r="C121"/>
      <c r="D121"/>
      <c r="E121"/>
      <c r="F121"/>
      <c r="G121"/>
      <c r="H121"/>
    </row>
    <row r="122" spans="1:8" ht="15">
      <c r="A122"/>
      <c r="B122"/>
      <c r="C122"/>
      <c r="D122"/>
      <c r="E122"/>
      <c r="F122"/>
      <c r="G122"/>
      <c r="H122"/>
    </row>
    <row r="123" spans="1:8" ht="15">
      <c r="A123"/>
      <c r="B123"/>
      <c r="C123"/>
      <c r="D123"/>
      <c r="E123"/>
      <c r="F123"/>
      <c r="G123"/>
      <c r="H123"/>
    </row>
    <row r="124" spans="1:8" ht="15">
      <c r="A124"/>
      <c r="B124"/>
      <c r="C124"/>
      <c r="D124"/>
      <c r="E124"/>
      <c r="F124"/>
      <c r="G124"/>
      <c r="H124"/>
    </row>
    <row r="125" spans="1:8" ht="15">
      <c r="A125"/>
      <c r="B125"/>
      <c r="C125"/>
      <c r="D125"/>
      <c r="E125"/>
      <c r="F125"/>
      <c r="G125"/>
      <c r="H125"/>
    </row>
    <row r="126" spans="1:8" ht="15">
      <c r="A126"/>
      <c r="B126"/>
      <c r="C126"/>
      <c r="D126"/>
      <c r="E126"/>
      <c r="F126"/>
      <c r="G126"/>
      <c r="H126"/>
    </row>
    <row r="127" spans="1:8" ht="15">
      <c r="A127"/>
      <c r="B127"/>
      <c r="C127"/>
      <c r="D127"/>
      <c r="E127"/>
      <c r="F127"/>
      <c r="G127"/>
      <c r="H127"/>
    </row>
    <row r="128" spans="1:8" ht="15">
      <c r="A128"/>
      <c r="B128"/>
      <c r="C128"/>
      <c r="D128"/>
      <c r="E128"/>
      <c r="F128"/>
      <c r="G128"/>
      <c r="H128"/>
    </row>
    <row r="129" spans="1:8" ht="15">
      <c r="A129"/>
      <c r="B129"/>
      <c r="C129"/>
      <c r="D129"/>
      <c r="E129"/>
      <c r="F129"/>
      <c r="G129"/>
      <c r="H129"/>
    </row>
    <row r="133" spans="1:8">
      <c r="A133" s="159"/>
    </row>
    <row r="134" spans="1:8">
      <c r="A134" s="157" t="s">
        <v>53</v>
      </c>
      <c r="B134" s="170"/>
    </row>
    <row r="135" spans="1:8">
      <c r="A135" s="159"/>
    </row>
    <row r="136" spans="1:8">
      <c r="A136" s="159"/>
    </row>
    <row r="137" spans="1:8">
      <c r="A137" s="159"/>
    </row>
    <row r="140" spans="1:8">
      <c r="A140" s="287" t="s">
        <v>1</v>
      </c>
      <c r="B140" s="158" t="s">
        <v>2</v>
      </c>
    </row>
    <row r="141" spans="1:8">
      <c r="A141" s="287" t="s">
        <v>3</v>
      </c>
      <c r="B141" s="158" t="s">
        <v>54</v>
      </c>
    </row>
    <row r="142" spans="1:8">
      <c r="A142" s="287" t="s">
        <v>5</v>
      </c>
      <c r="B142" s="158" t="s">
        <v>4</v>
      </c>
    </row>
    <row r="144" spans="1:8">
      <c r="A144" s="287" t="s">
        <v>6</v>
      </c>
      <c r="B144" s="158" t="s">
        <v>10</v>
      </c>
      <c r="C144" s="158" t="s">
        <v>11</v>
      </c>
      <c r="D144" s="158" t="s">
        <v>12</v>
      </c>
      <c r="E144" s="158" t="s">
        <v>13</v>
      </c>
      <c r="F144" s="158" t="s">
        <v>14</v>
      </c>
      <c r="G144" s="158" t="s">
        <v>15</v>
      </c>
    </row>
    <row r="145" spans="1:8">
      <c r="A145" s="159" t="s">
        <v>55</v>
      </c>
      <c r="B145" s="288">
        <v>3.1399999999999997</v>
      </c>
      <c r="C145" s="288">
        <v>0.84</v>
      </c>
      <c r="D145" s="288">
        <v>5.7</v>
      </c>
      <c r="E145" s="288"/>
      <c r="F145" s="288"/>
      <c r="G145" s="288"/>
    </row>
    <row r="146" spans="1:8">
      <c r="A146" s="159" t="s">
        <v>30</v>
      </c>
      <c r="B146" s="288">
        <v>16.3</v>
      </c>
      <c r="C146" s="288">
        <v>13.522000000000002</v>
      </c>
      <c r="D146" s="288">
        <v>9.3460000000000001</v>
      </c>
      <c r="E146" s="288">
        <v>4.6000000000000005</v>
      </c>
      <c r="F146" s="288">
        <v>4.6000000000000005</v>
      </c>
      <c r="G146" s="288">
        <v>4.6000000000000005</v>
      </c>
    </row>
    <row r="147" spans="1:8">
      <c r="A147" s="159" t="s">
        <v>32</v>
      </c>
      <c r="B147" s="288">
        <v>19.2</v>
      </c>
      <c r="C147" s="288">
        <v>0</v>
      </c>
      <c r="D147" s="288">
        <v>14.7</v>
      </c>
      <c r="E147" s="288">
        <v>14</v>
      </c>
      <c r="F147" s="288">
        <v>14.3</v>
      </c>
      <c r="G147" s="288">
        <v>0</v>
      </c>
    </row>
    <row r="148" spans="1:8">
      <c r="A148" s="159" t="s">
        <v>31</v>
      </c>
      <c r="B148" s="288">
        <v>34.4</v>
      </c>
      <c r="C148" s="288">
        <v>4.8</v>
      </c>
      <c r="D148" s="288">
        <v>44.6</v>
      </c>
      <c r="E148" s="288">
        <v>8</v>
      </c>
      <c r="F148" s="288">
        <v>28</v>
      </c>
      <c r="G148" s="288">
        <v>6</v>
      </c>
    </row>
    <row r="149" spans="1:8">
      <c r="A149" s="159" t="s">
        <v>29</v>
      </c>
      <c r="B149" s="288"/>
      <c r="C149" s="288">
        <v>0.4</v>
      </c>
      <c r="D149" s="288">
        <v>1.2000000000000002</v>
      </c>
      <c r="E149" s="288">
        <v>4.2</v>
      </c>
      <c r="F149" s="288">
        <v>5.8</v>
      </c>
      <c r="G149" s="288">
        <v>1.6</v>
      </c>
    </row>
    <row r="150" spans="1:8">
      <c r="A150" s="159" t="s">
        <v>39</v>
      </c>
      <c r="B150" s="288">
        <v>0.8</v>
      </c>
      <c r="C150" s="288">
        <v>2</v>
      </c>
      <c r="D150" s="288">
        <v>16</v>
      </c>
      <c r="E150" s="288">
        <v>7</v>
      </c>
      <c r="F150" s="288">
        <v>6</v>
      </c>
      <c r="G150" s="288"/>
    </row>
    <row r="151" spans="1:8">
      <c r="A151" s="159" t="s">
        <v>56</v>
      </c>
      <c r="B151" s="288">
        <v>3.2920000000000003</v>
      </c>
      <c r="C151" s="288">
        <v>5.2919999999999998</v>
      </c>
      <c r="D151" s="288">
        <v>8.2419999999999991</v>
      </c>
      <c r="E151" s="288">
        <v>4.2839999999999998</v>
      </c>
      <c r="F151" s="288">
        <v>3.0209999999999999</v>
      </c>
      <c r="G151" s="288">
        <v>2.6</v>
      </c>
    </row>
    <row r="152" spans="1:8">
      <c r="A152" s="159" t="s">
        <v>24</v>
      </c>
      <c r="B152" s="288">
        <v>2.6</v>
      </c>
      <c r="C152" s="288">
        <v>2.6</v>
      </c>
      <c r="D152" s="288">
        <v>2.6</v>
      </c>
      <c r="E152" s="288">
        <v>0.5</v>
      </c>
      <c r="F152" s="288">
        <v>0.5</v>
      </c>
      <c r="G152" s="288">
        <v>0.5</v>
      </c>
    </row>
    <row r="153" spans="1:8">
      <c r="A153" s="159" t="s">
        <v>57</v>
      </c>
      <c r="B153" s="288">
        <v>8.8000000000000007</v>
      </c>
      <c r="C153" s="288">
        <v>8</v>
      </c>
      <c r="D153" s="288">
        <v>9</v>
      </c>
      <c r="E153" s="288">
        <v>17</v>
      </c>
      <c r="F153" s="288">
        <v>9</v>
      </c>
      <c r="G153" s="288"/>
    </row>
    <row r="154" spans="1:8">
      <c r="A154" s="159" t="s">
        <v>21</v>
      </c>
      <c r="B154" s="288"/>
      <c r="C154" s="288">
        <v>8</v>
      </c>
      <c r="D154" s="288">
        <v>1</v>
      </c>
      <c r="E154" s="288"/>
      <c r="F154" s="288">
        <v>16</v>
      </c>
      <c r="G154" s="288"/>
    </row>
    <row r="155" spans="1:8">
      <c r="A155" s="159" t="s">
        <v>25</v>
      </c>
      <c r="B155" s="288">
        <v>88.531999999999982</v>
      </c>
      <c r="C155" s="288">
        <v>45.454000000000001</v>
      </c>
      <c r="D155" s="288">
        <v>112.38800000000001</v>
      </c>
      <c r="E155" s="288">
        <v>59.583999999999996</v>
      </c>
      <c r="F155" s="288">
        <v>87.221000000000004</v>
      </c>
      <c r="G155" s="288">
        <v>15.3</v>
      </c>
    </row>
    <row r="159" spans="1:8">
      <c r="A159" s="165" t="s">
        <v>45</v>
      </c>
      <c r="B159" s="165" t="s">
        <v>28</v>
      </c>
      <c r="C159" s="165" t="s">
        <v>10</v>
      </c>
      <c r="D159" s="165" t="s">
        <v>11</v>
      </c>
      <c r="E159" s="165" t="s">
        <v>12</v>
      </c>
      <c r="F159" s="165" t="s">
        <v>13</v>
      </c>
      <c r="G159" s="165" t="s">
        <v>14</v>
      </c>
      <c r="H159" s="165" t="s">
        <v>15</v>
      </c>
    </row>
    <row r="160" spans="1:8">
      <c r="A160" s="190" t="s">
        <v>30</v>
      </c>
      <c r="B160" s="158" t="s">
        <v>58</v>
      </c>
      <c r="C160" s="158">
        <v>24</v>
      </c>
      <c r="D160" s="158">
        <v>16</v>
      </c>
      <c r="E160" s="158">
        <v>21</v>
      </c>
      <c r="F160" s="158">
        <v>21</v>
      </c>
      <c r="G160" s="158">
        <v>21</v>
      </c>
      <c r="H160" s="158">
        <v>21</v>
      </c>
    </row>
    <row r="161" spans="1:8">
      <c r="A161" s="190"/>
      <c r="B161" s="158" t="s">
        <v>59</v>
      </c>
      <c r="C161" s="158">
        <v>80</v>
      </c>
      <c r="D161" s="158">
        <v>35</v>
      </c>
      <c r="E161" s="158">
        <v>61</v>
      </c>
      <c r="F161" s="158">
        <v>61</v>
      </c>
      <c r="G161" s="158">
        <v>49</v>
      </c>
      <c r="H161" s="158">
        <v>61</v>
      </c>
    </row>
    <row r="162" spans="1:8">
      <c r="A162" s="190"/>
      <c r="B162" s="158" t="s">
        <v>60</v>
      </c>
      <c r="D162" s="158">
        <v>4</v>
      </c>
      <c r="F162" s="158">
        <v>4</v>
      </c>
      <c r="G162" s="158">
        <v>4</v>
      </c>
    </row>
    <row r="163" spans="1:8">
      <c r="A163" s="190"/>
      <c r="B163" s="158" t="s">
        <v>61</v>
      </c>
      <c r="C163" s="158">
        <v>24</v>
      </c>
      <c r="D163" s="158">
        <v>0</v>
      </c>
      <c r="E163" s="158">
        <v>15</v>
      </c>
      <c r="F163" s="158">
        <v>5</v>
      </c>
      <c r="G163" s="158">
        <v>19</v>
      </c>
      <c r="H163" s="158">
        <v>13</v>
      </c>
    </row>
    <row r="164" spans="1:8">
      <c r="A164" s="190"/>
      <c r="B164" s="158" t="s">
        <v>62</v>
      </c>
      <c r="C164" s="158">
        <v>0</v>
      </c>
      <c r="D164" s="158">
        <v>6</v>
      </c>
      <c r="E164" s="158">
        <v>6</v>
      </c>
      <c r="F164" s="158">
        <v>18</v>
      </c>
      <c r="G164" s="158">
        <v>14</v>
      </c>
      <c r="H164" s="158">
        <v>8</v>
      </c>
    </row>
    <row r="165" spans="1:8">
      <c r="A165" s="190"/>
      <c r="B165" s="158" t="s">
        <v>63</v>
      </c>
      <c r="C165" s="158">
        <v>80</v>
      </c>
      <c r="D165" s="158">
        <v>60</v>
      </c>
      <c r="E165" s="158">
        <v>120</v>
      </c>
      <c r="F165" s="158">
        <v>120</v>
      </c>
      <c r="G165" s="158">
        <v>80</v>
      </c>
      <c r="H165" s="158">
        <v>120</v>
      </c>
    </row>
    <row r="166" spans="1:8">
      <c r="A166" s="191"/>
      <c r="B166" s="158" t="s">
        <v>46</v>
      </c>
      <c r="D166" s="158">
        <v>1</v>
      </c>
      <c r="E166" s="158">
        <v>2</v>
      </c>
    </row>
    <row r="167" spans="1:8">
      <c r="A167" s="190" t="s">
        <v>32</v>
      </c>
      <c r="B167" s="158" t="s">
        <v>61</v>
      </c>
      <c r="D167" s="158">
        <v>1</v>
      </c>
      <c r="E167" s="158">
        <v>1</v>
      </c>
      <c r="G167" s="158">
        <v>2</v>
      </c>
    </row>
    <row r="168" spans="1:8">
      <c r="A168" s="190"/>
      <c r="B168" s="158" t="s">
        <v>62</v>
      </c>
      <c r="C168" s="158">
        <v>8</v>
      </c>
      <c r="D168" s="158">
        <v>13</v>
      </c>
      <c r="E168" s="158">
        <v>17</v>
      </c>
      <c r="F168" s="158">
        <v>13</v>
      </c>
      <c r="G168" s="158">
        <v>19</v>
      </c>
      <c r="H168" s="158">
        <v>11</v>
      </c>
    </row>
    <row r="169" spans="1:8">
      <c r="A169" s="191"/>
      <c r="B169" s="158" t="s">
        <v>63</v>
      </c>
      <c r="C169" s="158">
        <v>2</v>
      </c>
      <c r="D169" s="158">
        <v>2</v>
      </c>
      <c r="E169" s="158">
        <v>1</v>
      </c>
      <c r="F169" s="158">
        <v>2</v>
      </c>
      <c r="G169" s="158">
        <v>2</v>
      </c>
      <c r="H169" s="158">
        <v>1</v>
      </c>
    </row>
    <row r="170" spans="1:8">
      <c r="A170" s="190" t="s">
        <v>31</v>
      </c>
      <c r="B170" s="158" t="s">
        <v>64</v>
      </c>
      <c r="C170" s="158">
        <v>600</v>
      </c>
      <c r="D170" s="158">
        <v>300</v>
      </c>
      <c r="E170" s="158">
        <v>600</v>
      </c>
      <c r="F170" s="158">
        <v>500</v>
      </c>
      <c r="G170" s="158">
        <v>600</v>
      </c>
      <c r="H170" s="158">
        <v>700</v>
      </c>
    </row>
    <row r="171" spans="1:8">
      <c r="A171" s="190"/>
      <c r="B171" s="158" t="s">
        <v>61</v>
      </c>
      <c r="C171" s="158">
        <v>50</v>
      </c>
      <c r="D171" s="158">
        <v>20</v>
      </c>
      <c r="E171" s="158">
        <v>30</v>
      </c>
      <c r="F171" s="158">
        <v>40</v>
      </c>
      <c r="G171" s="158">
        <v>50</v>
      </c>
      <c r="H171" s="158">
        <v>40</v>
      </c>
    </row>
    <row r="172" spans="1:8">
      <c r="A172" s="190"/>
      <c r="B172" s="158" t="s">
        <v>63</v>
      </c>
      <c r="C172" s="158">
        <v>140</v>
      </c>
      <c r="D172" s="158">
        <v>100</v>
      </c>
      <c r="E172" s="158">
        <v>130</v>
      </c>
      <c r="F172" s="158">
        <v>150</v>
      </c>
      <c r="G172" s="158">
        <v>200</v>
      </c>
      <c r="H172" s="158">
        <v>200</v>
      </c>
    </row>
    <row r="173" spans="1:8">
      <c r="A173" s="191"/>
      <c r="B173" s="158" t="s">
        <v>46</v>
      </c>
      <c r="C173" s="158">
        <v>2</v>
      </c>
      <c r="D173" s="158">
        <v>2</v>
      </c>
      <c r="E173" s="158">
        <v>2</v>
      </c>
      <c r="F173" s="158">
        <v>4</v>
      </c>
      <c r="G173" s="158">
        <v>4</v>
      </c>
      <c r="H173" s="158">
        <v>6</v>
      </c>
    </row>
    <row r="174" spans="1:8">
      <c r="A174" s="190" t="s">
        <v>29</v>
      </c>
      <c r="B174" s="158" t="s">
        <v>65</v>
      </c>
      <c r="C174" s="158">
        <v>20</v>
      </c>
      <c r="D174" s="158">
        <v>20</v>
      </c>
      <c r="E174" s="158">
        <v>30</v>
      </c>
      <c r="F174" s="158">
        <v>35</v>
      </c>
      <c r="G174" s="158">
        <v>35</v>
      </c>
      <c r="H174" s="158">
        <v>15</v>
      </c>
    </row>
    <row r="175" spans="1:8">
      <c r="A175" s="190"/>
      <c r="B175" s="158" t="s">
        <v>59</v>
      </c>
      <c r="C175" s="158">
        <v>30</v>
      </c>
      <c r="D175" s="158">
        <v>10</v>
      </c>
      <c r="E175" s="158">
        <v>25</v>
      </c>
      <c r="F175" s="158">
        <v>25</v>
      </c>
      <c r="G175" s="158">
        <v>25</v>
      </c>
      <c r="H175" s="158">
        <v>10</v>
      </c>
    </row>
    <row r="176" spans="1:8">
      <c r="A176" s="190"/>
      <c r="B176" s="158" t="s">
        <v>64</v>
      </c>
      <c r="C176" s="158">
        <v>20</v>
      </c>
      <c r="D176" s="158">
        <v>5</v>
      </c>
      <c r="E176" s="158">
        <v>15</v>
      </c>
      <c r="F176" s="158">
        <v>15</v>
      </c>
      <c r="G176" s="158">
        <v>15</v>
      </c>
      <c r="H176" s="158">
        <v>5</v>
      </c>
    </row>
    <row r="177" spans="1:8">
      <c r="A177" s="190"/>
      <c r="B177" s="158" t="s">
        <v>50</v>
      </c>
      <c r="E177" s="158">
        <v>5</v>
      </c>
      <c r="F177" s="158">
        <v>4</v>
      </c>
      <c r="G177" s="158">
        <v>4</v>
      </c>
      <c r="H177" s="158">
        <v>4</v>
      </c>
    </row>
    <row r="178" spans="1:8">
      <c r="A178" s="191"/>
      <c r="B178" s="158" t="s">
        <v>46</v>
      </c>
      <c r="E178" s="158">
        <v>10</v>
      </c>
      <c r="F178" s="158">
        <v>12</v>
      </c>
      <c r="G178" s="158">
        <v>14</v>
      </c>
      <c r="H178" s="158">
        <v>4</v>
      </c>
    </row>
    <row r="179" spans="1:8">
      <c r="A179" s="191" t="s">
        <v>56</v>
      </c>
      <c r="B179" s="158" t="s">
        <v>46</v>
      </c>
      <c r="C179" s="158">
        <v>2</v>
      </c>
      <c r="E179" s="158">
        <v>4</v>
      </c>
      <c r="F179" s="158">
        <v>4</v>
      </c>
      <c r="G179" s="158">
        <v>4</v>
      </c>
      <c r="H179" s="158">
        <v>4</v>
      </c>
    </row>
    <row r="180" spans="1:8">
      <c r="A180" s="192" t="s">
        <v>25</v>
      </c>
      <c r="B180" s="192"/>
      <c r="C180" s="192">
        <v>1082</v>
      </c>
      <c r="D180" s="192">
        <v>595</v>
      </c>
      <c r="E180" s="192">
        <v>1095</v>
      </c>
      <c r="F180" s="192">
        <v>1033</v>
      </c>
      <c r="G180" s="192">
        <v>1161</v>
      </c>
      <c r="H180" s="192">
        <v>1223</v>
      </c>
    </row>
    <row r="190" spans="1:8" ht="15">
      <c r="A190"/>
      <c r="B190"/>
      <c r="C190"/>
      <c r="D190"/>
      <c r="E190"/>
      <c r="F190"/>
      <c r="G190"/>
    </row>
    <row r="191" spans="1:8" ht="15">
      <c r="A191"/>
      <c r="B191"/>
      <c r="C191"/>
      <c r="D191"/>
      <c r="E191"/>
      <c r="F191"/>
      <c r="G191"/>
    </row>
    <row r="192" spans="1:8" ht="15">
      <c r="A192"/>
      <c r="B192"/>
      <c r="C192"/>
      <c r="D192"/>
      <c r="E192"/>
      <c r="F192"/>
      <c r="G192"/>
    </row>
    <row r="193" spans="1:7" ht="15">
      <c r="A193"/>
      <c r="B193"/>
      <c r="C193"/>
      <c r="D193"/>
      <c r="E193"/>
      <c r="F193"/>
      <c r="G193"/>
    </row>
    <row r="194" spans="1:7" ht="15">
      <c r="A194"/>
      <c r="B194"/>
      <c r="C194"/>
      <c r="D194"/>
      <c r="E194"/>
      <c r="F194"/>
      <c r="G194"/>
    </row>
    <row r="195" spans="1:7" ht="15">
      <c r="A195"/>
      <c r="B195"/>
      <c r="C195"/>
      <c r="D195"/>
      <c r="E195"/>
      <c r="F195"/>
      <c r="G195"/>
    </row>
    <row r="196" spans="1:7" ht="15">
      <c r="A196"/>
      <c r="B196"/>
      <c r="C196"/>
      <c r="D196"/>
      <c r="E196"/>
      <c r="F196"/>
      <c r="G196"/>
    </row>
    <row r="197" spans="1:7" ht="15">
      <c r="A197"/>
      <c r="B197"/>
      <c r="C197"/>
      <c r="D197"/>
      <c r="E197"/>
      <c r="F197"/>
      <c r="G197"/>
    </row>
    <row r="198" spans="1:7" ht="15">
      <c r="A198"/>
      <c r="B198"/>
      <c r="C198"/>
      <c r="D198"/>
      <c r="E198"/>
      <c r="F198"/>
      <c r="G198"/>
    </row>
    <row r="199" spans="1:7" ht="15">
      <c r="A199"/>
      <c r="B199"/>
      <c r="C199"/>
      <c r="D199"/>
      <c r="E199"/>
      <c r="F199"/>
      <c r="G199"/>
    </row>
    <row r="200" spans="1:7" ht="15">
      <c r="A200"/>
      <c r="B200"/>
      <c r="C200"/>
      <c r="D200"/>
      <c r="E200"/>
      <c r="F200"/>
      <c r="G200"/>
    </row>
    <row r="201" spans="1:7" ht="15">
      <c r="A201"/>
      <c r="B201"/>
      <c r="C201"/>
      <c r="D201"/>
      <c r="E201"/>
      <c r="F201"/>
      <c r="G201"/>
    </row>
    <row r="202" spans="1:7" ht="15">
      <c r="A202"/>
      <c r="B202"/>
      <c r="C202"/>
      <c r="D202"/>
      <c r="E202"/>
      <c r="F202"/>
      <c r="G202"/>
    </row>
    <row r="203" spans="1:7" ht="15">
      <c r="A203"/>
      <c r="B203"/>
      <c r="C203"/>
      <c r="D203"/>
      <c r="E203"/>
      <c r="F203"/>
      <c r="G203"/>
    </row>
    <row r="204" spans="1:7" ht="15">
      <c r="A204"/>
      <c r="B204"/>
      <c r="C204"/>
      <c r="D204"/>
      <c r="E204"/>
      <c r="F204"/>
      <c r="G204"/>
    </row>
    <row r="205" spans="1:7" ht="15">
      <c r="A205"/>
      <c r="B205"/>
      <c r="C205"/>
      <c r="D205"/>
      <c r="E205"/>
      <c r="F205"/>
      <c r="G205"/>
    </row>
    <row r="206" spans="1:7" ht="15">
      <c r="A206"/>
      <c r="B206"/>
      <c r="C206"/>
      <c r="D206"/>
      <c r="E206"/>
      <c r="F206"/>
      <c r="G206"/>
    </row>
    <row r="207" spans="1:7" ht="15">
      <c r="A207"/>
      <c r="B207"/>
      <c r="C207"/>
      <c r="D207"/>
      <c r="E207"/>
      <c r="F207"/>
      <c r="G207"/>
    </row>
    <row r="208" spans="1:7" ht="15">
      <c r="A208"/>
      <c r="B208"/>
      <c r="C208"/>
      <c r="D208"/>
      <c r="E208"/>
      <c r="F208"/>
      <c r="G208"/>
    </row>
    <row r="209" spans="1:7" ht="15">
      <c r="A209"/>
      <c r="B209"/>
      <c r="C209"/>
      <c r="D209"/>
      <c r="E209"/>
      <c r="F209"/>
      <c r="G209"/>
    </row>
    <row r="210" spans="1:7" ht="15">
      <c r="A210"/>
      <c r="B210"/>
      <c r="C210"/>
      <c r="D210"/>
      <c r="E210"/>
      <c r="F210"/>
      <c r="G210"/>
    </row>
    <row r="211" spans="1:7" ht="15">
      <c r="A211"/>
      <c r="B211"/>
      <c r="C211"/>
      <c r="D211"/>
      <c r="E211"/>
      <c r="F211"/>
      <c r="G211"/>
    </row>
    <row r="212" spans="1:7" ht="15">
      <c r="A212"/>
      <c r="B212"/>
      <c r="C212"/>
      <c r="D212"/>
      <c r="E212"/>
      <c r="F212"/>
      <c r="G212"/>
    </row>
    <row r="213" spans="1:7" ht="15">
      <c r="A213"/>
      <c r="B213"/>
      <c r="C213"/>
      <c r="D213"/>
      <c r="E213"/>
      <c r="F213"/>
      <c r="G213"/>
    </row>
    <row r="214" spans="1:7" ht="15">
      <c r="A214"/>
      <c r="B214"/>
      <c r="C214"/>
      <c r="D214"/>
      <c r="E214"/>
      <c r="F214"/>
      <c r="G214"/>
    </row>
    <row r="215" spans="1:7" ht="15">
      <c r="A215"/>
      <c r="B215"/>
      <c r="C215"/>
      <c r="D215"/>
      <c r="E215"/>
      <c r="F215"/>
      <c r="G215"/>
    </row>
    <row r="216" spans="1:7" ht="15">
      <c r="A216"/>
      <c r="B216"/>
      <c r="C216"/>
      <c r="D216"/>
      <c r="E216"/>
      <c r="F216"/>
      <c r="G216"/>
    </row>
  </sheetData>
  <phoneticPr fontId="6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56DAB-3E2C-4FC0-B3AA-8EBA7526D11D}">
  <dimension ref="A1:F146"/>
  <sheetViews>
    <sheetView topLeftCell="A123" workbookViewId="0">
      <selection activeCell="C10" sqref="C10"/>
    </sheetView>
  </sheetViews>
  <sheetFormatPr defaultColWidth="9.08984375" defaultRowHeight="14"/>
  <cols>
    <col min="1" max="1" width="12.453125" bestFit="1" customWidth="1"/>
    <col min="2" max="2" width="36.1796875" bestFit="1" customWidth="1"/>
    <col min="3" max="3" width="21.7265625" bestFit="1" customWidth="1"/>
    <col min="4" max="4" width="13.453125" bestFit="1" customWidth="1"/>
    <col min="5" max="5" width="20.54296875" bestFit="1" customWidth="1"/>
    <col min="6" max="6" width="18.1796875" bestFit="1" customWidth="1"/>
    <col min="7" max="7" width="12" bestFit="1" customWidth="1"/>
    <col min="8" max="8" width="21.08984375" customWidth="1"/>
    <col min="9" max="9" width="14.08984375" bestFit="1" customWidth="1"/>
    <col min="10" max="10" width="45.08984375" bestFit="1" customWidth="1"/>
    <col min="11" max="11" width="18.08984375" bestFit="1" customWidth="1"/>
    <col min="12" max="12" width="81.08984375" bestFit="1" customWidth="1"/>
    <col min="13" max="13" width="14.6328125" bestFit="1" customWidth="1"/>
    <col min="14" max="14" width="18.6328125" bestFit="1" customWidth="1"/>
    <col min="15" max="15" width="28.6328125" bestFit="1" customWidth="1"/>
    <col min="16" max="16" width="11.36328125" bestFit="1" customWidth="1"/>
    <col min="17" max="17" width="9" bestFit="1" customWidth="1"/>
  </cols>
  <sheetData>
    <row r="1" spans="1:6">
      <c r="A1" t="s">
        <v>45</v>
      </c>
      <c r="B1" t="s">
        <v>66</v>
      </c>
      <c r="C1" t="s">
        <v>26</v>
      </c>
      <c r="D1" t="s">
        <v>67</v>
      </c>
      <c r="E1" t="s">
        <v>68</v>
      </c>
      <c r="F1" t="s">
        <v>69</v>
      </c>
    </row>
    <row r="2" spans="1:6">
      <c r="C2" t="s">
        <v>70</v>
      </c>
      <c r="D2" t="s">
        <v>71</v>
      </c>
      <c r="E2">
        <v>0.4</v>
      </c>
      <c r="F2">
        <v>0.27999999999999997</v>
      </c>
    </row>
    <row r="3" spans="1:6">
      <c r="C3" t="s">
        <v>70</v>
      </c>
      <c r="D3" t="s">
        <v>72</v>
      </c>
      <c r="E3">
        <v>0</v>
      </c>
      <c r="F3">
        <v>0</v>
      </c>
    </row>
    <row r="4" spans="1:6">
      <c r="C4" t="s">
        <v>70</v>
      </c>
      <c r="D4" t="s">
        <v>73</v>
      </c>
      <c r="E4">
        <v>0.4</v>
      </c>
      <c r="F4">
        <v>0.27999999999999997</v>
      </c>
    </row>
    <row r="5" spans="1:6">
      <c r="C5" t="s">
        <v>70</v>
      </c>
      <c r="D5" t="s">
        <v>74</v>
      </c>
      <c r="E5">
        <v>3.4</v>
      </c>
      <c r="F5">
        <v>2.3799999999999994</v>
      </c>
    </row>
    <row r="6" spans="1:6">
      <c r="C6" t="s">
        <v>70</v>
      </c>
      <c r="D6" t="s">
        <v>75</v>
      </c>
      <c r="E6">
        <v>3.4</v>
      </c>
      <c r="F6">
        <v>2.3799999999999994</v>
      </c>
    </row>
    <row r="7" spans="1:6">
      <c r="C7" t="s">
        <v>70</v>
      </c>
      <c r="D7" t="s">
        <v>76</v>
      </c>
      <c r="E7">
        <v>3.4</v>
      </c>
      <c r="F7">
        <v>2.3799999999999994</v>
      </c>
    </row>
    <row r="8" spans="1:6">
      <c r="C8" t="s">
        <v>70</v>
      </c>
      <c r="D8" t="s">
        <v>77</v>
      </c>
      <c r="E8">
        <v>1</v>
      </c>
      <c r="F8">
        <v>0.7</v>
      </c>
    </row>
    <row r="9" spans="1:6">
      <c r="C9" t="s">
        <v>70</v>
      </c>
      <c r="D9" t="s">
        <v>78</v>
      </c>
      <c r="E9">
        <v>1</v>
      </c>
      <c r="F9">
        <v>0.7</v>
      </c>
    </row>
    <row r="10" spans="1:6">
      <c r="C10" t="s">
        <v>70</v>
      </c>
      <c r="D10" t="s">
        <v>79</v>
      </c>
      <c r="E10">
        <v>1</v>
      </c>
      <c r="F10">
        <v>0.7</v>
      </c>
    </row>
    <row r="11" spans="1:6">
      <c r="A11" t="s">
        <v>80</v>
      </c>
      <c r="B11" t="s">
        <v>16</v>
      </c>
      <c r="C11" t="s">
        <v>70</v>
      </c>
      <c r="D11" t="s">
        <v>72</v>
      </c>
      <c r="E11">
        <v>3.38</v>
      </c>
      <c r="F11">
        <v>3.38</v>
      </c>
    </row>
    <row r="12" spans="1:6">
      <c r="A12" t="s">
        <v>80</v>
      </c>
      <c r="B12" t="s">
        <v>16</v>
      </c>
      <c r="C12" t="s">
        <v>70</v>
      </c>
      <c r="D12" t="s">
        <v>73</v>
      </c>
      <c r="E12">
        <v>6.46</v>
      </c>
      <c r="F12">
        <v>6.46</v>
      </c>
    </row>
    <row r="13" spans="1:6">
      <c r="A13" t="s">
        <v>80</v>
      </c>
      <c r="B13" t="s">
        <v>16</v>
      </c>
      <c r="C13" t="s">
        <v>70</v>
      </c>
      <c r="D13" t="s">
        <v>74</v>
      </c>
      <c r="E13">
        <v>4.0600000000000005</v>
      </c>
      <c r="F13">
        <v>4.0600000000000005</v>
      </c>
    </row>
    <row r="14" spans="1:6">
      <c r="A14" t="s">
        <v>80</v>
      </c>
      <c r="B14" t="s">
        <v>16</v>
      </c>
      <c r="C14" t="s">
        <v>70</v>
      </c>
      <c r="D14" t="s">
        <v>75</v>
      </c>
      <c r="E14">
        <v>2.94</v>
      </c>
      <c r="F14">
        <v>2.94</v>
      </c>
    </row>
    <row r="15" spans="1:6">
      <c r="A15" t="s">
        <v>80</v>
      </c>
      <c r="B15" t="s">
        <v>16</v>
      </c>
      <c r="C15" t="s">
        <v>70</v>
      </c>
      <c r="D15" t="s">
        <v>76</v>
      </c>
      <c r="E15">
        <v>11.72</v>
      </c>
      <c r="F15">
        <v>8.98</v>
      </c>
    </row>
    <row r="16" spans="1:6">
      <c r="A16" t="s">
        <v>80</v>
      </c>
      <c r="B16" t="s">
        <v>16</v>
      </c>
      <c r="C16" t="s">
        <v>70</v>
      </c>
      <c r="D16" t="s">
        <v>77</v>
      </c>
      <c r="E16">
        <v>6.1000000000000005</v>
      </c>
      <c r="F16">
        <v>3.45</v>
      </c>
    </row>
    <row r="17" spans="1:6">
      <c r="A17" t="s">
        <v>80</v>
      </c>
      <c r="B17" t="s">
        <v>16</v>
      </c>
      <c r="C17" t="s">
        <v>70</v>
      </c>
      <c r="D17" t="s">
        <v>78</v>
      </c>
      <c r="E17">
        <v>5.5000000000000018</v>
      </c>
      <c r="F17">
        <v>2.02</v>
      </c>
    </row>
    <row r="18" spans="1:6">
      <c r="A18" t="s">
        <v>80</v>
      </c>
      <c r="B18" t="s">
        <v>16</v>
      </c>
      <c r="C18" t="s">
        <v>70</v>
      </c>
      <c r="D18" t="s">
        <v>79</v>
      </c>
      <c r="E18">
        <v>5.4</v>
      </c>
      <c r="F18">
        <v>1.9200000000000002</v>
      </c>
    </row>
    <row r="19" spans="1:6">
      <c r="A19" t="s">
        <v>80</v>
      </c>
      <c r="B19" t="s">
        <v>16</v>
      </c>
      <c r="C19" t="s">
        <v>70</v>
      </c>
      <c r="D19" t="s">
        <v>71</v>
      </c>
      <c r="E19">
        <v>0.84</v>
      </c>
      <c r="F19">
        <v>0.84</v>
      </c>
    </row>
    <row r="20" spans="1:6">
      <c r="A20" t="s">
        <v>81</v>
      </c>
      <c r="B20" t="s">
        <v>17</v>
      </c>
      <c r="C20" t="s">
        <v>70</v>
      </c>
      <c r="D20" t="s">
        <v>72</v>
      </c>
      <c r="E20">
        <v>1.2</v>
      </c>
      <c r="F20">
        <v>1.2</v>
      </c>
    </row>
    <row r="21" spans="1:6">
      <c r="A21" t="s">
        <v>82</v>
      </c>
      <c r="B21" t="s">
        <v>21</v>
      </c>
      <c r="C21" t="s">
        <v>70</v>
      </c>
      <c r="D21" t="s">
        <v>76</v>
      </c>
      <c r="E21">
        <v>1</v>
      </c>
      <c r="F21">
        <v>0.3</v>
      </c>
    </row>
    <row r="22" spans="1:6">
      <c r="A22" t="s">
        <v>30</v>
      </c>
      <c r="B22" t="s">
        <v>18</v>
      </c>
      <c r="C22" t="s">
        <v>70</v>
      </c>
      <c r="D22" t="s">
        <v>71</v>
      </c>
      <c r="E22">
        <v>21.628999999999994</v>
      </c>
      <c r="F22">
        <v>15.946100000000001</v>
      </c>
    </row>
    <row r="23" spans="1:6">
      <c r="A23" t="s">
        <v>30</v>
      </c>
      <c r="B23" t="s">
        <v>18</v>
      </c>
      <c r="C23" t="s">
        <v>70</v>
      </c>
      <c r="D23" t="s">
        <v>72</v>
      </c>
      <c r="E23">
        <v>15.900000000000004</v>
      </c>
      <c r="F23">
        <v>11.169999999999998</v>
      </c>
    </row>
    <row r="24" spans="1:6">
      <c r="A24" t="s">
        <v>30</v>
      </c>
      <c r="B24" t="s">
        <v>18</v>
      </c>
      <c r="C24" t="s">
        <v>70</v>
      </c>
      <c r="D24" t="s">
        <v>73</v>
      </c>
      <c r="E24">
        <v>18.949999999999996</v>
      </c>
      <c r="F24">
        <v>13.304999999999998</v>
      </c>
    </row>
    <row r="25" spans="1:6">
      <c r="A25" t="s">
        <v>30</v>
      </c>
      <c r="B25" t="s">
        <v>18</v>
      </c>
      <c r="C25" t="s">
        <v>70</v>
      </c>
      <c r="D25" t="s">
        <v>74</v>
      </c>
      <c r="E25">
        <v>19.356999999999996</v>
      </c>
      <c r="F25">
        <v>13.549899999999996</v>
      </c>
    </row>
    <row r="26" spans="1:6">
      <c r="A26" t="s">
        <v>30</v>
      </c>
      <c r="B26" t="s">
        <v>18</v>
      </c>
      <c r="C26" t="s">
        <v>70</v>
      </c>
      <c r="D26" t="s">
        <v>75</v>
      </c>
      <c r="E26">
        <v>16.721999999999998</v>
      </c>
      <c r="F26">
        <v>11.873799999999999</v>
      </c>
    </row>
    <row r="27" spans="1:6">
      <c r="A27" t="s">
        <v>30</v>
      </c>
      <c r="B27" t="s">
        <v>18</v>
      </c>
      <c r="C27" t="s">
        <v>70</v>
      </c>
      <c r="D27" t="s">
        <v>76</v>
      </c>
      <c r="E27">
        <v>14.894999999999998</v>
      </c>
      <c r="F27">
        <v>10.237499999999999</v>
      </c>
    </row>
    <row r="28" spans="1:6">
      <c r="A28" t="s">
        <v>30</v>
      </c>
      <c r="B28" t="s">
        <v>18</v>
      </c>
      <c r="C28" t="s">
        <v>70</v>
      </c>
      <c r="D28" t="s">
        <v>77</v>
      </c>
      <c r="E28">
        <v>12.866999999999999</v>
      </c>
      <c r="F28">
        <v>8.3978999999999999</v>
      </c>
    </row>
    <row r="29" spans="1:6">
      <c r="A29" t="s">
        <v>30</v>
      </c>
      <c r="B29" t="s">
        <v>18</v>
      </c>
      <c r="C29" t="s">
        <v>70</v>
      </c>
      <c r="D29" t="s">
        <v>78</v>
      </c>
      <c r="E29">
        <v>12.37</v>
      </c>
      <c r="F29">
        <v>8.0499999999999989</v>
      </c>
    </row>
    <row r="30" spans="1:6">
      <c r="A30" t="s">
        <v>30</v>
      </c>
      <c r="B30" t="s">
        <v>18</v>
      </c>
      <c r="C30" t="s">
        <v>70</v>
      </c>
      <c r="D30" t="s">
        <v>79</v>
      </c>
      <c r="E30">
        <v>13.219999999999999</v>
      </c>
      <c r="F30">
        <v>8.6449999999999996</v>
      </c>
    </row>
    <row r="31" spans="1:6">
      <c r="A31" t="s">
        <v>30</v>
      </c>
      <c r="B31" t="s">
        <v>18</v>
      </c>
      <c r="C31" t="s">
        <v>27</v>
      </c>
      <c r="D31" t="s">
        <v>71</v>
      </c>
      <c r="E31">
        <v>94</v>
      </c>
      <c r="F31">
        <v>65.799999999999969</v>
      </c>
    </row>
    <row r="32" spans="1:6">
      <c r="A32" t="s">
        <v>30</v>
      </c>
      <c r="B32" t="s">
        <v>18</v>
      </c>
      <c r="C32" t="s">
        <v>27</v>
      </c>
      <c r="D32" t="s">
        <v>72</v>
      </c>
      <c r="E32">
        <v>4</v>
      </c>
      <c r="F32">
        <v>2.8</v>
      </c>
    </row>
    <row r="33" spans="1:6">
      <c r="A33" t="s">
        <v>30</v>
      </c>
      <c r="B33" t="s">
        <v>18</v>
      </c>
      <c r="C33" t="s">
        <v>27</v>
      </c>
      <c r="D33" t="s">
        <v>73</v>
      </c>
      <c r="E33">
        <v>3</v>
      </c>
      <c r="F33">
        <v>2.0999999999999996</v>
      </c>
    </row>
    <row r="34" spans="1:6">
      <c r="A34" t="s">
        <v>30</v>
      </c>
      <c r="B34" t="s">
        <v>18</v>
      </c>
      <c r="C34" t="s">
        <v>27</v>
      </c>
      <c r="D34" t="s">
        <v>74</v>
      </c>
      <c r="E34">
        <v>128</v>
      </c>
      <c r="F34">
        <v>89.600000000000009</v>
      </c>
    </row>
    <row r="35" spans="1:6">
      <c r="A35" t="s">
        <v>30</v>
      </c>
      <c r="B35" t="s">
        <v>18</v>
      </c>
      <c r="C35" t="s">
        <v>27</v>
      </c>
      <c r="D35" t="s">
        <v>75</v>
      </c>
      <c r="E35">
        <v>62</v>
      </c>
      <c r="F35">
        <v>43.4</v>
      </c>
    </row>
    <row r="36" spans="1:6">
      <c r="A36" t="s">
        <v>30</v>
      </c>
      <c r="B36" t="s">
        <v>18</v>
      </c>
      <c r="C36" t="s">
        <v>27</v>
      </c>
      <c r="D36" t="s">
        <v>76</v>
      </c>
      <c r="E36">
        <v>93</v>
      </c>
      <c r="F36">
        <v>64.899999999999977</v>
      </c>
    </row>
    <row r="37" spans="1:6">
      <c r="A37" t="s">
        <v>30</v>
      </c>
      <c r="B37" t="s">
        <v>18</v>
      </c>
      <c r="C37" t="s">
        <v>27</v>
      </c>
      <c r="D37" t="s">
        <v>77</v>
      </c>
      <c r="E37">
        <v>93</v>
      </c>
      <c r="F37">
        <v>65.099999999999994</v>
      </c>
    </row>
    <row r="38" spans="1:6">
      <c r="A38" t="s">
        <v>30</v>
      </c>
      <c r="B38" t="s">
        <v>18</v>
      </c>
      <c r="C38" t="s">
        <v>27</v>
      </c>
      <c r="D38" t="s">
        <v>78</v>
      </c>
      <c r="E38">
        <v>103</v>
      </c>
      <c r="F38">
        <v>72.09999999999998</v>
      </c>
    </row>
    <row r="39" spans="1:6">
      <c r="A39" t="s">
        <v>30</v>
      </c>
      <c r="B39" t="s">
        <v>18</v>
      </c>
      <c r="C39" t="s">
        <v>27</v>
      </c>
      <c r="D39" t="s">
        <v>79</v>
      </c>
      <c r="E39">
        <v>87</v>
      </c>
      <c r="F39">
        <v>60.899999999999984</v>
      </c>
    </row>
    <row r="40" spans="1:6">
      <c r="A40" t="s">
        <v>32</v>
      </c>
      <c r="B40" t="s">
        <v>19</v>
      </c>
      <c r="C40" t="s">
        <v>70</v>
      </c>
      <c r="D40" t="s">
        <v>71</v>
      </c>
      <c r="E40">
        <v>45.490848</v>
      </c>
      <c r="F40">
        <v>16.243593599999997</v>
      </c>
    </row>
    <row r="41" spans="1:6">
      <c r="A41" t="s">
        <v>32</v>
      </c>
      <c r="B41" t="s">
        <v>19</v>
      </c>
      <c r="C41" t="s">
        <v>70</v>
      </c>
      <c r="D41" t="s">
        <v>72</v>
      </c>
      <c r="E41">
        <v>26.176100000000002</v>
      </c>
      <c r="F41">
        <v>9.5512699999999988</v>
      </c>
    </row>
    <row r="42" spans="1:6">
      <c r="A42" t="s">
        <v>32</v>
      </c>
      <c r="B42" t="s">
        <v>19</v>
      </c>
      <c r="C42" t="s">
        <v>70</v>
      </c>
      <c r="D42" t="s">
        <v>73</v>
      </c>
      <c r="E42">
        <v>26.53603</v>
      </c>
      <c r="F42">
        <v>9.9352209999999967</v>
      </c>
    </row>
    <row r="43" spans="1:6">
      <c r="A43" t="s">
        <v>32</v>
      </c>
      <c r="B43" t="s">
        <v>19</v>
      </c>
      <c r="C43" t="s">
        <v>70</v>
      </c>
      <c r="D43" t="s">
        <v>74</v>
      </c>
      <c r="E43">
        <v>21.831099999999999</v>
      </c>
      <c r="F43">
        <v>12.958570000000002</v>
      </c>
    </row>
    <row r="44" spans="1:6">
      <c r="A44" t="s">
        <v>32</v>
      </c>
      <c r="B44" t="s">
        <v>19</v>
      </c>
      <c r="C44" t="s">
        <v>70</v>
      </c>
      <c r="D44" t="s">
        <v>75</v>
      </c>
      <c r="E44">
        <v>4.9795380000000007</v>
      </c>
      <c r="F44">
        <v>2.6336765999999998</v>
      </c>
    </row>
    <row r="45" spans="1:6">
      <c r="A45" t="s">
        <v>32</v>
      </c>
      <c r="B45" t="s">
        <v>19</v>
      </c>
      <c r="C45" t="s">
        <v>70</v>
      </c>
      <c r="D45" t="s">
        <v>76</v>
      </c>
      <c r="E45">
        <v>50.162650000000006</v>
      </c>
      <c r="F45">
        <v>17.461855000000007</v>
      </c>
    </row>
    <row r="46" spans="1:6">
      <c r="A46" t="s">
        <v>32</v>
      </c>
      <c r="B46" t="s">
        <v>19</v>
      </c>
      <c r="C46" t="s">
        <v>70</v>
      </c>
      <c r="D46" t="s">
        <v>77</v>
      </c>
      <c r="E46">
        <v>55.634550000000019</v>
      </c>
      <c r="F46">
        <v>17.700985000000014</v>
      </c>
    </row>
    <row r="47" spans="1:6">
      <c r="A47" t="s">
        <v>32</v>
      </c>
      <c r="B47" t="s">
        <v>19</v>
      </c>
      <c r="C47" t="s">
        <v>70</v>
      </c>
      <c r="D47" t="s">
        <v>78</v>
      </c>
      <c r="E47">
        <v>69.486227999999983</v>
      </c>
      <c r="F47">
        <v>23.360359600000024</v>
      </c>
    </row>
    <row r="48" spans="1:6">
      <c r="A48" t="s">
        <v>32</v>
      </c>
      <c r="B48" t="s">
        <v>19</v>
      </c>
      <c r="C48" t="s">
        <v>70</v>
      </c>
      <c r="D48" t="s">
        <v>79</v>
      </c>
      <c r="E48">
        <v>24.24428000000001</v>
      </c>
      <c r="F48">
        <v>7.5709959999999992</v>
      </c>
    </row>
    <row r="49" spans="1:6">
      <c r="A49" t="s">
        <v>32</v>
      </c>
      <c r="B49" t="s">
        <v>19</v>
      </c>
      <c r="C49" t="s">
        <v>27</v>
      </c>
      <c r="D49" t="s">
        <v>71</v>
      </c>
      <c r="E49">
        <v>11</v>
      </c>
      <c r="F49">
        <v>7.7</v>
      </c>
    </row>
    <row r="50" spans="1:6">
      <c r="A50" t="s">
        <v>32</v>
      </c>
      <c r="B50" t="s">
        <v>19</v>
      </c>
      <c r="C50" t="s">
        <v>27</v>
      </c>
      <c r="D50" t="s">
        <v>75</v>
      </c>
      <c r="E50">
        <v>14</v>
      </c>
      <c r="F50">
        <v>9.4</v>
      </c>
    </row>
    <row r="51" spans="1:6">
      <c r="A51" t="s">
        <v>32</v>
      </c>
      <c r="B51" t="s">
        <v>19</v>
      </c>
      <c r="C51" t="s">
        <v>27</v>
      </c>
      <c r="D51" t="s">
        <v>78</v>
      </c>
      <c r="E51">
        <v>21</v>
      </c>
      <c r="F51">
        <v>13.9</v>
      </c>
    </row>
    <row r="52" spans="1:6">
      <c r="A52" t="s">
        <v>32</v>
      </c>
      <c r="B52" t="s">
        <v>19</v>
      </c>
      <c r="C52" t="s">
        <v>27</v>
      </c>
      <c r="D52" t="s">
        <v>73</v>
      </c>
      <c r="E52">
        <v>15</v>
      </c>
      <c r="F52">
        <v>9.6999999999999993</v>
      </c>
    </row>
    <row r="53" spans="1:6">
      <c r="A53" t="s">
        <v>32</v>
      </c>
      <c r="B53" t="s">
        <v>19</v>
      </c>
      <c r="C53" t="s">
        <v>27</v>
      </c>
      <c r="D53" t="s">
        <v>76</v>
      </c>
      <c r="E53">
        <v>18</v>
      </c>
      <c r="F53">
        <v>12.2</v>
      </c>
    </row>
    <row r="54" spans="1:6">
      <c r="A54" t="s">
        <v>32</v>
      </c>
      <c r="B54" t="s">
        <v>19</v>
      </c>
      <c r="C54" t="s">
        <v>27</v>
      </c>
      <c r="D54" t="s">
        <v>72</v>
      </c>
      <c r="E54">
        <v>13</v>
      </c>
      <c r="F54">
        <v>8.7000000000000011</v>
      </c>
    </row>
    <row r="55" spans="1:6">
      <c r="A55" t="s">
        <v>32</v>
      </c>
      <c r="B55" t="s">
        <v>19</v>
      </c>
      <c r="C55" t="s">
        <v>27</v>
      </c>
      <c r="D55" t="s">
        <v>74</v>
      </c>
      <c r="E55">
        <v>8</v>
      </c>
      <c r="F55">
        <v>5.6</v>
      </c>
    </row>
    <row r="56" spans="1:6">
      <c r="A56" t="s">
        <v>32</v>
      </c>
      <c r="B56" t="s">
        <v>19</v>
      </c>
      <c r="C56" t="s">
        <v>27</v>
      </c>
      <c r="D56" t="s">
        <v>77</v>
      </c>
      <c r="E56">
        <v>13</v>
      </c>
      <c r="F56">
        <v>9.1</v>
      </c>
    </row>
    <row r="57" spans="1:6">
      <c r="A57" t="s">
        <v>32</v>
      </c>
      <c r="B57" t="s">
        <v>19</v>
      </c>
      <c r="C57" t="s">
        <v>27</v>
      </c>
      <c r="D57" t="s">
        <v>79</v>
      </c>
      <c r="E57">
        <v>11</v>
      </c>
      <c r="F57">
        <v>7.6999999999999993</v>
      </c>
    </row>
    <row r="58" spans="1:6">
      <c r="A58" t="s">
        <v>83</v>
      </c>
      <c r="B58" t="s">
        <v>21</v>
      </c>
      <c r="C58" t="s">
        <v>70</v>
      </c>
      <c r="D58" t="s">
        <v>72</v>
      </c>
      <c r="E58">
        <v>1.2</v>
      </c>
      <c r="F58">
        <v>0.6</v>
      </c>
    </row>
    <row r="59" spans="1:6">
      <c r="A59" t="s">
        <v>83</v>
      </c>
      <c r="B59" t="s">
        <v>21</v>
      </c>
      <c r="C59" t="s">
        <v>70</v>
      </c>
      <c r="D59" t="s">
        <v>75</v>
      </c>
      <c r="E59">
        <v>8</v>
      </c>
      <c r="F59">
        <v>2.4</v>
      </c>
    </row>
    <row r="60" spans="1:6">
      <c r="A60" t="s">
        <v>84</v>
      </c>
      <c r="B60" t="s">
        <v>17</v>
      </c>
      <c r="C60" t="s">
        <v>70</v>
      </c>
      <c r="D60" t="s">
        <v>72</v>
      </c>
      <c r="E60">
        <v>0.4</v>
      </c>
      <c r="F60">
        <v>0.4</v>
      </c>
    </row>
    <row r="61" spans="1:6">
      <c r="A61" t="s">
        <v>31</v>
      </c>
      <c r="B61" t="s">
        <v>20</v>
      </c>
      <c r="C61" t="s">
        <v>27</v>
      </c>
      <c r="D61" t="s">
        <v>71</v>
      </c>
      <c r="E61">
        <v>265</v>
      </c>
      <c r="F61">
        <v>185.5</v>
      </c>
    </row>
    <row r="62" spans="1:6">
      <c r="A62" t="s">
        <v>31</v>
      </c>
      <c r="B62" t="s">
        <v>20</v>
      </c>
      <c r="C62" t="s">
        <v>27</v>
      </c>
      <c r="D62" t="s">
        <v>72</v>
      </c>
      <c r="E62">
        <v>280</v>
      </c>
      <c r="F62">
        <v>196</v>
      </c>
    </row>
    <row r="63" spans="1:6">
      <c r="A63" t="s">
        <v>31</v>
      </c>
      <c r="B63" t="s">
        <v>20</v>
      </c>
      <c r="C63" t="s">
        <v>27</v>
      </c>
      <c r="D63" t="s">
        <v>73</v>
      </c>
      <c r="E63">
        <v>433</v>
      </c>
      <c r="F63">
        <v>303.10000000000002</v>
      </c>
    </row>
    <row r="64" spans="1:6">
      <c r="A64" t="s">
        <v>31</v>
      </c>
      <c r="B64" t="s">
        <v>20</v>
      </c>
      <c r="C64" t="s">
        <v>27</v>
      </c>
      <c r="D64" t="s">
        <v>74</v>
      </c>
      <c r="E64">
        <v>652</v>
      </c>
      <c r="F64">
        <v>456.4</v>
      </c>
    </row>
    <row r="65" spans="1:6">
      <c r="A65" t="s">
        <v>31</v>
      </c>
      <c r="B65" t="s">
        <v>20</v>
      </c>
      <c r="C65" t="s">
        <v>27</v>
      </c>
      <c r="D65" t="s">
        <v>75</v>
      </c>
      <c r="E65">
        <v>322</v>
      </c>
      <c r="F65">
        <v>225.4</v>
      </c>
    </row>
    <row r="66" spans="1:6">
      <c r="A66" t="s">
        <v>31</v>
      </c>
      <c r="B66" t="s">
        <v>20</v>
      </c>
      <c r="C66" t="s">
        <v>27</v>
      </c>
      <c r="D66" t="s">
        <v>76</v>
      </c>
      <c r="E66">
        <v>632</v>
      </c>
      <c r="F66">
        <v>442.4</v>
      </c>
    </row>
    <row r="67" spans="1:6">
      <c r="A67" t="s">
        <v>31</v>
      </c>
      <c r="B67" t="s">
        <v>20</v>
      </c>
      <c r="C67" t="s">
        <v>27</v>
      </c>
      <c r="D67" t="s">
        <v>77</v>
      </c>
      <c r="E67">
        <v>544</v>
      </c>
      <c r="F67">
        <v>380.8</v>
      </c>
    </row>
    <row r="68" spans="1:6">
      <c r="A68" t="s">
        <v>31</v>
      </c>
      <c r="B68" t="s">
        <v>20</v>
      </c>
      <c r="C68" t="s">
        <v>27</v>
      </c>
      <c r="D68" t="s">
        <v>78</v>
      </c>
      <c r="E68">
        <v>654</v>
      </c>
      <c r="F68">
        <v>457.8</v>
      </c>
    </row>
    <row r="69" spans="1:6">
      <c r="A69" t="s">
        <v>31</v>
      </c>
      <c r="B69" t="s">
        <v>20</v>
      </c>
      <c r="C69" t="s">
        <v>27</v>
      </c>
      <c r="D69" t="s">
        <v>79</v>
      </c>
      <c r="E69">
        <v>746</v>
      </c>
      <c r="F69">
        <v>522.19999999999993</v>
      </c>
    </row>
    <row r="70" spans="1:6">
      <c r="A70" t="s">
        <v>31</v>
      </c>
      <c r="B70" t="s">
        <v>20</v>
      </c>
      <c r="C70" t="s">
        <v>70</v>
      </c>
      <c r="D70" t="s">
        <v>74</v>
      </c>
      <c r="E70">
        <v>55</v>
      </c>
      <c r="F70">
        <v>16.5</v>
      </c>
    </row>
    <row r="71" spans="1:6">
      <c r="A71" t="s">
        <v>31</v>
      </c>
      <c r="B71" t="s">
        <v>20</v>
      </c>
      <c r="C71" t="s">
        <v>70</v>
      </c>
      <c r="D71" t="s">
        <v>75</v>
      </c>
      <c r="E71">
        <v>19</v>
      </c>
      <c r="F71">
        <v>6.8999999999999986</v>
      </c>
    </row>
    <row r="72" spans="1:6">
      <c r="A72" t="s">
        <v>31</v>
      </c>
      <c r="B72" t="s">
        <v>20</v>
      </c>
      <c r="C72" t="s">
        <v>70</v>
      </c>
      <c r="D72" t="s">
        <v>76</v>
      </c>
      <c r="E72">
        <v>78</v>
      </c>
      <c r="F72">
        <v>26.999999999999993</v>
      </c>
    </row>
    <row r="73" spans="1:6">
      <c r="A73" t="s">
        <v>31</v>
      </c>
      <c r="B73" t="s">
        <v>20</v>
      </c>
      <c r="C73" t="s">
        <v>70</v>
      </c>
      <c r="D73" t="s">
        <v>77</v>
      </c>
      <c r="E73">
        <v>46</v>
      </c>
      <c r="F73">
        <v>16.2</v>
      </c>
    </row>
    <row r="74" spans="1:6">
      <c r="A74" t="s">
        <v>31</v>
      </c>
      <c r="B74" t="s">
        <v>20</v>
      </c>
      <c r="C74" t="s">
        <v>70</v>
      </c>
      <c r="D74" t="s">
        <v>71</v>
      </c>
      <c r="E74">
        <v>36</v>
      </c>
      <c r="F74">
        <v>10.799999999999999</v>
      </c>
    </row>
    <row r="75" spans="1:6">
      <c r="A75" t="s">
        <v>31</v>
      </c>
      <c r="B75" t="s">
        <v>20</v>
      </c>
      <c r="C75" t="s">
        <v>70</v>
      </c>
      <c r="D75" t="s">
        <v>72</v>
      </c>
      <c r="E75">
        <v>66</v>
      </c>
      <c r="F75">
        <v>19.8</v>
      </c>
    </row>
    <row r="76" spans="1:6">
      <c r="A76" t="s">
        <v>31</v>
      </c>
      <c r="B76" t="s">
        <v>20</v>
      </c>
      <c r="C76" t="s">
        <v>70</v>
      </c>
      <c r="D76" t="s">
        <v>73</v>
      </c>
      <c r="E76">
        <v>55</v>
      </c>
      <c r="F76">
        <v>16.5</v>
      </c>
    </row>
    <row r="77" spans="1:6">
      <c r="A77" t="s">
        <v>31</v>
      </c>
      <c r="B77" t="s">
        <v>20</v>
      </c>
      <c r="C77" t="s">
        <v>70</v>
      </c>
      <c r="D77" t="s">
        <v>78</v>
      </c>
      <c r="E77">
        <v>60</v>
      </c>
      <c r="F77">
        <v>18</v>
      </c>
    </row>
    <row r="78" spans="1:6">
      <c r="A78" t="s">
        <v>31</v>
      </c>
      <c r="B78" t="s">
        <v>20</v>
      </c>
      <c r="C78" t="s">
        <v>70</v>
      </c>
      <c r="D78" t="s">
        <v>79</v>
      </c>
      <c r="E78">
        <v>30</v>
      </c>
      <c r="F78">
        <v>9</v>
      </c>
    </row>
    <row r="79" spans="1:6">
      <c r="A79" t="s">
        <v>85</v>
      </c>
      <c r="B79" t="s">
        <v>17</v>
      </c>
      <c r="C79" t="s">
        <v>70</v>
      </c>
      <c r="D79" t="s">
        <v>74</v>
      </c>
      <c r="E79">
        <v>0.8</v>
      </c>
      <c r="F79">
        <v>0.55999999999999994</v>
      </c>
    </row>
    <row r="80" spans="1:6">
      <c r="A80" t="s">
        <v>85</v>
      </c>
      <c r="B80" t="s">
        <v>17</v>
      </c>
      <c r="C80" t="s">
        <v>70</v>
      </c>
      <c r="D80" t="s">
        <v>72</v>
      </c>
      <c r="E80">
        <v>3.6999999999999997</v>
      </c>
      <c r="F80">
        <v>3.5799999999999996</v>
      </c>
    </row>
    <row r="81" spans="1:6">
      <c r="A81" t="s">
        <v>85</v>
      </c>
      <c r="B81" t="s">
        <v>17</v>
      </c>
      <c r="C81" t="s">
        <v>70</v>
      </c>
      <c r="D81" t="s">
        <v>71</v>
      </c>
      <c r="E81">
        <v>2.8</v>
      </c>
      <c r="F81">
        <v>2.8</v>
      </c>
    </row>
    <row r="82" spans="1:6">
      <c r="A82" t="s">
        <v>85</v>
      </c>
      <c r="B82" t="s">
        <v>17</v>
      </c>
      <c r="C82" t="s">
        <v>70</v>
      </c>
      <c r="D82" t="s">
        <v>73</v>
      </c>
      <c r="E82">
        <v>1.2</v>
      </c>
      <c r="F82">
        <v>1.2</v>
      </c>
    </row>
    <row r="83" spans="1:6">
      <c r="A83" t="s">
        <v>86</v>
      </c>
      <c r="B83" t="s">
        <v>16</v>
      </c>
      <c r="C83" t="s">
        <v>70</v>
      </c>
      <c r="D83" t="s">
        <v>77</v>
      </c>
      <c r="E83">
        <v>5.6</v>
      </c>
      <c r="F83">
        <v>1.6800000000000002</v>
      </c>
    </row>
    <row r="84" spans="1:6">
      <c r="A84" t="s">
        <v>86</v>
      </c>
      <c r="B84" t="s">
        <v>16</v>
      </c>
      <c r="C84" t="s">
        <v>70</v>
      </c>
      <c r="D84" t="s">
        <v>78</v>
      </c>
      <c r="E84">
        <v>5.6</v>
      </c>
      <c r="F84">
        <v>1.6800000000000002</v>
      </c>
    </row>
    <row r="85" spans="1:6">
      <c r="A85" t="s">
        <v>86</v>
      </c>
      <c r="B85" t="s">
        <v>16</v>
      </c>
      <c r="C85" t="s">
        <v>70</v>
      </c>
      <c r="D85" t="s">
        <v>79</v>
      </c>
      <c r="E85">
        <v>5.6</v>
      </c>
      <c r="F85">
        <v>1.6800000000000002</v>
      </c>
    </row>
    <row r="86" spans="1:6">
      <c r="A86" t="s">
        <v>86</v>
      </c>
      <c r="B86" t="s">
        <v>16</v>
      </c>
      <c r="C86" t="s">
        <v>70</v>
      </c>
      <c r="D86" t="s">
        <v>71</v>
      </c>
      <c r="E86">
        <v>0.85000000000000009</v>
      </c>
      <c r="F86">
        <v>0.81</v>
      </c>
    </row>
    <row r="87" spans="1:6">
      <c r="A87" t="s">
        <v>86</v>
      </c>
      <c r="B87" t="s">
        <v>16</v>
      </c>
      <c r="C87" t="s">
        <v>70</v>
      </c>
      <c r="D87" t="s">
        <v>72</v>
      </c>
      <c r="E87">
        <v>2.0499999999999998</v>
      </c>
      <c r="F87">
        <v>1.9300000000000002</v>
      </c>
    </row>
    <row r="88" spans="1:6">
      <c r="A88" t="s">
        <v>86</v>
      </c>
      <c r="B88" t="s">
        <v>16</v>
      </c>
      <c r="C88" t="s">
        <v>70</v>
      </c>
      <c r="D88" t="s">
        <v>73</v>
      </c>
      <c r="E88">
        <v>2.1</v>
      </c>
      <c r="F88">
        <v>1.98</v>
      </c>
    </row>
    <row r="89" spans="1:6">
      <c r="A89" t="s">
        <v>86</v>
      </c>
      <c r="B89" t="s">
        <v>16</v>
      </c>
      <c r="C89" t="s">
        <v>70</v>
      </c>
      <c r="D89" t="s">
        <v>74</v>
      </c>
      <c r="E89">
        <v>1.32</v>
      </c>
      <c r="F89">
        <v>1.32</v>
      </c>
    </row>
    <row r="90" spans="1:6">
      <c r="A90" t="s">
        <v>86</v>
      </c>
      <c r="B90" t="s">
        <v>16</v>
      </c>
      <c r="C90" t="s">
        <v>70</v>
      </c>
      <c r="D90" t="s">
        <v>76</v>
      </c>
      <c r="E90">
        <v>1.2</v>
      </c>
      <c r="F90">
        <v>0.36</v>
      </c>
    </row>
    <row r="91" spans="1:6">
      <c r="A91" t="s">
        <v>49</v>
      </c>
      <c r="B91" t="s">
        <v>22</v>
      </c>
      <c r="C91" t="s">
        <v>70</v>
      </c>
      <c r="D91" t="s">
        <v>77</v>
      </c>
      <c r="E91">
        <v>13.799999999999999</v>
      </c>
      <c r="F91">
        <v>7.78</v>
      </c>
    </row>
    <row r="92" spans="1:6">
      <c r="A92" t="s">
        <v>49</v>
      </c>
      <c r="B92" t="s">
        <v>22</v>
      </c>
      <c r="C92" t="s">
        <v>70</v>
      </c>
      <c r="D92" t="s">
        <v>78</v>
      </c>
      <c r="E92">
        <v>10</v>
      </c>
      <c r="F92">
        <v>5</v>
      </c>
    </row>
    <row r="93" spans="1:6">
      <c r="A93" t="s">
        <v>49</v>
      </c>
      <c r="B93" t="s">
        <v>22</v>
      </c>
      <c r="C93" t="s">
        <v>70</v>
      </c>
      <c r="D93" t="s">
        <v>76</v>
      </c>
      <c r="E93">
        <v>16.8</v>
      </c>
      <c r="F93">
        <v>5.2</v>
      </c>
    </row>
    <row r="94" spans="1:6">
      <c r="A94" t="s">
        <v>49</v>
      </c>
      <c r="B94" t="s">
        <v>22</v>
      </c>
      <c r="C94" t="s">
        <v>87</v>
      </c>
      <c r="D94" t="s">
        <v>74</v>
      </c>
      <c r="E94">
        <v>2</v>
      </c>
      <c r="F94">
        <v>1.8</v>
      </c>
    </row>
    <row r="95" spans="1:6">
      <c r="A95" t="s">
        <v>49</v>
      </c>
      <c r="B95" t="s">
        <v>22</v>
      </c>
      <c r="C95" t="s">
        <v>70</v>
      </c>
      <c r="D95" t="s">
        <v>74</v>
      </c>
      <c r="E95">
        <v>1.8</v>
      </c>
      <c r="F95">
        <v>1.1400000000000001</v>
      </c>
    </row>
    <row r="96" spans="1:6">
      <c r="A96" t="s">
        <v>49</v>
      </c>
      <c r="B96" t="s">
        <v>22</v>
      </c>
      <c r="C96" t="s">
        <v>70</v>
      </c>
      <c r="D96" t="s">
        <v>73</v>
      </c>
      <c r="E96">
        <v>2.4</v>
      </c>
      <c r="F96">
        <v>0.96</v>
      </c>
    </row>
    <row r="97" spans="1:6">
      <c r="A97" t="s">
        <v>49</v>
      </c>
      <c r="B97" t="s">
        <v>22</v>
      </c>
      <c r="C97" t="s">
        <v>70</v>
      </c>
      <c r="D97" t="s">
        <v>72</v>
      </c>
      <c r="E97">
        <v>3</v>
      </c>
      <c r="F97">
        <v>1.04</v>
      </c>
    </row>
    <row r="98" spans="1:6">
      <c r="A98" t="s">
        <v>49</v>
      </c>
      <c r="B98" t="s">
        <v>22</v>
      </c>
      <c r="C98" t="s">
        <v>70</v>
      </c>
      <c r="D98" t="s">
        <v>75</v>
      </c>
      <c r="E98">
        <v>2</v>
      </c>
      <c r="F98">
        <v>1.3</v>
      </c>
    </row>
    <row r="99" spans="1:6">
      <c r="A99" t="s">
        <v>49</v>
      </c>
      <c r="B99" t="s">
        <v>22</v>
      </c>
      <c r="C99" t="s">
        <v>70</v>
      </c>
      <c r="D99" t="s">
        <v>71</v>
      </c>
      <c r="E99">
        <v>6.4</v>
      </c>
      <c r="F99">
        <v>4.96</v>
      </c>
    </row>
    <row r="100" spans="1:6">
      <c r="A100" t="s">
        <v>88</v>
      </c>
      <c r="B100" t="s">
        <v>17</v>
      </c>
      <c r="C100" t="s">
        <v>70</v>
      </c>
      <c r="D100" t="s">
        <v>77</v>
      </c>
      <c r="E100">
        <v>17</v>
      </c>
      <c r="F100">
        <v>8.6999999999999993</v>
      </c>
    </row>
    <row r="101" spans="1:6">
      <c r="A101" t="s">
        <v>88</v>
      </c>
      <c r="B101" t="s">
        <v>17</v>
      </c>
      <c r="C101" t="s">
        <v>70</v>
      </c>
      <c r="D101" t="s">
        <v>72</v>
      </c>
      <c r="E101">
        <v>12.2</v>
      </c>
      <c r="F101">
        <v>8.1399999999999988</v>
      </c>
    </row>
    <row r="102" spans="1:6">
      <c r="A102" t="s">
        <v>88</v>
      </c>
      <c r="B102" t="s">
        <v>17</v>
      </c>
      <c r="C102" t="s">
        <v>70</v>
      </c>
      <c r="D102" t="s">
        <v>76</v>
      </c>
      <c r="E102">
        <v>9</v>
      </c>
      <c r="F102">
        <v>5.8999999999999995</v>
      </c>
    </row>
    <row r="103" spans="1:6">
      <c r="A103" t="s">
        <v>88</v>
      </c>
      <c r="B103" t="s">
        <v>17</v>
      </c>
      <c r="C103" t="s">
        <v>70</v>
      </c>
      <c r="D103" t="s">
        <v>71</v>
      </c>
      <c r="E103">
        <v>11.2</v>
      </c>
      <c r="F103">
        <v>7.839999999999999</v>
      </c>
    </row>
    <row r="104" spans="1:6">
      <c r="A104" t="s">
        <v>88</v>
      </c>
      <c r="B104" t="s">
        <v>17</v>
      </c>
      <c r="C104" t="s">
        <v>70</v>
      </c>
      <c r="D104" t="s">
        <v>73</v>
      </c>
      <c r="E104">
        <v>13.8</v>
      </c>
      <c r="F104">
        <v>9.66</v>
      </c>
    </row>
    <row r="105" spans="1:6">
      <c r="A105" t="s">
        <v>88</v>
      </c>
      <c r="B105" t="s">
        <v>17</v>
      </c>
      <c r="C105" t="s">
        <v>70</v>
      </c>
      <c r="D105" t="s">
        <v>74</v>
      </c>
      <c r="E105">
        <v>8</v>
      </c>
      <c r="F105">
        <v>5.6</v>
      </c>
    </row>
    <row r="106" spans="1:6">
      <c r="A106" t="s">
        <v>88</v>
      </c>
      <c r="B106" t="s">
        <v>17</v>
      </c>
      <c r="C106" t="s">
        <v>70</v>
      </c>
      <c r="D106" t="s">
        <v>75</v>
      </c>
      <c r="E106">
        <v>8</v>
      </c>
      <c r="F106">
        <v>5.6</v>
      </c>
    </row>
    <row r="107" spans="1:6">
      <c r="A107" t="s">
        <v>88</v>
      </c>
      <c r="B107" t="s">
        <v>17</v>
      </c>
      <c r="C107" t="s">
        <v>70</v>
      </c>
      <c r="D107" t="s">
        <v>78</v>
      </c>
      <c r="E107">
        <v>9</v>
      </c>
      <c r="F107">
        <v>6.3</v>
      </c>
    </row>
    <row r="108" spans="1:6">
      <c r="A108" t="s">
        <v>89</v>
      </c>
      <c r="B108" t="s">
        <v>17</v>
      </c>
      <c r="C108" t="s">
        <v>70</v>
      </c>
      <c r="D108" t="s">
        <v>72</v>
      </c>
      <c r="E108">
        <v>3.5</v>
      </c>
      <c r="F108">
        <v>3.15</v>
      </c>
    </row>
    <row r="109" spans="1:6">
      <c r="A109" t="s">
        <v>90</v>
      </c>
      <c r="B109" t="s">
        <v>21</v>
      </c>
      <c r="C109" t="s">
        <v>70</v>
      </c>
      <c r="D109" t="s">
        <v>78</v>
      </c>
      <c r="E109">
        <v>16</v>
      </c>
      <c r="F109">
        <v>4.8</v>
      </c>
    </row>
    <row r="110" spans="1:6">
      <c r="A110" t="s">
        <v>29</v>
      </c>
      <c r="B110" t="s">
        <v>21</v>
      </c>
      <c r="C110" t="s">
        <v>27</v>
      </c>
      <c r="D110" t="s">
        <v>71</v>
      </c>
      <c r="E110">
        <v>60</v>
      </c>
      <c r="F110">
        <v>42</v>
      </c>
    </row>
    <row r="111" spans="1:6">
      <c r="A111" t="s">
        <v>29</v>
      </c>
      <c r="B111" t="s">
        <v>21</v>
      </c>
      <c r="C111" t="s">
        <v>27</v>
      </c>
      <c r="D111" t="s">
        <v>73</v>
      </c>
      <c r="E111">
        <v>60</v>
      </c>
      <c r="F111">
        <v>42</v>
      </c>
    </row>
    <row r="112" spans="1:6">
      <c r="A112" t="s">
        <v>29</v>
      </c>
      <c r="B112" t="s">
        <v>21</v>
      </c>
      <c r="C112" t="s">
        <v>27</v>
      </c>
      <c r="D112" t="s">
        <v>74</v>
      </c>
      <c r="E112">
        <v>70</v>
      </c>
      <c r="F112">
        <v>49</v>
      </c>
    </row>
    <row r="113" spans="1:6">
      <c r="A113" t="s">
        <v>29</v>
      </c>
      <c r="B113" t="s">
        <v>21</v>
      </c>
      <c r="C113" t="s">
        <v>27</v>
      </c>
      <c r="D113" t="s">
        <v>75</v>
      </c>
      <c r="E113">
        <v>35</v>
      </c>
      <c r="F113">
        <v>24.5</v>
      </c>
    </row>
    <row r="114" spans="1:6">
      <c r="A114" t="s">
        <v>29</v>
      </c>
      <c r="B114" t="s">
        <v>21</v>
      </c>
      <c r="C114" t="s">
        <v>27</v>
      </c>
      <c r="D114" t="s">
        <v>76</v>
      </c>
      <c r="E114">
        <v>74</v>
      </c>
      <c r="F114">
        <v>51</v>
      </c>
    </row>
    <row r="115" spans="1:6">
      <c r="A115" t="s">
        <v>29</v>
      </c>
      <c r="B115" t="s">
        <v>21</v>
      </c>
      <c r="C115" t="s">
        <v>27</v>
      </c>
      <c r="D115" t="s">
        <v>77</v>
      </c>
      <c r="E115">
        <v>89</v>
      </c>
      <c r="F115">
        <v>59.5</v>
      </c>
    </row>
    <row r="116" spans="1:6">
      <c r="A116" t="s">
        <v>29</v>
      </c>
      <c r="B116" t="s">
        <v>21</v>
      </c>
      <c r="C116" t="s">
        <v>27</v>
      </c>
      <c r="D116" t="s">
        <v>78</v>
      </c>
      <c r="E116">
        <v>91</v>
      </c>
      <c r="F116">
        <v>60.5</v>
      </c>
    </row>
    <row r="117" spans="1:6">
      <c r="A117" t="s">
        <v>29</v>
      </c>
      <c r="B117" t="s">
        <v>21</v>
      </c>
      <c r="C117" t="s">
        <v>27</v>
      </c>
      <c r="D117" t="s">
        <v>79</v>
      </c>
      <c r="E117">
        <v>38</v>
      </c>
      <c r="F117">
        <v>25</v>
      </c>
    </row>
    <row r="118" spans="1:6">
      <c r="A118" t="s">
        <v>29</v>
      </c>
      <c r="B118" t="s">
        <v>21</v>
      </c>
      <c r="C118" t="s">
        <v>70</v>
      </c>
      <c r="D118" t="s">
        <v>73</v>
      </c>
      <c r="E118">
        <v>11.600000000000001</v>
      </c>
      <c r="F118">
        <v>7.7599999999999989</v>
      </c>
    </row>
    <row r="119" spans="1:6">
      <c r="A119" t="s">
        <v>29</v>
      </c>
      <c r="B119" t="s">
        <v>21</v>
      </c>
      <c r="C119" t="s">
        <v>70</v>
      </c>
      <c r="D119" t="s">
        <v>76</v>
      </c>
      <c r="E119">
        <v>10.799999999999999</v>
      </c>
      <c r="F119">
        <v>5.88</v>
      </c>
    </row>
    <row r="120" spans="1:6">
      <c r="A120" t="s">
        <v>29</v>
      </c>
      <c r="B120" t="s">
        <v>21</v>
      </c>
      <c r="C120" t="s">
        <v>70</v>
      </c>
      <c r="D120" t="s">
        <v>77</v>
      </c>
      <c r="E120">
        <v>9.8000000000000007</v>
      </c>
      <c r="F120">
        <v>6.54</v>
      </c>
    </row>
    <row r="121" spans="1:6">
      <c r="A121" t="s">
        <v>29</v>
      </c>
      <c r="B121" t="s">
        <v>21</v>
      </c>
      <c r="C121" t="s">
        <v>70</v>
      </c>
      <c r="D121" t="s">
        <v>78</v>
      </c>
      <c r="E121">
        <v>13.8</v>
      </c>
      <c r="F121">
        <v>8.6999999999999993</v>
      </c>
    </row>
    <row r="122" spans="1:6">
      <c r="A122" t="s">
        <v>29</v>
      </c>
      <c r="B122" t="s">
        <v>21</v>
      </c>
      <c r="C122" t="s">
        <v>70</v>
      </c>
      <c r="D122" t="s">
        <v>72</v>
      </c>
      <c r="E122">
        <v>10</v>
      </c>
      <c r="F122">
        <v>6.44</v>
      </c>
    </row>
    <row r="123" spans="1:6">
      <c r="A123" t="s">
        <v>29</v>
      </c>
      <c r="B123" t="s">
        <v>21</v>
      </c>
      <c r="C123" t="s">
        <v>70</v>
      </c>
      <c r="D123" t="s">
        <v>71</v>
      </c>
      <c r="E123">
        <v>9.0500000000000007</v>
      </c>
      <c r="F123">
        <v>5.5350000000000001</v>
      </c>
    </row>
    <row r="124" spans="1:6">
      <c r="A124" t="s">
        <v>29</v>
      </c>
      <c r="B124" t="s">
        <v>21</v>
      </c>
      <c r="C124" t="s">
        <v>70</v>
      </c>
      <c r="D124" t="s">
        <v>79</v>
      </c>
      <c r="E124">
        <v>6.6000000000000005</v>
      </c>
      <c r="F124">
        <v>3.8999999999999995</v>
      </c>
    </row>
    <row r="125" spans="1:6">
      <c r="A125" t="s">
        <v>29</v>
      </c>
      <c r="B125" t="s">
        <v>21</v>
      </c>
      <c r="C125" t="s">
        <v>70</v>
      </c>
      <c r="D125" t="s">
        <v>74</v>
      </c>
      <c r="E125">
        <v>7.8000000000000007</v>
      </c>
      <c r="F125">
        <v>4.6599999999999993</v>
      </c>
    </row>
    <row r="126" spans="1:6">
      <c r="A126" t="s">
        <v>29</v>
      </c>
      <c r="B126" t="s">
        <v>21</v>
      </c>
      <c r="C126" t="s">
        <v>70</v>
      </c>
      <c r="D126" t="s">
        <v>75</v>
      </c>
      <c r="E126">
        <v>1.3</v>
      </c>
      <c r="F126">
        <v>0.75</v>
      </c>
    </row>
    <row r="127" spans="1:6">
      <c r="A127" t="s">
        <v>56</v>
      </c>
      <c r="B127" t="s">
        <v>23</v>
      </c>
      <c r="C127" t="s">
        <v>70</v>
      </c>
      <c r="D127" t="s">
        <v>71</v>
      </c>
      <c r="E127">
        <v>14.836400000000001</v>
      </c>
      <c r="F127">
        <v>14.767400000000002</v>
      </c>
    </row>
    <row r="128" spans="1:6">
      <c r="A128" t="s">
        <v>56</v>
      </c>
      <c r="B128" t="s">
        <v>23</v>
      </c>
      <c r="C128" t="s">
        <v>70</v>
      </c>
      <c r="D128" t="s">
        <v>72</v>
      </c>
      <c r="E128">
        <v>18.638999999999999</v>
      </c>
      <c r="F128">
        <v>17.268200000000004</v>
      </c>
    </row>
    <row r="129" spans="1:6">
      <c r="A129" t="s">
        <v>56</v>
      </c>
      <c r="B129" t="s">
        <v>23</v>
      </c>
      <c r="C129" t="s">
        <v>70</v>
      </c>
      <c r="D129" t="s">
        <v>73</v>
      </c>
      <c r="E129">
        <v>13.574000000000002</v>
      </c>
      <c r="F129">
        <v>9.9267000000000021</v>
      </c>
    </row>
    <row r="130" spans="1:6">
      <c r="A130" t="s">
        <v>56</v>
      </c>
      <c r="B130" t="s">
        <v>23</v>
      </c>
      <c r="C130" t="s">
        <v>70</v>
      </c>
      <c r="D130" t="s">
        <v>74</v>
      </c>
      <c r="E130">
        <v>24.772999999999993</v>
      </c>
      <c r="F130">
        <v>12.266200000000003</v>
      </c>
    </row>
    <row r="131" spans="1:6">
      <c r="A131" t="s">
        <v>56</v>
      </c>
      <c r="B131" t="s">
        <v>23</v>
      </c>
      <c r="C131" t="s">
        <v>70</v>
      </c>
      <c r="D131" t="s">
        <v>75</v>
      </c>
      <c r="E131">
        <v>11.174000000000001</v>
      </c>
      <c r="F131">
        <v>7.8366999999999987</v>
      </c>
    </row>
    <row r="132" spans="1:6">
      <c r="A132" t="s">
        <v>56</v>
      </c>
      <c r="B132" t="s">
        <v>23</v>
      </c>
      <c r="C132" t="s">
        <v>70</v>
      </c>
      <c r="D132" t="s">
        <v>76</v>
      </c>
      <c r="E132">
        <v>16.114000000000008</v>
      </c>
      <c r="F132">
        <v>11.840100000000001</v>
      </c>
    </row>
    <row r="133" spans="1:6">
      <c r="A133" t="s">
        <v>56</v>
      </c>
      <c r="B133" t="s">
        <v>23</v>
      </c>
      <c r="C133" t="s">
        <v>70</v>
      </c>
      <c r="D133" t="s">
        <v>77</v>
      </c>
      <c r="E133">
        <v>13.832000000000001</v>
      </c>
      <c r="F133">
        <v>12.483600000000001</v>
      </c>
    </row>
    <row r="134" spans="1:6">
      <c r="A134" t="s">
        <v>56</v>
      </c>
      <c r="B134" t="s">
        <v>23</v>
      </c>
      <c r="C134" t="s">
        <v>70</v>
      </c>
      <c r="D134" t="s">
        <v>78</v>
      </c>
      <c r="E134">
        <v>17.780999999999992</v>
      </c>
      <c r="F134">
        <v>9.9086000000000016</v>
      </c>
    </row>
    <row r="135" spans="1:6">
      <c r="A135" t="s">
        <v>56</v>
      </c>
      <c r="B135" t="s">
        <v>23</v>
      </c>
      <c r="C135" t="s">
        <v>70</v>
      </c>
      <c r="D135" t="s">
        <v>79</v>
      </c>
      <c r="E135">
        <v>5.4350000000000014</v>
      </c>
      <c r="F135">
        <v>4.7291000000000007</v>
      </c>
    </row>
    <row r="136" spans="1:6">
      <c r="A136" t="s">
        <v>56</v>
      </c>
      <c r="B136" t="s">
        <v>23</v>
      </c>
      <c r="C136" t="s">
        <v>27</v>
      </c>
      <c r="D136" t="s">
        <v>72</v>
      </c>
      <c r="E136">
        <v>0.39700000000000002</v>
      </c>
      <c r="F136">
        <v>0.35730000000000001</v>
      </c>
    </row>
    <row r="137" spans="1:6">
      <c r="A137" t="s">
        <v>56</v>
      </c>
      <c r="B137" t="s">
        <v>23</v>
      </c>
      <c r="C137" t="s">
        <v>27</v>
      </c>
      <c r="D137" t="s">
        <v>74</v>
      </c>
      <c r="E137">
        <v>2</v>
      </c>
      <c r="F137">
        <v>1.8</v>
      </c>
    </row>
    <row r="138" spans="1:6">
      <c r="A138" t="s">
        <v>56</v>
      </c>
      <c r="B138" t="s">
        <v>23</v>
      </c>
      <c r="C138" t="s">
        <v>27</v>
      </c>
      <c r="D138" t="s">
        <v>77</v>
      </c>
      <c r="E138">
        <v>4</v>
      </c>
      <c r="F138">
        <v>3.6</v>
      </c>
    </row>
    <row r="139" spans="1:6">
      <c r="A139" t="s">
        <v>56</v>
      </c>
      <c r="B139" t="s">
        <v>23</v>
      </c>
      <c r="C139" t="s">
        <v>27</v>
      </c>
      <c r="D139" t="s">
        <v>78</v>
      </c>
      <c r="E139">
        <v>4</v>
      </c>
      <c r="F139">
        <v>3.6</v>
      </c>
    </row>
    <row r="140" spans="1:6">
      <c r="A140" t="s">
        <v>56</v>
      </c>
      <c r="B140" t="s">
        <v>23</v>
      </c>
      <c r="C140" t="s">
        <v>27</v>
      </c>
      <c r="D140" t="s">
        <v>79</v>
      </c>
      <c r="E140">
        <v>4</v>
      </c>
      <c r="F140">
        <v>3.6</v>
      </c>
    </row>
    <row r="141" spans="1:6">
      <c r="A141" t="s">
        <v>91</v>
      </c>
      <c r="B141" t="s">
        <v>20</v>
      </c>
      <c r="C141" t="s">
        <v>70</v>
      </c>
      <c r="D141" t="s">
        <v>74</v>
      </c>
      <c r="E141">
        <v>8</v>
      </c>
      <c r="F141">
        <v>2.4000000000000004</v>
      </c>
    </row>
    <row r="142" spans="1:6">
      <c r="A142" t="s">
        <v>91</v>
      </c>
      <c r="B142" t="s">
        <v>20</v>
      </c>
      <c r="C142" t="s">
        <v>70</v>
      </c>
      <c r="D142" t="s">
        <v>75</v>
      </c>
      <c r="E142">
        <v>3.6</v>
      </c>
      <c r="F142">
        <v>1.08</v>
      </c>
    </row>
    <row r="143" spans="1:6">
      <c r="A143" t="s">
        <v>91</v>
      </c>
      <c r="B143" t="s">
        <v>20</v>
      </c>
      <c r="C143" t="s">
        <v>70</v>
      </c>
      <c r="D143" t="s">
        <v>76</v>
      </c>
      <c r="E143">
        <v>15</v>
      </c>
      <c r="F143">
        <v>4.5</v>
      </c>
    </row>
    <row r="144" spans="1:6">
      <c r="A144" t="s">
        <v>91</v>
      </c>
      <c r="B144" t="s">
        <v>20</v>
      </c>
      <c r="C144" t="s">
        <v>70</v>
      </c>
      <c r="D144" t="s">
        <v>77</v>
      </c>
      <c r="E144">
        <v>10</v>
      </c>
      <c r="F144">
        <v>3</v>
      </c>
    </row>
    <row r="145" spans="1:6">
      <c r="A145" t="s">
        <v>91</v>
      </c>
      <c r="B145" t="s">
        <v>20</v>
      </c>
      <c r="C145" t="s">
        <v>70</v>
      </c>
      <c r="D145" t="s">
        <v>78</v>
      </c>
      <c r="E145">
        <v>16</v>
      </c>
      <c r="F145">
        <v>4.8</v>
      </c>
    </row>
    <row r="146" spans="1:6">
      <c r="A146" t="s">
        <v>91</v>
      </c>
      <c r="B146" t="s">
        <v>20</v>
      </c>
      <c r="C146" t="s">
        <v>70</v>
      </c>
      <c r="D146" t="s">
        <v>79</v>
      </c>
      <c r="E146">
        <v>5</v>
      </c>
      <c r="F146">
        <v>1.5</v>
      </c>
    </row>
  </sheetData>
  <phoneticPr fontId="6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39B94-331A-4F3C-A688-EA99D205E8E7}">
  <sheetPr codeName="Sheet3"/>
  <dimension ref="A1:AK548"/>
  <sheetViews>
    <sheetView tabSelected="1" topLeftCell="L1" zoomScaleNormal="100" workbookViewId="0">
      <selection activeCell="B454" sqref="B454"/>
    </sheetView>
  </sheetViews>
  <sheetFormatPr defaultColWidth="8.90625" defaultRowHeight="14"/>
  <cols>
    <col min="1" max="1" width="16.81640625" bestFit="1" customWidth="1"/>
    <col min="2" max="2" width="61.08984375" bestFit="1" customWidth="1"/>
    <col min="3" max="3" width="25.453125" bestFit="1" customWidth="1"/>
    <col min="4" max="4" width="17" bestFit="1" customWidth="1"/>
    <col min="5" max="5" width="40.54296875" bestFit="1" customWidth="1"/>
    <col min="6" max="6" width="24.36328125" bestFit="1" customWidth="1"/>
    <col min="7" max="7" width="68.7265625" bestFit="1" customWidth="1"/>
    <col min="8" max="8" width="21.08984375" bestFit="1" customWidth="1"/>
    <col min="9" max="9" width="9.26953125" bestFit="1" customWidth="1"/>
    <col min="10" max="12" width="9" bestFit="1" customWidth="1"/>
    <col min="13" max="13" width="9.26953125" bestFit="1" customWidth="1"/>
    <col min="14" max="15" width="9" bestFit="1" customWidth="1"/>
    <col min="16" max="16" width="9.26953125" bestFit="1" customWidth="1"/>
    <col min="17" max="23" width="9" bestFit="1" customWidth="1"/>
    <col min="24" max="24" width="21.7265625" bestFit="1" customWidth="1"/>
    <col min="25" max="25" width="36.1796875" bestFit="1" customWidth="1"/>
    <col min="26" max="26" width="24.36328125" bestFit="1" customWidth="1"/>
    <col min="27" max="27" width="22.1796875" bestFit="1" customWidth="1"/>
    <col min="31" max="31" width="17.08984375" customWidth="1"/>
    <col min="32" max="32" width="46" bestFit="1" customWidth="1"/>
    <col min="33" max="33" width="40.36328125" customWidth="1"/>
    <col min="34" max="34" width="27.08984375" customWidth="1"/>
  </cols>
  <sheetData>
    <row r="1" spans="1:37">
      <c r="A1" t="s">
        <v>45</v>
      </c>
      <c r="B1" t="s">
        <v>1</v>
      </c>
      <c r="C1" t="s">
        <v>92</v>
      </c>
      <c r="D1" t="s">
        <v>3</v>
      </c>
      <c r="E1" t="s">
        <v>28</v>
      </c>
      <c r="F1" t="s">
        <v>5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34</v>
      </c>
      <c r="P1" t="s">
        <v>101</v>
      </c>
      <c r="Q1" t="s">
        <v>36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26</v>
      </c>
      <c r="Y1" s="75" t="s">
        <v>108</v>
      </c>
      <c r="Z1" s="76" t="s">
        <v>109</v>
      </c>
      <c r="AA1" t="s">
        <v>110</v>
      </c>
    </row>
    <row r="2" spans="1:37" hidden="1">
      <c r="B2" t="s">
        <v>111</v>
      </c>
      <c r="C2" t="s">
        <v>112</v>
      </c>
      <c r="D2" t="s">
        <v>113</v>
      </c>
      <c r="E2" t="s">
        <v>114</v>
      </c>
      <c r="F2" t="s">
        <v>115</v>
      </c>
      <c r="G2" t="s">
        <v>116</v>
      </c>
      <c r="H2" s="184" t="s">
        <v>117</v>
      </c>
      <c r="Q2">
        <v>0.4</v>
      </c>
      <c r="X2" t="s">
        <v>70</v>
      </c>
      <c r="Y2" t="e">
        <f>VLOOKUP(Conso_FCST[[#This Row],[Country]],'Country-Region'!A:D,4,0)</f>
        <v>#N/A</v>
      </c>
      <c r="Z2" t="e">
        <f>VLOOKUP(Conso_FCST[[#This Row],[Country]],'Country-Region'!A:D,3,0)</f>
        <v>#N/A</v>
      </c>
      <c r="AA2" t="str">
        <f>IFERROR(VLOOKUP(Conso_FCST[[#This Row],[Model name]],Prod_T6[[#All],[Model name]:[Product Conso]],2,0),"exclude")</f>
        <v>HSM-BE54-JD</v>
      </c>
      <c r="AK2" s="141"/>
    </row>
    <row r="3" spans="1:37" hidden="1">
      <c r="B3" t="s">
        <v>111</v>
      </c>
      <c r="C3" t="s">
        <v>112</v>
      </c>
      <c r="D3" t="s">
        <v>118</v>
      </c>
      <c r="E3" t="s">
        <v>119</v>
      </c>
      <c r="F3" t="s">
        <v>120</v>
      </c>
      <c r="H3" s="184" t="s">
        <v>117</v>
      </c>
      <c r="I3">
        <v>0.2</v>
      </c>
      <c r="J3">
        <v>0</v>
      </c>
      <c r="K3">
        <v>0.2</v>
      </c>
      <c r="L3">
        <v>0.4</v>
      </c>
      <c r="M3">
        <v>0.4</v>
      </c>
      <c r="N3">
        <v>0.4</v>
      </c>
      <c r="O3">
        <v>0.1</v>
      </c>
      <c r="P3">
        <v>0.1</v>
      </c>
      <c r="Q3">
        <v>0.1</v>
      </c>
      <c r="X3" t="s">
        <v>70</v>
      </c>
      <c r="Y3" t="e">
        <f>VLOOKUP(Conso_FCST[[#This Row],[Country]],'Country-Region'!A:D,4,0)</f>
        <v>#N/A</v>
      </c>
      <c r="Z3" t="e">
        <f>VLOOKUP(Conso_FCST[[#This Row],[Country]],'Country-Region'!A:D,3,0)</f>
        <v>#N/A</v>
      </c>
      <c r="AA3" t="str">
        <f>IFERROR(VLOOKUP(Conso_FCST[[#This Row],[Model name]],Prod_T6[[#All],[Model name]:[Product Conso]],2,0),"exclude")</f>
        <v>P7 RES BLK 2.0</v>
      </c>
    </row>
    <row r="4" spans="1:37" hidden="1">
      <c r="B4" t="s">
        <v>111</v>
      </c>
      <c r="C4" t="s">
        <v>112</v>
      </c>
      <c r="D4" t="s">
        <v>54</v>
      </c>
      <c r="E4" t="s">
        <v>121</v>
      </c>
      <c r="F4" t="s">
        <v>120</v>
      </c>
      <c r="H4" s="184" t="s">
        <v>117</v>
      </c>
      <c r="L4">
        <v>1.3</v>
      </c>
      <c r="M4">
        <v>1.3</v>
      </c>
      <c r="N4">
        <v>1.3</v>
      </c>
      <c r="O4">
        <v>0.1</v>
      </c>
      <c r="P4">
        <v>0.1</v>
      </c>
      <c r="Q4">
        <v>0.1</v>
      </c>
      <c r="X4" t="s">
        <v>70</v>
      </c>
      <c r="Y4" t="e">
        <f>VLOOKUP(Conso_FCST[[#This Row],[Country]],'Country-Region'!A:D,4,0)</f>
        <v>#N/A</v>
      </c>
      <c r="Z4" t="e">
        <f>VLOOKUP(Conso_FCST[[#This Row],[Country]],'Country-Region'!A:D,3,0)</f>
        <v>#N/A</v>
      </c>
      <c r="AA4" t="str">
        <f>IFERROR(VLOOKUP(Conso_FCST[[#This Row],[Model name]],Prod_T6[[#All],[Model name]:[Product Conso]],2,0),"exclude")</f>
        <v>HSM-ND54-DR</v>
      </c>
    </row>
    <row r="5" spans="1:37" hidden="1">
      <c r="B5" t="s">
        <v>122</v>
      </c>
      <c r="C5" t="s">
        <v>112</v>
      </c>
      <c r="D5" t="s">
        <v>118</v>
      </c>
      <c r="E5" t="s">
        <v>123</v>
      </c>
      <c r="F5" t="s">
        <v>120</v>
      </c>
      <c r="H5" s="184" t="s">
        <v>117</v>
      </c>
      <c r="I5">
        <v>0.2</v>
      </c>
      <c r="J5">
        <v>0</v>
      </c>
      <c r="K5">
        <v>0.2</v>
      </c>
      <c r="L5">
        <v>0.4</v>
      </c>
      <c r="M5">
        <v>0.4</v>
      </c>
      <c r="N5">
        <v>0.4</v>
      </c>
      <c r="O5">
        <v>0.4</v>
      </c>
      <c r="P5">
        <v>0.4</v>
      </c>
      <c r="Q5">
        <v>0.4</v>
      </c>
      <c r="X5" t="s">
        <v>70</v>
      </c>
      <c r="Y5" t="e">
        <f>VLOOKUP(Conso_FCST[[#This Row],[Country]],'Country-Region'!A:D,4,0)</f>
        <v>#N/A</v>
      </c>
      <c r="Z5" t="e">
        <f>VLOOKUP(Conso_FCST[[#This Row],[Country]],'Country-Region'!A:D,3,0)</f>
        <v>#N/A</v>
      </c>
      <c r="AA5" t="str">
        <f>IFERROR(VLOOKUP(Conso_FCST[[#This Row],[Model name]],Prod_T6[[#All],[Model name]:[Product Conso]],2,0),"exclude")</f>
        <v>P7 RES BLK-P</v>
      </c>
    </row>
    <row r="6" spans="1:37" hidden="1">
      <c r="B6" t="s">
        <v>122</v>
      </c>
      <c r="C6" t="s">
        <v>112</v>
      </c>
      <c r="D6" t="s">
        <v>54</v>
      </c>
      <c r="E6" t="s">
        <v>121</v>
      </c>
      <c r="F6" t="s">
        <v>120</v>
      </c>
      <c r="H6" s="184" t="s">
        <v>117</v>
      </c>
      <c r="L6">
        <v>1.3</v>
      </c>
      <c r="M6">
        <v>1.3</v>
      </c>
      <c r="N6">
        <v>1.3</v>
      </c>
      <c r="O6">
        <v>0.4</v>
      </c>
      <c r="P6">
        <v>0.4</v>
      </c>
      <c r="Q6">
        <v>0.4</v>
      </c>
      <c r="X6" t="s">
        <v>70</v>
      </c>
      <c r="Y6" t="e">
        <f>VLOOKUP(Conso_FCST[[#This Row],[Country]],'Country-Region'!A:D,4,0)</f>
        <v>#N/A</v>
      </c>
      <c r="Z6" t="e">
        <f>VLOOKUP(Conso_FCST[[#This Row],[Country]],'Country-Region'!A:D,3,0)</f>
        <v>#N/A</v>
      </c>
      <c r="AA6" t="str">
        <f>IFERROR(VLOOKUP(Conso_FCST[[#This Row],[Model name]],Prod_T6[[#All],[Model name]:[Product Conso]],2,0),"exclude")</f>
        <v>HSM-ND54-DR</v>
      </c>
    </row>
    <row r="7" spans="1:37" hidden="1">
      <c r="A7">
        <v>0.1</v>
      </c>
      <c r="B7" t="s">
        <v>122</v>
      </c>
      <c r="C7" t="s">
        <v>112</v>
      </c>
      <c r="D7" t="s">
        <v>113</v>
      </c>
      <c r="E7" t="s">
        <v>114</v>
      </c>
      <c r="F7" t="s">
        <v>115</v>
      </c>
      <c r="G7" t="s">
        <v>116</v>
      </c>
      <c r="H7" s="184" t="s">
        <v>117</v>
      </c>
      <c r="Q7">
        <v>0.4</v>
      </c>
      <c r="X7" t="s">
        <v>70</v>
      </c>
      <c r="Y7" t="e">
        <f>VLOOKUP(Conso_FCST[[#This Row],[Country]],'Country-Region'!A:D,4,0)</f>
        <v>#N/A</v>
      </c>
      <c r="Z7" t="e">
        <f>VLOOKUP(Conso_FCST[[#This Row],[Country]],'Country-Region'!A:D,3,0)</f>
        <v>#N/A</v>
      </c>
      <c r="AA7" t="str">
        <f>IFERROR(VLOOKUP(Conso_FCST[[#This Row],[Model name]],Prod_T6[[#All],[Model name]:[Product Conso]],2,0),"exclude")</f>
        <v>HSM-BE54-JD</v>
      </c>
    </row>
    <row r="8" spans="1:37" hidden="1">
      <c r="A8" t="s">
        <v>124</v>
      </c>
      <c r="B8" t="s">
        <v>125</v>
      </c>
      <c r="D8" t="s">
        <v>54</v>
      </c>
      <c r="E8" t="s">
        <v>126</v>
      </c>
      <c r="F8" t="s">
        <v>115</v>
      </c>
      <c r="H8" s="184" t="s">
        <v>117</v>
      </c>
      <c r="X8" t="s">
        <v>70</v>
      </c>
      <c r="Y8" t="str">
        <f>VLOOKUP(Conso_FCST[[#This Row],[Country]],'Country-Region'!A:D,4,0)</f>
        <v>DACH Region</v>
      </c>
      <c r="Z8" t="str">
        <f>VLOOKUP(Conso_FCST[[#This Row],[Country]],'Country-Region'!A:D,3,0)</f>
        <v>Germany</v>
      </c>
      <c r="AA8" t="str">
        <f>IFERROR(VLOOKUP(Conso_FCST[[#This Row],[Model name]],Prod_T6[[#All],[Model name]:[Product Conso]],2,0),"exclude")</f>
        <v>HSM-ND66-GK</v>
      </c>
    </row>
    <row r="9" spans="1:37" hidden="1">
      <c r="A9" t="s">
        <v>80</v>
      </c>
      <c r="B9" t="s">
        <v>127</v>
      </c>
      <c r="C9" t="s">
        <v>128</v>
      </c>
      <c r="D9" t="s">
        <v>54</v>
      </c>
      <c r="E9" t="s">
        <v>129</v>
      </c>
      <c r="F9" t="s">
        <v>130</v>
      </c>
      <c r="G9" t="s">
        <v>131</v>
      </c>
      <c r="H9" s="184" t="s">
        <v>132</v>
      </c>
      <c r="J9">
        <v>0.84</v>
      </c>
      <c r="K9">
        <v>0.84</v>
      </c>
      <c r="L9">
        <v>0.84</v>
      </c>
      <c r="M9">
        <v>0.84</v>
      </c>
      <c r="X9" t="s">
        <v>70</v>
      </c>
      <c r="Y9" t="str">
        <f>VLOOKUP(Conso_FCST[[#This Row],[Country]],'Country-Region'!A:D,4,0)</f>
        <v>Benelux Region</v>
      </c>
      <c r="Z9" t="str">
        <f>VLOOKUP(Conso_FCST[[#This Row],[Country]],'Country-Region'!A:D,3,0)</f>
        <v>BeNeLux</v>
      </c>
      <c r="AA9" t="str">
        <f>IFERROR(VLOOKUP(Conso_FCST[[#This Row],[Model name]],Prod_T6[[#All],[Model name]:[Product Conso]],2,0),"exclude")</f>
        <v>HSM-ND48-DR</v>
      </c>
    </row>
    <row r="10" spans="1:37" hidden="1">
      <c r="A10" t="s">
        <v>80</v>
      </c>
      <c r="B10" t="s">
        <v>133</v>
      </c>
      <c r="D10" t="s">
        <v>134</v>
      </c>
      <c r="E10" t="s">
        <v>135</v>
      </c>
      <c r="F10" t="s">
        <v>136</v>
      </c>
      <c r="H10" s="184" t="s">
        <v>117</v>
      </c>
      <c r="P10">
        <v>0.9</v>
      </c>
      <c r="Q10">
        <v>0.9</v>
      </c>
      <c r="X10" t="s">
        <v>70</v>
      </c>
      <c r="Y10" t="str">
        <f>VLOOKUP(Conso_FCST[[#This Row],[Country]],'Country-Region'!A:D,4,0)</f>
        <v>Benelux Region</v>
      </c>
      <c r="Z10" t="str">
        <f>VLOOKUP(Conso_FCST[[#This Row],[Country]],'Country-Region'!A:D,3,0)</f>
        <v>BeNeLux</v>
      </c>
      <c r="AA10" t="str">
        <f>IFERROR(VLOOKUP(Conso_FCST[[#This Row],[Model name]],Prod_T6[[#All],[Model name]:[Product Conso]],2,0),"exclude")</f>
        <v>SPR-BE54-HD</v>
      </c>
    </row>
    <row r="11" spans="1:37" hidden="1">
      <c r="A11" t="s">
        <v>80</v>
      </c>
      <c r="B11" t="s">
        <v>137</v>
      </c>
      <c r="C11" t="s">
        <v>138</v>
      </c>
      <c r="D11" t="s">
        <v>118</v>
      </c>
      <c r="E11" t="s">
        <v>119</v>
      </c>
      <c r="F11" t="s">
        <v>130</v>
      </c>
      <c r="H11" s="184" t="s">
        <v>117</v>
      </c>
      <c r="J11">
        <v>0.1</v>
      </c>
      <c r="L11">
        <v>0.1</v>
      </c>
      <c r="M11">
        <v>0.1</v>
      </c>
      <c r="N11">
        <v>0.1</v>
      </c>
      <c r="X11" t="s">
        <v>70</v>
      </c>
      <c r="Y11" t="str">
        <f>VLOOKUP(Conso_FCST[[#This Row],[Country]],'Country-Region'!A:D,4,0)</f>
        <v>Benelux Region</v>
      </c>
      <c r="Z11" t="str">
        <f>VLOOKUP(Conso_FCST[[#This Row],[Country]],'Country-Region'!A:D,3,0)</f>
        <v>BeNeLux</v>
      </c>
      <c r="AA11" t="str">
        <f>IFERROR(VLOOKUP(Conso_FCST[[#This Row],[Model name]],Prod_T6[[#All],[Model name]:[Product Conso]],2,0),"exclude")</f>
        <v>P7 RES BLK 2.0</v>
      </c>
    </row>
    <row r="12" spans="1:37" hidden="1">
      <c r="A12" t="s">
        <v>80</v>
      </c>
      <c r="B12" t="s">
        <v>139</v>
      </c>
      <c r="D12" t="s">
        <v>134</v>
      </c>
      <c r="E12" t="s">
        <v>135</v>
      </c>
      <c r="F12" t="s">
        <v>136</v>
      </c>
      <c r="H12" s="184" t="s">
        <v>117</v>
      </c>
      <c r="O12">
        <v>0.2</v>
      </c>
      <c r="P12">
        <v>0.2</v>
      </c>
      <c r="Q12">
        <v>0.2</v>
      </c>
      <c r="X12" t="s">
        <v>70</v>
      </c>
      <c r="Y12" t="str">
        <f>VLOOKUP(Conso_FCST[[#This Row],[Country]],'Country-Region'!A:D,4,0)</f>
        <v>Benelux Region</v>
      </c>
      <c r="Z12" t="str">
        <f>VLOOKUP(Conso_FCST[[#This Row],[Country]],'Country-Region'!A:D,3,0)</f>
        <v>BeNeLux</v>
      </c>
      <c r="AA12" t="str">
        <f>IFERROR(VLOOKUP(Conso_FCST[[#This Row],[Model name]],Prod_T6[[#All],[Model name]:[Product Conso]],2,0),"exclude")</f>
        <v>SPR-BE54-HD</v>
      </c>
    </row>
    <row r="13" spans="1:37">
      <c r="A13" t="s">
        <v>80</v>
      </c>
      <c r="B13" t="s">
        <v>140</v>
      </c>
      <c r="D13" t="s">
        <v>141</v>
      </c>
      <c r="E13" t="s">
        <v>50</v>
      </c>
      <c r="F13" t="s">
        <v>115</v>
      </c>
      <c r="G13" t="s">
        <v>142</v>
      </c>
      <c r="H13" s="184" t="s">
        <v>117</v>
      </c>
      <c r="O13">
        <v>1</v>
      </c>
      <c r="P13">
        <v>1</v>
      </c>
      <c r="Q13">
        <v>1</v>
      </c>
      <c r="X13" t="s">
        <v>27</v>
      </c>
      <c r="Y13" t="str">
        <f>VLOOKUP(Conso_FCST[[#This Row],[Country]],'Country-Region'!A:D,4,0)</f>
        <v>Benelux Region</v>
      </c>
      <c r="Z13" t="str">
        <f>VLOOKUP(Conso_FCST[[#This Row],[Country]],'Country-Region'!A:D,3,0)</f>
        <v>BeNeLux</v>
      </c>
      <c r="AA13" t="str">
        <f>IFERROR(VLOOKUP(Conso_FCST[[#This Row],[Model name]],Prod_T6[[#All],[Model name]:[Product Conso]],2,0),"exclude")</f>
        <v>BlueArk W10-125K-261</v>
      </c>
    </row>
    <row r="14" spans="1:37" hidden="1">
      <c r="A14" t="s">
        <v>80</v>
      </c>
      <c r="B14" s="122" t="s">
        <v>143</v>
      </c>
      <c r="D14" t="s">
        <v>113</v>
      </c>
      <c r="E14" t="s">
        <v>135</v>
      </c>
      <c r="F14" t="s">
        <v>136</v>
      </c>
      <c r="H14" s="184" t="s">
        <v>117</v>
      </c>
      <c r="O14">
        <v>0.1</v>
      </c>
      <c r="P14">
        <v>0.1</v>
      </c>
      <c r="Q14">
        <v>0.1</v>
      </c>
      <c r="X14" t="s">
        <v>70</v>
      </c>
      <c r="Y14" t="str">
        <f>VLOOKUP(Conso_FCST[[#This Row],[Country]],'Country-Region'!A:D,4,0)</f>
        <v>Benelux Region</v>
      </c>
      <c r="Z14" t="str">
        <f>VLOOKUP(Conso_FCST[[#This Row],[Country]],'Country-Region'!A:D,3,0)</f>
        <v>BeNeLux</v>
      </c>
      <c r="AA14" t="str">
        <f>IFERROR(VLOOKUP(Conso_FCST[[#This Row],[Model name]],Prod_T6[[#All],[Model name]:[Product Conso]],2,0),"exclude")</f>
        <v>SPR-BE54-HD</v>
      </c>
    </row>
    <row r="15" spans="1:37" hidden="1">
      <c r="A15" t="s">
        <v>80</v>
      </c>
      <c r="B15" t="s">
        <v>144</v>
      </c>
      <c r="C15" t="s">
        <v>128</v>
      </c>
      <c r="D15" t="s">
        <v>118</v>
      </c>
      <c r="E15" t="s">
        <v>119</v>
      </c>
      <c r="F15" t="s">
        <v>130</v>
      </c>
      <c r="H15" s="184" t="s">
        <v>117</v>
      </c>
      <c r="J15">
        <v>0.1</v>
      </c>
      <c r="L15">
        <v>0.1</v>
      </c>
      <c r="N15">
        <v>0.1</v>
      </c>
      <c r="X15" t="s">
        <v>70</v>
      </c>
      <c r="Y15" t="str">
        <f>VLOOKUP(Conso_FCST[[#This Row],[Country]],'Country-Region'!A:D,4,0)</f>
        <v>Benelux Region</v>
      </c>
      <c r="Z15" t="str">
        <f>VLOOKUP(Conso_FCST[[#This Row],[Country]],'Country-Region'!A:D,3,0)</f>
        <v>BeNeLux</v>
      </c>
      <c r="AA15" t="str">
        <f>IFERROR(VLOOKUP(Conso_FCST[[#This Row],[Model name]],Prod_T6[[#All],[Model name]:[Product Conso]],2,0),"exclude")</f>
        <v>P7 RES BLK 2.0</v>
      </c>
    </row>
    <row r="16" spans="1:37" hidden="1">
      <c r="A16" t="s">
        <v>80</v>
      </c>
      <c r="B16" t="s">
        <v>133</v>
      </c>
      <c r="C16" t="s">
        <v>138</v>
      </c>
      <c r="D16" t="s">
        <v>118</v>
      </c>
      <c r="E16" t="s">
        <v>145</v>
      </c>
      <c r="F16" t="s">
        <v>130</v>
      </c>
      <c r="G16" t="s">
        <v>146</v>
      </c>
      <c r="H16" s="184" t="s">
        <v>117</v>
      </c>
      <c r="I16">
        <v>0.42</v>
      </c>
      <c r="J16">
        <v>0.42</v>
      </c>
      <c r="K16">
        <v>0.42</v>
      </c>
      <c r="L16">
        <v>0.42</v>
      </c>
      <c r="N16">
        <v>0.42</v>
      </c>
      <c r="X16" t="s">
        <v>70</v>
      </c>
      <c r="Y16" t="str">
        <f>VLOOKUP(Conso_FCST[[#This Row],[Country]],'Country-Region'!A:D,4,0)</f>
        <v>Benelux Region</v>
      </c>
      <c r="Z16" t="str">
        <f>VLOOKUP(Conso_FCST[[#This Row],[Country]],'Country-Region'!A:D,3,0)</f>
        <v>BeNeLux</v>
      </c>
      <c r="AA16" t="str">
        <f>IFERROR(VLOOKUP(Conso_FCST[[#This Row],[Model name]],Prod_T6[[#All],[Model name]:[Product Conso]],2,0),"exclude")</f>
        <v>P7 RES BLK 2.0</v>
      </c>
    </row>
    <row r="17" spans="1:27" hidden="1">
      <c r="A17" t="s">
        <v>80</v>
      </c>
      <c r="B17" t="s">
        <v>144</v>
      </c>
      <c r="D17" t="s">
        <v>134</v>
      </c>
      <c r="E17" t="s">
        <v>135</v>
      </c>
      <c r="F17" t="s">
        <v>136</v>
      </c>
      <c r="H17" s="184" t="s">
        <v>117</v>
      </c>
      <c r="O17">
        <v>0.1</v>
      </c>
      <c r="P17">
        <v>0.1</v>
      </c>
      <c r="Q17">
        <v>0.1</v>
      </c>
      <c r="X17" t="s">
        <v>70</v>
      </c>
      <c r="Y17" t="str">
        <f>VLOOKUP(Conso_FCST[[#This Row],[Country]],'Country-Region'!A:D,4,0)</f>
        <v>Benelux Region</v>
      </c>
      <c r="Z17" t="str">
        <f>VLOOKUP(Conso_FCST[[#This Row],[Country]],'Country-Region'!A:D,3,0)</f>
        <v>BeNeLux</v>
      </c>
      <c r="AA17" t="str">
        <f>IFERROR(VLOOKUP(Conso_FCST[[#This Row],[Model name]],Prod_T6[[#All],[Model name]:[Product Conso]],2,0),"exclude")</f>
        <v>SPR-BE54-HD</v>
      </c>
    </row>
    <row r="18" spans="1:27" hidden="1">
      <c r="A18" t="s">
        <v>80</v>
      </c>
      <c r="B18" t="s">
        <v>147</v>
      </c>
      <c r="D18" t="s">
        <v>134</v>
      </c>
      <c r="E18" t="s">
        <v>135</v>
      </c>
      <c r="F18" t="s">
        <v>130</v>
      </c>
      <c r="H18" s="184" t="s">
        <v>117</v>
      </c>
      <c r="O18">
        <v>0.2</v>
      </c>
      <c r="P18">
        <v>0.2</v>
      </c>
      <c r="Q18">
        <v>0.2</v>
      </c>
      <c r="X18" t="s">
        <v>70</v>
      </c>
      <c r="Y18" t="str">
        <f>VLOOKUP(Conso_FCST[[#This Row],[Country]],'Country-Region'!A:D,4,0)</f>
        <v>Benelux Region</v>
      </c>
      <c r="Z18" t="str">
        <f>VLOOKUP(Conso_FCST[[#This Row],[Country]],'Country-Region'!A:D,3,0)</f>
        <v>BeNeLux</v>
      </c>
      <c r="AA18" t="str">
        <f>IFERROR(VLOOKUP(Conso_FCST[[#This Row],[Model name]],Prod_T6[[#All],[Model name]:[Product Conso]],2,0),"exclude")</f>
        <v>SPR-BE54-HD</v>
      </c>
    </row>
    <row r="19" spans="1:27" hidden="1">
      <c r="A19" t="s">
        <v>80</v>
      </c>
      <c r="B19" t="s">
        <v>148</v>
      </c>
      <c r="D19" t="s">
        <v>149</v>
      </c>
      <c r="E19" t="s">
        <v>150</v>
      </c>
      <c r="F19" t="s">
        <v>115</v>
      </c>
      <c r="H19" s="184" t="s">
        <v>117</v>
      </c>
      <c r="O19">
        <v>0.9</v>
      </c>
      <c r="P19">
        <v>0.9</v>
      </c>
      <c r="Q19">
        <v>0.9</v>
      </c>
      <c r="X19" t="s">
        <v>70</v>
      </c>
      <c r="Y19" t="str">
        <f>VLOOKUP(Conso_FCST[[#This Row],[Country]],'Country-Region'!A:D,4,0)</f>
        <v>Benelux Region</v>
      </c>
      <c r="Z19" t="str">
        <f>VLOOKUP(Conso_FCST[[#This Row],[Country]],'Country-Region'!A:D,3,0)</f>
        <v>BeNeLux</v>
      </c>
      <c r="AA19" t="str">
        <f>IFERROR(VLOOKUP(Conso_FCST[[#This Row],[Model name]],Prod_T6[[#All],[Model name]:[Product Conso]],2,0),"exclude")</f>
        <v>HSM-NT60-GH</v>
      </c>
    </row>
    <row r="20" spans="1:27" hidden="1">
      <c r="A20" t="s">
        <v>80</v>
      </c>
      <c r="B20" t="s">
        <v>148</v>
      </c>
      <c r="D20" t="s">
        <v>113</v>
      </c>
      <c r="E20" t="s">
        <v>135</v>
      </c>
      <c r="F20" t="s">
        <v>136</v>
      </c>
      <c r="H20" s="184" t="s">
        <v>117</v>
      </c>
      <c r="N20">
        <v>0.9</v>
      </c>
      <c r="O20">
        <v>0.9</v>
      </c>
      <c r="P20">
        <v>0.9</v>
      </c>
      <c r="Q20">
        <v>0.9</v>
      </c>
      <c r="X20" t="s">
        <v>70</v>
      </c>
      <c r="Y20" t="str">
        <f>VLOOKUP(Conso_FCST[[#This Row],[Country]],'Country-Region'!A:D,4,0)</f>
        <v>Benelux Region</v>
      </c>
      <c r="Z20" t="str">
        <f>VLOOKUP(Conso_FCST[[#This Row],[Country]],'Country-Region'!A:D,3,0)</f>
        <v>BeNeLux</v>
      </c>
      <c r="AA20" t="str">
        <f>IFERROR(VLOOKUP(Conso_FCST[[#This Row],[Model name]],Prod_T6[[#All],[Model name]:[Product Conso]],2,0),"exclude")</f>
        <v>SPR-BE54-HD</v>
      </c>
    </row>
    <row r="21" spans="1:27">
      <c r="A21" t="s">
        <v>80</v>
      </c>
      <c r="B21" t="s">
        <v>127</v>
      </c>
      <c r="D21" t="s">
        <v>141</v>
      </c>
      <c r="E21" t="s">
        <v>46</v>
      </c>
      <c r="F21" t="s">
        <v>115</v>
      </c>
      <c r="G21" t="s">
        <v>142</v>
      </c>
      <c r="H21" s="184" t="s">
        <v>132</v>
      </c>
      <c r="O21">
        <v>2</v>
      </c>
      <c r="P21">
        <v>2</v>
      </c>
      <c r="Q21">
        <v>2</v>
      </c>
      <c r="X21" t="s">
        <v>27</v>
      </c>
      <c r="Y21" t="str">
        <f>VLOOKUP(Conso_FCST[[#This Row],[Country]],'Country-Region'!A:D,4,0)</f>
        <v>Benelux Region</v>
      </c>
      <c r="Z21" t="str">
        <f>VLOOKUP(Conso_FCST[[#This Row],[Country]],'Country-Region'!A:D,3,0)</f>
        <v>BeNeLux</v>
      </c>
      <c r="AA21" t="str">
        <f>IFERROR(VLOOKUP(Conso_FCST[[#This Row],[Model name]],Prod_T6[[#All],[Model name]:[Product Conso]],2,0),"exclude")</f>
        <v>BlueArk X5-50K-100</v>
      </c>
    </row>
    <row r="22" spans="1:27">
      <c r="A22" t="s">
        <v>80</v>
      </c>
      <c r="B22" t="s">
        <v>127</v>
      </c>
      <c r="D22" t="s">
        <v>141</v>
      </c>
      <c r="E22" t="s">
        <v>50</v>
      </c>
      <c r="F22" t="s">
        <v>115</v>
      </c>
      <c r="G22" t="s">
        <v>142</v>
      </c>
      <c r="H22" s="184" t="s">
        <v>132</v>
      </c>
      <c r="O22">
        <v>2</v>
      </c>
      <c r="P22">
        <v>3</v>
      </c>
      <c r="Q22">
        <v>3</v>
      </c>
      <c r="X22" t="s">
        <v>27</v>
      </c>
      <c r="Y22" t="str">
        <f>VLOOKUP(Conso_FCST[[#This Row],[Country]],'Country-Region'!A:D,4,0)</f>
        <v>Benelux Region</v>
      </c>
      <c r="Z22" t="str">
        <f>VLOOKUP(Conso_FCST[[#This Row],[Country]],'Country-Region'!A:D,3,0)</f>
        <v>BeNeLux</v>
      </c>
      <c r="AA22" t="str">
        <f>IFERROR(VLOOKUP(Conso_FCST[[#This Row],[Model name]],Prod_T6[[#All],[Model name]:[Product Conso]],2,0),"exclude")</f>
        <v>BlueArk W10-125K-261</v>
      </c>
    </row>
    <row r="23" spans="1:27">
      <c r="A23" t="s">
        <v>80</v>
      </c>
      <c r="B23" t="s">
        <v>140</v>
      </c>
      <c r="D23" t="s">
        <v>141</v>
      </c>
      <c r="E23" t="s">
        <v>46</v>
      </c>
      <c r="F23" t="s">
        <v>115</v>
      </c>
      <c r="G23" t="s">
        <v>142</v>
      </c>
      <c r="H23" s="184" t="s">
        <v>117</v>
      </c>
      <c r="O23">
        <v>1</v>
      </c>
      <c r="P23">
        <v>1</v>
      </c>
      <c r="Q23">
        <v>1</v>
      </c>
      <c r="X23" t="s">
        <v>27</v>
      </c>
      <c r="Y23" t="str">
        <f>VLOOKUP(Conso_FCST[[#This Row],[Country]],'Country-Region'!A:D,4,0)</f>
        <v>Benelux Region</v>
      </c>
      <c r="Z23" t="str">
        <f>VLOOKUP(Conso_FCST[[#This Row],[Country]],'Country-Region'!A:D,3,0)</f>
        <v>BeNeLux</v>
      </c>
      <c r="AA23" t="str">
        <f>IFERROR(VLOOKUP(Conso_FCST[[#This Row],[Model name]],Prod_T6[[#All],[Model name]:[Product Conso]],2,0),"exclude")</f>
        <v>BlueArk X5-50K-100</v>
      </c>
    </row>
    <row r="24" spans="1:27" hidden="1">
      <c r="A24" t="s">
        <v>80</v>
      </c>
      <c r="B24" t="s">
        <v>147</v>
      </c>
      <c r="D24" t="s">
        <v>118</v>
      </c>
      <c r="E24" t="s">
        <v>119</v>
      </c>
      <c r="F24" t="s">
        <v>130</v>
      </c>
      <c r="H24" s="184" t="s">
        <v>117</v>
      </c>
      <c r="J24">
        <v>0.2</v>
      </c>
      <c r="L24">
        <v>0.2</v>
      </c>
      <c r="N24">
        <v>0.2</v>
      </c>
      <c r="X24" t="s">
        <v>70</v>
      </c>
      <c r="Y24" t="str">
        <f>VLOOKUP(Conso_FCST[[#This Row],[Country]],'Country-Region'!A:D,4,0)</f>
        <v>Benelux Region</v>
      </c>
      <c r="Z24" t="str">
        <f>VLOOKUP(Conso_FCST[[#This Row],[Country]],'Country-Region'!A:D,3,0)</f>
        <v>BeNeLux</v>
      </c>
      <c r="AA24" t="str">
        <f>IFERROR(VLOOKUP(Conso_FCST[[#This Row],[Model name]],Prod_T6[[#All],[Model name]:[Product Conso]],2,0),"exclude")</f>
        <v>P7 RES BLK 2.0</v>
      </c>
    </row>
    <row r="25" spans="1:27" hidden="1">
      <c r="A25" t="s">
        <v>80</v>
      </c>
      <c r="B25" t="s">
        <v>140</v>
      </c>
      <c r="D25" t="s">
        <v>134</v>
      </c>
      <c r="E25" t="s">
        <v>135</v>
      </c>
      <c r="F25" t="s">
        <v>136</v>
      </c>
      <c r="G25" t="s">
        <v>151</v>
      </c>
      <c r="H25" s="184" t="s">
        <v>117</v>
      </c>
      <c r="N25">
        <v>1</v>
      </c>
      <c r="X25" t="s">
        <v>70</v>
      </c>
      <c r="Y25" t="str">
        <f>VLOOKUP(Conso_FCST[[#This Row],[Country]],'Country-Region'!A:D,4,0)</f>
        <v>Benelux Region</v>
      </c>
      <c r="Z25" t="str">
        <f>VLOOKUP(Conso_FCST[[#This Row],[Country]],'Country-Region'!A:D,3,0)</f>
        <v>BeNeLux</v>
      </c>
      <c r="AA25" t="str">
        <f>IFERROR(VLOOKUP(Conso_FCST[[#This Row],[Model name]],Prod_T6[[#All],[Model name]:[Product Conso]],2,0),"exclude")</f>
        <v>SPR-BE54-HD</v>
      </c>
    </row>
    <row r="26" spans="1:27" hidden="1">
      <c r="A26" t="s">
        <v>80</v>
      </c>
      <c r="B26" t="s">
        <v>143</v>
      </c>
      <c r="C26" t="s">
        <v>138</v>
      </c>
      <c r="D26" t="s">
        <v>118</v>
      </c>
      <c r="E26" t="s">
        <v>119</v>
      </c>
      <c r="F26" t="s">
        <v>130</v>
      </c>
      <c r="H26" s="184" t="s">
        <v>117</v>
      </c>
      <c r="J26">
        <v>0.1</v>
      </c>
      <c r="L26">
        <v>0.1</v>
      </c>
      <c r="N26">
        <v>0.1</v>
      </c>
      <c r="P26">
        <v>0.1</v>
      </c>
      <c r="X26" t="s">
        <v>70</v>
      </c>
      <c r="Y26" t="str">
        <f>VLOOKUP(Conso_FCST[[#This Row],[Country]],'Country-Region'!A:D,4,0)</f>
        <v>Benelux Region</v>
      </c>
      <c r="Z26" t="str">
        <f>VLOOKUP(Conso_FCST[[#This Row],[Country]],'Country-Region'!A:D,3,0)</f>
        <v>BeNeLux</v>
      </c>
      <c r="AA26" t="str">
        <f>IFERROR(VLOOKUP(Conso_FCST[[#This Row],[Model name]],Prod_T6[[#All],[Model name]:[Product Conso]],2,0),"exclude")</f>
        <v>P7 RES BLK 2.0</v>
      </c>
    </row>
    <row r="27" spans="1:27" hidden="1">
      <c r="A27" t="s">
        <v>80</v>
      </c>
      <c r="B27" t="s">
        <v>140</v>
      </c>
      <c r="D27" t="s">
        <v>149</v>
      </c>
      <c r="E27" t="s">
        <v>152</v>
      </c>
      <c r="F27" t="s">
        <v>136</v>
      </c>
      <c r="G27" t="s">
        <v>151</v>
      </c>
      <c r="H27" s="184" t="s">
        <v>117</v>
      </c>
      <c r="N27">
        <v>0.8</v>
      </c>
      <c r="O27">
        <v>0.8</v>
      </c>
      <c r="P27">
        <v>0.8</v>
      </c>
      <c r="Q27">
        <v>0.8</v>
      </c>
      <c r="X27" t="s">
        <v>70</v>
      </c>
      <c r="Y27" t="str">
        <f>VLOOKUP(Conso_FCST[[#This Row],[Country]],'Country-Region'!A:D,4,0)</f>
        <v>Benelux Region</v>
      </c>
      <c r="Z27" t="str">
        <f>VLOOKUP(Conso_FCST[[#This Row],[Country]],'Country-Region'!A:D,3,0)</f>
        <v>BeNeLux</v>
      </c>
      <c r="AA27" t="str">
        <f>IFERROR(VLOOKUP(Conso_FCST[[#This Row],[Model name]],Prod_T6[[#All],[Model name]:[Product Conso]],2,0),"exclude")</f>
        <v>HSM-NT48-HH</v>
      </c>
    </row>
    <row r="28" spans="1:27" hidden="1">
      <c r="A28" t="s">
        <v>80</v>
      </c>
      <c r="B28" t="s">
        <v>140</v>
      </c>
      <c r="D28" t="s">
        <v>113</v>
      </c>
      <c r="E28" t="s">
        <v>153</v>
      </c>
      <c r="F28" t="s">
        <v>136</v>
      </c>
      <c r="G28" t="s">
        <v>151</v>
      </c>
      <c r="H28" s="184" t="s">
        <v>117</v>
      </c>
      <c r="N28">
        <v>0.4</v>
      </c>
      <c r="O28">
        <v>0.4</v>
      </c>
      <c r="P28">
        <v>0.4</v>
      </c>
      <c r="Q28">
        <v>0.4</v>
      </c>
      <c r="X28" t="s">
        <v>70</v>
      </c>
      <c r="Y28" t="str">
        <f>VLOOKUP(Conso_FCST[[#This Row],[Country]],'Country-Region'!A:D,4,0)</f>
        <v>Benelux Region</v>
      </c>
      <c r="Z28" t="str">
        <f>VLOOKUP(Conso_FCST[[#This Row],[Country]],'Country-Region'!A:D,3,0)</f>
        <v>BeNeLux</v>
      </c>
      <c r="AA28" t="str">
        <f>IFERROR(VLOOKUP(Conso_FCST[[#This Row],[Model name]],Prod_T6[[#All],[Model name]:[Product Conso]],2,0),"exclude")</f>
        <v>HSM-BE54-HD</v>
      </c>
    </row>
    <row r="29" spans="1:27" hidden="1">
      <c r="A29" t="s">
        <v>80</v>
      </c>
      <c r="B29" t="s">
        <v>127</v>
      </c>
      <c r="D29" t="s">
        <v>134</v>
      </c>
      <c r="E29" t="s">
        <v>135</v>
      </c>
      <c r="F29" t="s">
        <v>154</v>
      </c>
      <c r="G29" t="s">
        <v>151</v>
      </c>
      <c r="H29" s="184" t="s">
        <v>132</v>
      </c>
      <c r="P29">
        <v>0.4</v>
      </c>
      <c r="Q29">
        <v>0.4</v>
      </c>
      <c r="X29" t="s">
        <v>70</v>
      </c>
      <c r="Y29" t="str">
        <f>VLOOKUP(Conso_FCST[[#This Row],[Country]],'Country-Region'!A:D,4,0)</f>
        <v>Benelux Region</v>
      </c>
      <c r="Z29" t="str">
        <f>VLOOKUP(Conso_FCST[[#This Row],[Country]],'Country-Region'!A:D,3,0)</f>
        <v>BeNeLux</v>
      </c>
      <c r="AA29" t="str">
        <f>IFERROR(VLOOKUP(Conso_FCST[[#This Row],[Model name]],Prod_T6[[#All],[Model name]:[Product Conso]],2,0),"exclude")</f>
        <v>SPR-BE54-HD</v>
      </c>
    </row>
    <row r="30" spans="1:27" hidden="1">
      <c r="A30" t="s">
        <v>80</v>
      </c>
      <c r="B30" t="s">
        <v>127</v>
      </c>
      <c r="D30" t="s">
        <v>149</v>
      </c>
      <c r="E30" t="s">
        <v>155</v>
      </c>
      <c r="F30" t="s">
        <v>154</v>
      </c>
      <c r="G30" t="s">
        <v>151</v>
      </c>
      <c r="H30" s="184" t="s">
        <v>132</v>
      </c>
      <c r="O30">
        <v>0.4</v>
      </c>
      <c r="P30">
        <v>0.4</v>
      </c>
      <c r="Q30">
        <v>0.4</v>
      </c>
      <c r="X30" t="s">
        <v>70</v>
      </c>
      <c r="Y30" t="str">
        <f>VLOOKUP(Conso_FCST[[#This Row],[Country]],'Country-Region'!A:D,4,0)</f>
        <v>Benelux Region</v>
      </c>
      <c r="Z30" t="str">
        <f>VLOOKUP(Conso_FCST[[#This Row],[Country]],'Country-Region'!A:D,3,0)</f>
        <v>BeNeLux</v>
      </c>
      <c r="AA30" t="str">
        <f>IFERROR(VLOOKUP(Conso_FCST[[#This Row],[Model name]],Prod_T6[[#All],[Model name]:[Product Conso]],2,0),"exclude")</f>
        <v>HSM-NT66-GH</v>
      </c>
    </row>
    <row r="31" spans="1:27" hidden="1">
      <c r="A31" t="s">
        <v>80</v>
      </c>
      <c r="B31" t="s">
        <v>127</v>
      </c>
      <c r="C31" t="s">
        <v>128</v>
      </c>
      <c r="D31" t="s">
        <v>54</v>
      </c>
      <c r="E31" t="s">
        <v>126</v>
      </c>
      <c r="F31" t="s">
        <v>156</v>
      </c>
      <c r="G31" t="s">
        <v>157</v>
      </c>
      <c r="H31" s="184" t="s">
        <v>132</v>
      </c>
      <c r="N31">
        <v>5.7</v>
      </c>
      <c r="X31" t="s">
        <v>70</v>
      </c>
      <c r="Y31" t="str">
        <f>VLOOKUP(Conso_FCST[[#This Row],[Country]],'Country-Region'!A:D,4,0)</f>
        <v>Benelux Region</v>
      </c>
      <c r="Z31" t="str">
        <f>VLOOKUP(Conso_FCST[[#This Row],[Country]],'Country-Region'!A:D,3,0)</f>
        <v>BeNeLux</v>
      </c>
      <c r="AA31" t="str">
        <f>IFERROR(VLOOKUP(Conso_FCST[[#This Row],[Model name]],Prod_T6[[#All],[Model name]:[Product Conso]],2,0),"exclude")</f>
        <v>HSM-ND66-GK</v>
      </c>
    </row>
    <row r="32" spans="1:27" hidden="1">
      <c r="A32" t="s">
        <v>80</v>
      </c>
      <c r="B32" t="s">
        <v>158</v>
      </c>
      <c r="C32" t="s">
        <v>128</v>
      </c>
      <c r="D32" t="s">
        <v>54</v>
      </c>
      <c r="E32" t="s">
        <v>159</v>
      </c>
      <c r="F32" t="s">
        <v>130</v>
      </c>
      <c r="G32" t="s">
        <v>146</v>
      </c>
      <c r="H32" s="184" t="s">
        <v>117</v>
      </c>
      <c r="I32">
        <v>0.42</v>
      </c>
      <c r="X32" t="s">
        <v>70</v>
      </c>
      <c r="Y32" t="str">
        <f>VLOOKUP(Conso_FCST[[#This Row],[Country]],'Country-Region'!A:D,4,0)</f>
        <v>Benelux Region</v>
      </c>
      <c r="Z32" t="str">
        <f>VLOOKUP(Conso_FCST[[#This Row],[Country]],'Country-Region'!A:D,3,0)</f>
        <v>BeNeLux</v>
      </c>
      <c r="AA32" t="str">
        <f>IFERROR(VLOOKUP(Conso_FCST[[#This Row],[Model name]],Prod_T6[[#All],[Model name]:[Product Conso]],2,0),"exclude")</f>
        <v>HSM-ND48-DR</v>
      </c>
    </row>
    <row r="33" spans="1:27" hidden="1">
      <c r="A33" t="s">
        <v>80</v>
      </c>
      <c r="B33" t="s">
        <v>127</v>
      </c>
      <c r="D33" t="s">
        <v>54</v>
      </c>
      <c r="E33" t="s">
        <v>160</v>
      </c>
      <c r="F33" t="s">
        <v>130</v>
      </c>
      <c r="G33" t="s">
        <v>161</v>
      </c>
      <c r="H33" s="184" t="s">
        <v>132</v>
      </c>
      <c r="J33">
        <v>1.2</v>
      </c>
      <c r="K33">
        <v>1.2</v>
      </c>
      <c r="X33" t="s">
        <v>70</v>
      </c>
      <c r="Y33" t="str">
        <f>VLOOKUP(Conso_FCST[[#This Row],[Country]],'Country-Region'!A:D,4,0)</f>
        <v>Benelux Region</v>
      </c>
      <c r="Z33" t="str">
        <f>VLOOKUP(Conso_FCST[[#This Row],[Country]],'Country-Region'!A:D,3,0)</f>
        <v>BeNeLux</v>
      </c>
      <c r="AA33" t="str">
        <f>IFERROR(VLOOKUP(Conso_FCST[[#This Row],[Model name]],Prod_T6[[#All],[Model name]:[Product Conso]],2,0),"exclude")</f>
        <v>HSM-ND54-DR</v>
      </c>
    </row>
    <row r="34" spans="1:27" hidden="1">
      <c r="A34" t="s">
        <v>80</v>
      </c>
      <c r="B34" t="s">
        <v>127</v>
      </c>
      <c r="D34" t="s">
        <v>113</v>
      </c>
      <c r="E34" t="s">
        <v>153</v>
      </c>
      <c r="F34" t="s">
        <v>136</v>
      </c>
      <c r="G34" t="s">
        <v>151</v>
      </c>
      <c r="H34" s="184" t="s">
        <v>162</v>
      </c>
      <c r="O34">
        <v>1</v>
      </c>
      <c r="P34">
        <v>1</v>
      </c>
      <c r="Q34">
        <v>1</v>
      </c>
      <c r="X34" t="s">
        <v>70</v>
      </c>
      <c r="Y34" t="str">
        <f>VLOOKUP(Conso_FCST[[#This Row],[Country]],'Country-Region'!A:D,4,0)</f>
        <v>Benelux Region</v>
      </c>
      <c r="Z34" t="str">
        <f>VLOOKUP(Conso_FCST[[#This Row],[Country]],'Country-Region'!A:D,3,0)</f>
        <v>BeNeLux</v>
      </c>
      <c r="AA34" t="str">
        <f>IFERROR(VLOOKUP(Conso_FCST[[#This Row],[Model name]],Prod_T6[[#All],[Model name]:[Product Conso]],2,0),"exclude")</f>
        <v>HSM-BE54-HD</v>
      </c>
    </row>
    <row r="35" spans="1:27" hidden="1">
      <c r="A35" t="s">
        <v>80</v>
      </c>
      <c r="B35" t="s">
        <v>127</v>
      </c>
      <c r="D35" t="s">
        <v>149</v>
      </c>
      <c r="E35" t="s">
        <v>152</v>
      </c>
      <c r="F35" t="s">
        <v>130</v>
      </c>
      <c r="G35" t="s">
        <v>131</v>
      </c>
      <c r="H35" s="184" t="s">
        <v>132</v>
      </c>
      <c r="M35">
        <v>2</v>
      </c>
      <c r="N35">
        <v>2</v>
      </c>
      <c r="O35">
        <v>2</v>
      </c>
      <c r="X35" t="s">
        <v>70</v>
      </c>
      <c r="Y35" t="str">
        <f>VLOOKUP(Conso_FCST[[#This Row],[Country]],'Country-Region'!A:D,4,0)</f>
        <v>Benelux Region</v>
      </c>
      <c r="Z35" t="str">
        <f>VLOOKUP(Conso_FCST[[#This Row],[Country]],'Country-Region'!A:D,3,0)</f>
        <v>BeNeLux</v>
      </c>
      <c r="AA35" t="str">
        <f>IFERROR(VLOOKUP(Conso_FCST[[#This Row],[Model name]],Prod_T6[[#All],[Model name]:[Product Conso]],2,0),"exclude")</f>
        <v>HSM-NT48-HH</v>
      </c>
    </row>
    <row r="36" spans="1:27" hidden="1">
      <c r="A36" t="s">
        <v>80</v>
      </c>
      <c r="B36" t="s">
        <v>127</v>
      </c>
      <c r="D36" t="s">
        <v>54</v>
      </c>
      <c r="E36" t="s">
        <v>129</v>
      </c>
      <c r="F36" t="s">
        <v>130</v>
      </c>
      <c r="G36" t="s">
        <v>163</v>
      </c>
      <c r="H36" s="184" t="s">
        <v>132</v>
      </c>
      <c r="J36">
        <v>0.42</v>
      </c>
      <c r="K36">
        <v>4</v>
      </c>
      <c r="L36">
        <v>2.2999999999999998</v>
      </c>
      <c r="X36" t="s">
        <v>70</v>
      </c>
      <c r="Y36" t="str">
        <f>VLOOKUP(Conso_FCST[[#This Row],[Country]],'Country-Region'!A:D,4,0)</f>
        <v>Benelux Region</v>
      </c>
      <c r="Z36" t="str">
        <f>VLOOKUP(Conso_FCST[[#This Row],[Country]],'Country-Region'!A:D,3,0)</f>
        <v>BeNeLux</v>
      </c>
      <c r="AA36" t="str">
        <f>IFERROR(VLOOKUP(Conso_FCST[[#This Row],[Model name]],Prod_T6[[#All],[Model name]:[Product Conso]],2,0),"exclude")</f>
        <v>HSM-ND48-DR</v>
      </c>
    </row>
    <row r="37" spans="1:27" hidden="1">
      <c r="A37" t="s">
        <v>80</v>
      </c>
      <c r="B37" t="s">
        <v>158</v>
      </c>
      <c r="D37" t="s">
        <v>149</v>
      </c>
      <c r="E37" t="s">
        <v>152</v>
      </c>
      <c r="F37" t="s">
        <v>130</v>
      </c>
      <c r="H37" s="184" t="s">
        <v>117</v>
      </c>
      <c r="X37" t="s">
        <v>70</v>
      </c>
      <c r="Y37" t="str">
        <f>VLOOKUP(Conso_FCST[[#This Row],[Country]],'Country-Region'!A:D,4,0)</f>
        <v>Benelux Region</v>
      </c>
      <c r="Z37" t="str">
        <f>VLOOKUP(Conso_FCST[[#This Row],[Country]],'Country-Region'!A:D,3,0)</f>
        <v>BeNeLux</v>
      </c>
      <c r="AA37" t="str">
        <f>IFERROR(VLOOKUP(Conso_FCST[[#This Row],[Model name]],Prod_T6[[#All],[Model name]:[Product Conso]],2,0),"exclude")</f>
        <v>HSM-NT48-HH</v>
      </c>
    </row>
    <row r="38" spans="1:27" hidden="1">
      <c r="A38" t="s">
        <v>164</v>
      </c>
      <c r="B38" t="s">
        <v>165</v>
      </c>
      <c r="D38" t="s">
        <v>54</v>
      </c>
      <c r="E38" t="s">
        <v>166</v>
      </c>
      <c r="F38" t="s">
        <v>115</v>
      </c>
      <c r="G38" t="s">
        <v>167</v>
      </c>
      <c r="H38" s="184" t="s">
        <v>132</v>
      </c>
      <c r="L38">
        <v>0.8</v>
      </c>
      <c r="X38" t="s">
        <v>70</v>
      </c>
      <c r="Y38" t="str">
        <f>VLOOKUP(Conso_FCST[[#This Row],[Country]],'Country-Region'!A:D,4,0)</f>
        <v>Southern Europe Region</v>
      </c>
      <c r="Z38" t="str">
        <f>VLOOKUP(Conso_FCST[[#This Row],[Country]],'Country-Region'!A:D,3,0)</f>
        <v>Southern Europe Region</v>
      </c>
      <c r="AA38" t="str">
        <f>IFERROR(VLOOKUP(Conso_FCST[[#This Row],[Model name]],Prod_T6[[#All],[Model name]:[Product Conso]],2,0),"exclude")</f>
        <v>HSM-ND66-GR</v>
      </c>
    </row>
    <row r="39" spans="1:27" hidden="1">
      <c r="A39" t="s">
        <v>164</v>
      </c>
      <c r="B39" t="s">
        <v>165</v>
      </c>
      <c r="D39" t="s">
        <v>54</v>
      </c>
      <c r="E39" t="s">
        <v>129</v>
      </c>
      <c r="F39" t="s">
        <v>115</v>
      </c>
      <c r="G39" t="s">
        <v>167</v>
      </c>
      <c r="H39" s="184" t="s">
        <v>132</v>
      </c>
      <c r="L39">
        <v>0.8</v>
      </c>
      <c r="X39" t="s">
        <v>70</v>
      </c>
      <c r="Y39" t="str">
        <f>VLOOKUP(Conso_FCST[[#This Row],[Country]],'Country-Region'!A:D,4,0)</f>
        <v>Southern Europe Region</v>
      </c>
      <c r="Z39" t="str">
        <f>VLOOKUP(Conso_FCST[[#This Row],[Country]],'Country-Region'!A:D,3,0)</f>
        <v>Southern Europe Region</v>
      </c>
      <c r="AA39" t="str">
        <f>IFERROR(VLOOKUP(Conso_FCST[[#This Row],[Model name]],Prod_T6[[#All],[Model name]:[Product Conso]],2,0),"exclude")</f>
        <v>HSM-ND48-DR</v>
      </c>
    </row>
    <row r="40" spans="1:27" hidden="1">
      <c r="A40" t="s">
        <v>81</v>
      </c>
      <c r="B40" t="s">
        <v>168</v>
      </c>
      <c r="D40" t="s">
        <v>54</v>
      </c>
      <c r="E40" t="s">
        <v>126</v>
      </c>
      <c r="F40" t="s">
        <v>130</v>
      </c>
      <c r="G40" t="s">
        <v>169</v>
      </c>
      <c r="H40" s="184" t="s">
        <v>132</v>
      </c>
      <c r="J40">
        <v>1.2</v>
      </c>
      <c r="X40" t="s">
        <v>70</v>
      </c>
      <c r="Y40" t="str">
        <f>VLOOKUP(Conso_FCST[[#This Row],[Country]],'Country-Region'!A:D,4,0)</f>
        <v>Central and Eastern Europe Region</v>
      </c>
      <c r="Z40" t="str">
        <f>VLOOKUP(Conso_FCST[[#This Row],[Country]],'Country-Region'!A:D,3,0)</f>
        <v>C&amp;E EU</v>
      </c>
      <c r="AA40" t="str">
        <f>IFERROR(VLOOKUP(Conso_FCST[[#This Row],[Model name]],Prod_T6[[#All],[Model name]:[Product Conso]],2,0),"exclude")</f>
        <v>HSM-ND66-GK</v>
      </c>
    </row>
    <row r="41" spans="1:27" hidden="1">
      <c r="A41" t="s">
        <v>81</v>
      </c>
      <c r="B41" t="s">
        <v>168</v>
      </c>
      <c r="D41" t="s">
        <v>54</v>
      </c>
      <c r="E41" t="s">
        <v>170</v>
      </c>
      <c r="F41" t="s">
        <v>115</v>
      </c>
      <c r="G41" t="s">
        <v>171</v>
      </c>
      <c r="H41" s="184" t="s">
        <v>132</v>
      </c>
      <c r="N41">
        <v>4.9000000000000004</v>
      </c>
      <c r="X41" t="s">
        <v>70</v>
      </c>
      <c r="Y41" t="str">
        <f>VLOOKUP(Conso_FCST[[#This Row],[Country]],'Country-Region'!A:D,4,0)</f>
        <v>Central and Eastern Europe Region</v>
      </c>
      <c r="Z41" t="str">
        <f>VLOOKUP(Conso_FCST[[#This Row],[Country]],'Country-Region'!A:D,3,0)</f>
        <v>C&amp;E EU</v>
      </c>
      <c r="AA41" t="str">
        <f>IFERROR(VLOOKUP(Conso_FCST[[#This Row],[Model name]],Prod_T6[[#All],[Model name]:[Product Conso]],2,0),"exclude")</f>
        <v>HSM-ND66-GR</v>
      </c>
    </row>
    <row r="42" spans="1:27" hidden="1">
      <c r="A42" t="s">
        <v>82</v>
      </c>
      <c r="B42" t="s">
        <v>172</v>
      </c>
      <c r="D42" t="s">
        <v>54</v>
      </c>
      <c r="E42" t="s">
        <v>159</v>
      </c>
      <c r="F42" t="s">
        <v>136</v>
      </c>
      <c r="G42" t="s">
        <v>173</v>
      </c>
      <c r="H42" s="184" t="s">
        <v>132</v>
      </c>
      <c r="N42">
        <v>1</v>
      </c>
      <c r="X42" t="s">
        <v>70</v>
      </c>
      <c r="Y42" t="str">
        <f>VLOOKUP(Conso_FCST[[#This Row],[Country]],'Country-Region'!A:D,4,0)</f>
        <v>Southern Europe Region</v>
      </c>
      <c r="Z42" t="str">
        <f>VLOOKUP(Conso_FCST[[#This Row],[Country]],'Country-Region'!A:D,3,0)</f>
        <v>Southern Europe Region</v>
      </c>
      <c r="AA42" t="str">
        <f>IFERROR(VLOOKUP(Conso_FCST[[#This Row],[Model name]],Prod_T6[[#All],[Model name]:[Product Conso]],2,0),"exclude")</f>
        <v>HSM-ND48-DR</v>
      </c>
    </row>
    <row r="43" spans="1:27" hidden="1">
      <c r="A43" t="s">
        <v>174</v>
      </c>
      <c r="B43" t="s">
        <v>175</v>
      </c>
      <c r="D43" t="s">
        <v>54</v>
      </c>
      <c r="E43" t="s">
        <v>170</v>
      </c>
      <c r="F43" t="s">
        <v>115</v>
      </c>
      <c r="G43" t="s">
        <v>176</v>
      </c>
      <c r="H43" s="184" t="s">
        <v>132</v>
      </c>
      <c r="M43">
        <v>5</v>
      </c>
      <c r="X43" t="s">
        <v>70</v>
      </c>
      <c r="Y43" t="str">
        <f>VLOOKUP(Conso_FCST[[#This Row],[Country]],'Country-Region'!A:D,4,0)</f>
        <v>Central and Eastern Europe Region</v>
      </c>
      <c r="Z43" t="str">
        <f>VLOOKUP(Conso_FCST[[#This Row],[Country]],'Country-Region'!A:D,3,0)</f>
        <v>C&amp;E EU</v>
      </c>
      <c r="AA43" t="str">
        <f>IFERROR(VLOOKUP(Conso_FCST[[#This Row],[Model name]],Prod_T6[[#All],[Model name]:[Product Conso]],2,0),"exclude")</f>
        <v>HSM-ND66-GR</v>
      </c>
    </row>
    <row r="44" spans="1:27" hidden="1">
      <c r="A44" t="s">
        <v>174</v>
      </c>
      <c r="B44" t="s">
        <v>177</v>
      </c>
      <c r="D44" t="s">
        <v>54</v>
      </c>
      <c r="E44" t="s">
        <v>126</v>
      </c>
      <c r="F44" t="s">
        <v>115</v>
      </c>
      <c r="G44" t="s">
        <v>178</v>
      </c>
      <c r="H44" s="184" t="s">
        <v>132</v>
      </c>
      <c r="N44">
        <v>43.3</v>
      </c>
      <c r="O44">
        <v>43.3</v>
      </c>
      <c r="P44">
        <v>43.3</v>
      </c>
      <c r="X44" t="s">
        <v>70</v>
      </c>
      <c r="Y44" t="str">
        <f>VLOOKUP(Conso_FCST[[#This Row],[Country]],'Country-Region'!A:D,4,0)</f>
        <v>Central and Eastern Europe Region</v>
      </c>
      <c r="Z44" t="str">
        <f>VLOOKUP(Conso_FCST[[#This Row],[Country]],'Country-Region'!A:D,3,0)</f>
        <v>C&amp;E EU</v>
      </c>
      <c r="AA44" t="str">
        <f>IFERROR(VLOOKUP(Conso_FCST[[#This Row],[Model name]],Prod_T6[[#All],[Model name]:[Product Conso]],2,0),"exclude")</f>
        <v>HSM-ND66-GK</v>
      </c>
    </row>
    <row r="45" spans="1:27" hidden="1">
      <c r="A45" t="s">
        <v>174</v>
      </c>
      <c r="B45" t="s">
        <v>179</v>
      </c>
      <c r="D45" t="s">
        <v>118</v>
      </c>
      <c r="E45" t="s">
        <v>180</v>
      </c>
      <c r="F45" t="s">
        <v>115</v>
      </c>
      <c r="G45" t="s">
        <v>181</v>
      </c>
      <c r="H45" s="184" t="s">
        <v>117</v>
      </c>
      <c r="K45">
        <v>1.8</v>
      </c>
      <c r="X45" t="s">
        <v>70</v>
      </c>
      <c r="Y45" t="str">
        <f>VLOOKUP(Conso_FCST[[#This Row],[Country]],'Country-Region'!A:D,4,0)</f>
        <v>Central and Eastern Europe Region</v>
      </c>
      <c r="Z45" t="str">
        <f>VLOOKUP(Conso_FCST[[#This Row],[Country]],'Country-Region'!A:D,3,0)</f>
        <v>C&amp;E EU</v>
      </c>
      <c r="AA45" t="str">
        <f>IFERROR(VLOOKUP(Conso_FCST[[#This Row],[Model name]],Prod_T6[[#All],[Model name]:[Product Conso]],2,0),"exclude")</f>
        <v>P7 RES BLK-P</v>
      </c>
    </row>
    <row r="46" spans="1:27" hidden="1">
      <c r="A46" t="s">
        <v>174</v>
      </c>
      <c r="B46" t="s">
        <v>177</v>
      </c>
      <c r="D46" t="s">
        <v>113</v>
      </c>
      <c r="E46" t="s">
        <v>182</v>
      </c>
      <c r="F46" t="s">
        <v>115</v>
      </c>
      <c r="G46" t="s">
        <v>183</v>
      </c>
      <c r="H46" s="184" t="s">
        <v>132</v>
      </c>
      <c r="O46">
        <v>64</v>
      </c>
      <c r="P46">
        <v>64</v>
      </c>
      <c r="X46" t="s">
        <v>70</v>
      </c>
      <c r="Y46" t="str">
        <f>VLOOKUP(Conso_FCST[[#This Row],[Country]],'Country-Region'!A:D,4,0)</f>
        <v>Central and Eastern Europe Region</v>
      </c>
      <c r="Z46" t="str">
        <f>VLOOKUP(Conso_FCST[[#This Row],[Country]],'Country-Region'!A:D,3,0)</f>
        <v>C&amp;E EU</v>
      </c>
      <c r="AA46" t="str">
        <f>IFERROR(VLOOKUP(Conso_FCST[[#This Row],[Model name]],Prod_T6[[#All],[Model name]:[Product Conso]],2,0),"exclude")</f>
        <v xml:space="preserve">HSM-BE66-GD </v>
      </c>
    </row>
    <row r="47" spans="1:27" hidden="1">
      <c r="A47" t="s">
        <v>174</v>
      </c>
      <c r="B47" t="s">
        <v>177</v>
      </c>
      <c r="D47" t="s">
        <v>54</v>
      </c>
      <c r="E47" t="s">
        <v>126</v>
      </c>
      <c r="F47" t="s">
        <v>115</v>
      </c>
      <c r="G47" t="s">
        <v>184</v>
      </c>
      <c r="H47" s="184" t="s">
        <v>132</v>
      </c>
      <c r="O47">
        <v>22</v>
      </c>
      <c r="P47">
        <v>22</v>
      </c>
      <c r="X47" t="s">
        <v>70</v>
      </c>
      <c r="Y47" t="str">
        <f>VLOOKUP(Conso_FCST[[#This Row],[Country]],'Country-Region'!A:D,4,0)</f>
        <v>Central and Eastern Europe Region</v>
      </c>
      <c r="Z47" t="str">
        <f>VLOOKUP(Conso_FCST[[#This Row],[Country]],'Country-Region'!A:D,3,0)</f>
        <v>C&amp;E EU</v>
      </c>
      <c r="AA47" t="str">
        <f>IFERROR(VLOOKUP(Conso_FCST[[#This Row],[Model name]],Prod_T6[[#All],[Model name]:[Product Conso]],2,0),"exclude")</f>
        <v>HSM-ND66-GK</v>
      </c>
    </row>
    <row r="48" spans="1:27" hidden="1">
      <c r="A48" t="s">
        <v>30</v>
      </c>
      <c r="B48" t="s">
        <v>185</v>
      </c>
      <c r="C48" t="s">
        <v>186</v>
      </c>
      <c r="D48" t="s">
        <v>149</v>
      </c>
      <c r="E48" t="s">
        <v>187</v>
      </c>
      <c r="F48" t="s">
        <v>120</v>
      </c>
      <c r="H48" s="184" t="s">
        <v>117</v>
      </c>
      <c r="N48">
        <v>0.4</v>
      </c>
      <c r="O48">
        <v>0.8</v>
      </c>
      <c r="P48">
        <v>0.8</v>
      </c>
      <c r="Q48">
        <v>0.8</v>
      </c>
      <c r="X48" t="s">
        <v>70</v>
      </c>
      <c r="Y48" t="str">
        <f>VLOOKUP(Conso_FCST[[#This Row],[Country]],'Country-Region'!A:D,4,0)</f>
        <v>France and Switzerland Region</v>
      </c>
      <c r="Z48" t="str">
        <f>VLOOKUP(Conso_FCST[[#This Row],[Country]],'Country-Region'!A:D,3,0)</f>
        <v>France</v>
      </c>
      <c r="AA48" t="str">
        <f>IFERROR(VLOOKUP(Conso_FCST[[#This Row],[Model name]],Prod_T6[[#All],[Model name]:[Product Conso]],2,0),"exclude")</f>
        <v>HSM-NT48-JH CFP</v>
      </c>
    </row>
    <row r="49" spans="1:27" hidden="1">
      <c r="A49" t="s">
        <v>30</v>
      </c>
      <c r="B49" t="s">
        <v>188</v>
      </c>
      <c r="C49" t="s">
        <v>186</v>
      </c>
      <c r="D49" t="s">
        <v>149</v>
      </c>
      <c r="E49" t="s">
        <v>187</v>
      </c>
      <c r="F49" t="s">
        <v>120</v>
      </c>
      <c r="H49" s="184" t="s">
        <v>117</v>
      </c>
      <c r="N49">
        <v>0.8</v>
      </c>
      <c r="O49">
        <v>0.8</v>
      </c>
      <c r="P49">
        <v>0.8</v>
      </c>
      <c r="Q49">
        <v>0.8</v>
      </c>
      <c r="X49" t="s">
        <v>70</v>
      </c>
      <c r="Y49" t="str">
        <f>VLOOKUP(Conso_FCST[[#This Row],[Country]],'Country-Region'!A:D,4,0)</f>
        <v>France and Switzerland Region</v>
      </c>
      <c r="Z49" t="str">
        <f>VLOOKUP(Conso_FCST[[#This Row],[Country]],'Country-Region'!A:D,3,0)</f>
        <v>France</v>
      </c>
      <c r="AA49" t="str">
        <f>IFERROR(VLOOKUP(Conso_FCST[[#This Row],[Model name]],Prod_T6[[#All],[Model name]:[Product Conso]],2,0),"exclude")</f>
        <v>HSM-NT48-JH CFP</v>
      </c>
    </row>
    <row r="50" spans="1:27" hidden="1">
      <c r="A50" t="s">
        <v>30</v>
      </c>
      <c r="B50" t="s">
        <v>189</v>
      </c>
      <c r="C50" t="s">
        <v>186</v>
      </c>
      <c r="D50" t="s">
        <v>149</v>
      </c>
      <c r="E50" t="s">
        <v>187</v>
      </c>
      <c r="F50" t="s">
        <v>120</v>
      </c>
      <c r="H50" s="184" t="s">
        <v>117</v>
      </c>
      <c r="O50">
        <v>1.2</v>
      </c>
      <c r="P50">
        <v>1.2</v>
      </c>
      <c r="Q50">
        <v>1.2</v>
      </c>
      <c r="X50" t="s">
        <v>70</v>
      </c>
      <c r="Y50" t="str">
        <f>VLOOKUP(Conso_FCST[[#This Row],[Country]],'Country-Region'!A:D,4,0)</f>
        <v>France and Switzerland Region</v>
      </c>
      <c r="Z50" t="str">
        <f>VLOOKUP(Conso_FCST[[#This Row],[Country]],'Country-Region'!A:D,3,0)</f>
        <v>France</v>
      </c>
      <c r="AA50" t="str">
        <f>IFERROR(VLOOKUP(Conso_FCST[[#This Row],[Model name]],Prod_T6[[#All],[Model name]:[Product Conso]],2,0),"exclude")</f>
        <v>HSM-NT48-JH CFP</v>
      </c>
    </row>
    <row r="51" spans="1:27" hidden="1">
      <c r="A51" t="s">
        <v>30</v>
      </c>
      <c r="B51" t="s">
        <v>190</v>
      </c>
      <c r="C51" t="s">
        <v>186</v>
      </c>
      <c r="D51" t="s">
        <v>149</v>
      </c>
      <c r="E51" t="s">
        <v>187</v>
      </c>
      <c r="F51" t="s">
        <v>120</v>
      </c>
      <c r="H51" s="184" t="s">
        <v>117</v>
      </c>
      <c r="X51" t="s">
        <v>70</v>
      </c>
      <c r="Y51" t="str">
        <f>VLOOKUP(Conso_FCST[[#This Row],[Country]],'Country-Region'!A:D,4,0)</f>
        <v>France and Switzerland Region</v>
      </c>
      <c r="Z51" t="str">
        <f>VLOOKUP(Conso_FCST[[#This Row],[Country]],'Country-Region'!A:D,3,0)</f>
        <v>France</v>
      </c>
      <c r="AA51" t="str">
        <f>IFERROR(VLOOKUP(Conso_FCST[[#This Row],[Model name]],Prod_T6[[#All],[Model name]:[Product Conso]],2,0),"exclude")</f>
        <v>HSM-NT48-JH CFP</v>
      </c>
    </row>
    <row r="52" spans="1:27" hidden="1">
      <c r="A52" t="s">
        <v>30</v>
      </c>
      <c r="B52" t="s">
        <v>191</v>
      </c>
      <c r="C52" t="s">
        <v>192</v>
      </c>
      <c r="D52" t="s">
        <v>54</v>
      </c>
      <c r="E52" t="s">
        <v>193</v>
      </c>
      <c r="F52" t="s">
        <v>115</v>
      </c>
      <c r="H52" s="184" t="s">
        <v>117</v>
      </c>
      <c r="O52">
        <v>2</v>
      </c>
      <c r="X52" t="s">
        <v>70</v>
      </c>
      <c r="Y52" t="str">
        <f>VLOOKUP(Conso_FCST[[#This Row],[Country]],'Country-Region'!A:D,4,0)</f>
        <v>France and Switzerland Region</v>
      </c>
      <c r="Z52" t="str">
        <f>VLOOKUP(Conso_FCST[[#This Row],[Country]],'Country-Region'!A:D,3,0)</f>
        <v>France</v>
      </c>
      <c r="AA52" t="str">
        <f>IFERROR(VLOOKUP(Conso_FCST[[#This Row],[Model name]],Prod_T6[[#All],[Model name]:[Product Conso]],2,0),"exclude")</f>
        <v>HSM-ND48-DR CFP</v>
      </c>
    </row>
    <row r="53" spans="1:27" hidden="1">
      <c r="A53" t="s">
        <v>30</v>
      </c>
      <c r="B53" t="s">
        <v>194</v>
      </c>
      <c r="C53" t="s">
        <v>192</v>
      </c>
      <c r="D53" t="s">
        <v>149</v>
      </c>
      <c r="E53" t="s">
        <v>195</v>
      </c>
      <c r="F53" t="s">
        <v>115</v>
      </c>
      <c r="G53" t="s">
        <v>196</v>
      </c>
      <c r="H53" s="184" t="s">
        <v>117</v>
      </c>
      <c r="N53">
        <v>3</v>
      </c>
      <c r="X53" t="s">
        <v>70</v>
      </c>
      <c r="Y53" t="str">
        <f>VLOOKUP(Conso_FCST[[#This Row],[Country]],'Country-Region'!A:D,4,0)</f>
        <v>France and Switzerland Region</v>
      </c>
      <c r="Z53" t="str">
        <f>VLOOKUP(Conso_FCST[[#This Row],[Country]],'Country-Region'!A:D,3,0)</f>
        <v>France</v>
      </c>
      <c r="AA53" t="str">
        <f>IFERROR(VLOOKUP(Conso_FCST[[#This Row],[Model name]],Prod_T6[[#All],[Model name]:[Product Conso]],2,0),"exclude")</f>
        <v>HSM-NT48-GH CFP</v>
      </c>
    </row>
    <row r="54" spans="1:27" hidden="1">
      <c r="A54" t="s">
        <v>30</v>
      </c>
      <c r="B54" t="s">
        <v>185</v>
      </c>
      <c r="C54" t="s">
        <v>186</v>
      </c>
      <c r="D54" t="s">
        <v>197</v>
      </c>
      <c r="E54" t="s">
        <v>59</v>
      </c>
      <c r="F54" t="s">
        <v>120</v>
      </c>
      <c r="H54" s="184" t="s">
        <v>117</v>
      </c>
      <c r="X54" t="s">
        <v>27</v>
      </c>
      <c r="Y54" t="str">
        <f>VLOOKUP(Conso_FCST[[#This Row],[Country]],'Country-Region'!A:D,4,0)</f>
        <v>France and Switzerland Region</v>
      </c>
      <c r="Z54" t="str">
        <f>VLOOKUP(Conso_FCST[[#This Row],[Country]],'Country-Region'!A:D,3,0)</f>
        <v>France</v>
      </c>
      <c r="AA54" t="str">
        <f>IFERROR(VLOOKUP(Conso_FCST[[#This Row],[Model name]],Prod_T6[[#All],[Model name]:[Product Conso]],2,0),"exclude")</f>
        <v>Gen2 1P 6kw</v>
      </c>
    </row>
    <row r="55" spans="1:27" hidden="1">
      <c r="A55" t="s">
        <v>30</v>
      </c>
      <c r="B55" t="s">
        <v>198</v>
      </c>
      <c r="C55" t="s">
        <v>186</v>
      </c>
      <c r="D55" t="s">
        <v>149</v>
      </c>
      <c r="E55" t="s">
        <v>187</v>
      </c>
      <c r="F55" t="s">
        <v>120</v>
      </c>
      <c r="H55" s="184" t="s">
        <v>132</v>
      </c>
      <c r="O55">
        <v>0.8</v>
      </c>
      <c r="P55">
        <v>1.2</v>
      </c>
      <c r="Q55">
        <v>1.2</v>
      </c>
      <c r="X55" t="s">
        <v>70</v>
      </c>
      <c r="Y55" t="str">
        <f>VLOOKUP(Conso_FCST[[#This Row],[Country]],'Country-Region'!A:D,4,0)</f>
        <v>France and Switzerland Region</v>
      </c>
      <c r="Z55" t="str">
        <f>VLOOKUP(Conso_FCST[[#This Row],[Country]],'Country-Region'!A:D,3,0)</f>
        <v>France</v>
      </c>
      <c r="AA55" t="str">
        <f>IFERROR(VLOOKUP(Conso_FCST[[#This Row],[Model name]],Prod_T6[[#All],[Model name]:[Product Conso]],2,0),"exclude")</f>
        <v>HSM-NT48-JH CFP</v>
      </c>
    </row>
    <row r="56" spans="1:27" hidden="1">
      <c r="A56" t="s">
        <v>30</v>
      </c>
      <c r="B56" t="s">
        <v>199</v>
      </c>
      <c r="C56" t="s">
        <v>186</v>
      </c>
      <c r="D56" t="s">
        <v>149</v>
      </c>
      <c r="E56" t="s">
        <v>187</v>
      </c>
      <c r="F56" t="s">
        <v>120</v>
      </c>
      <c r="H56" s="184" t="s">
        <v>117</v>
      </c>
      <c r="O56">
        <v>0.8</v>
      </c>
      <c r="P56">
        <v>1.2</v>
      </c>
      <c r="Q56">
        <v>1.2</v>
      </c>
      <c r="X56" t="s">
        <v>70</v>
      </c>
      <c r="Y56" t="str">
        <f>VLOOKUP(Conso_FCST[[#This Row],[Country]],'Country-Region'!A:D,4,0)</f>
        <v>France and Switzerland Region</v>
      </c>
      <c r="Z56" t="str">
        <f>VLOOKUP(Conso_FCST[[#This Row],[Country]],'Country-Region'!A:D,3,0)</f>
        <v>France</v>
      </c>
      <c r="AA56" t="str">
        <f>IFERROR(VLOOKUP(Conso_FCST[[#This Row],[Model name]],Prod_T6[[#All],[Model name]:[Product Conso]],2,0),"exclude")</f>
        <v>HSM-NT48-JH CFP</v>
      </c>
    </row>
    <row r="57" spans="1:27" hidden="1">
      <c r="A57" t="s">
        <v>30</v>
      </c>
      <c r="B57" t="s">
        <v>185</v>
      </c>
      <c r="C57" t="s">
        <v>186</v>
      </c>
      <c r="D57" t="s">
        <v>54</v>
      </c>
      <c r="E57" t="s">
        <v>121</v>
      </c>
      <c r="F57" t="s">
        <v>120</v>
      </c>
      <c r="H57" s="184" t="s">
        <v>117</v>
      </c>
      <c r="I57">
        <v>0.4</v>
      </c>
      <c r="J57">
        <v>0.8</v>
      </c>
      <c r="K57">
        <v>0.8</v>
      </c>
      <c r="L57">
        <v>0.8</v>
      </c>
      <c r="M57">
        <v>0.4</v>
      </c>
      <c r="N57">
        <v>0.4</v>
      </c>
      <c r="O57">
        <v>0.4</v>
      </c>
      <c r="P57">
        <v>0.4</v>
      </c>
      <c r="Q57">
        <v>0.4</v>
      </c>
      <c r="X57" t="s">
        <v>70</v>
      </c>
      <c r="Y57" t="str">
        <f>VLOOKUP(Conso_FCST[[#This Row],[Country]],'Country-Region'!A:D,4,0)</f>
        <v>France and Switzerland Region</v>
      </c>
      <c r="Z57" t="str">
        <f>VLOOKUP(Conso_FCST[[#This Row],[Country]],'Country-Region'!A:D,3,0)</f>
        <v>France</v>
      </c>
      <c r="AA57" t="str">
        <f>IFERROR(VLOOKUP(Conso_FCST[[#This Row],[Model name]],Prod_T6[[#All],[Model name]:[Product Conso]],2,0),"exclude")</f>
        <v>HSM-ND54-DR</v>
      </c>
    </row>
    <row r="58" spans="1:27" hidden="1">
      <c r="A58" t="s">
        <v>30</v>
      </c>
      <c r="B58" t="s">
        <v>200</v>
      </c>
      <c r="C58" t="s">
        <v>186</v>
      </c>
      <c r="D58" t="s">
        <v>54</v>
      </c>
      <c r="E58" t="s">
        <v>201</v>
      </c>
      <c r="F58" t="s">
        <v>120</v>
      </c>
      <c r="H58" s="184" t="s">
        <v>132</v>
      </c>
      <c r="I58">
        <v>0.8</v>
      </c>
      <c r="J58">
        <v>0.8</v>
      </c>
      <c r="K58">
        <v>0.8</v>
      </c>
      <c r="L58">
        <v>0.8</v>
      </c>
      <c r="M58">
        <v>0.8</v>
      </c>
      <c r="N58">
        <v>0</v>
      </c>
      <c r="O58">
        <v>0</v>
      </c>
      <c r="P58">
        <v>0</v>
      </c>
      <c r="Q58">
        <v>0</v>
      </c>
      <c r="X58" t="s">
        <v>70</v>
      </c>
      <c r="Y58" t="str">
        <f>VLOOKUP(Conso_FCST[[#This Row],[Country]],'Country-Region'!A:D,4,0)</f>
        <v>France and Switzerland Region</v>
      </c>
      <c r="Z58" t="str">
        <f>VLOOKUP(Conso_FCST[[#This Row],[Country]],'Country-Region'!A:D,3,0)</f>
        <v>France</v>
      </c>
      <c r="AA58" t="str">
        <f>IFERROR(VLOOKUP(Conso_FCST[[#This Row],[Model name]],Prod_T6[[#All],[Model name]:[Product Conso]],2,0),"exclude")</f>
        <v>HSM-ND48-DR CFP</v>
      </c>
    </row>
    <row r="59" spans="1:27" hidden="1">
      <c r="A59" t="s">
        <v>30</v>
      </c>
      <c r="B59" t="s">
        <v>200</v>
      </c>
      <c r="C59" t="s">
        <v>186</v>
      </c>
      <c r="D59" t="s">
        <v>197</v>
      </c>
      <c r="E59" t="s">
        <v>59</v>
      </c>
      <c r="F59" t="s">
        <v>120</v>
      </c>
      <c r="H59" s="184" t="s">
        <v>117</v>
      </c>
      <c r="X59" t="s">
        <v>27</v>
      </c>
      <c r="Y59" t="str">
        <f>VLOOKUP(Conso_FCST[[#This Row],[Country]],'Country-Region'!A:D,4,0)</f>
        <v>France and Switzerland Region</v>
      </c>
      <c r="Z59" t="str">
        <f>VLOOKUP(Conso_FCST[[#This Row],[Country]],'Country-Region'!A:D,3,0)</f>
        <v>France</v>
      </c>
      <c r="AA59" t="str">
        <f>IFERROR(VLOOKUP(Conso_FCST[[#This Row],[Model name]],Prod_T6[[#All],[Model name]:[Product Conso]],2,0),"exclude")</f>
        <v>Gen2 1P 6kw</v>
      </c>
    </row>
    <row r="60" spans="1:27" hidden="1">
      <c r="A60" t="s">
        <v>30</v>
      </c>
      <c r="B60" t="s">
        <v>185</v>
      </c>
      <c r="C60" t="s">
        <v>186</v>
      </c>
      <c r="D60" t="s">
        <v>54</v>
      </c>
      <c r="E60" t="s">
        <v>201</v>
      </c>
      <c r="F60" t="s">
        <v>120</v>
      </c>
      <c r="H60" s="184" t="s">
        <v>117</v>
      </c>
      <c r="I60">
        <v>0.4</v>
      </c>
      <c r="J60">
        <v>0.4</v>
      </c>
      <c r="K60">
        <v>0.4</v>
      </c>
      <c r="L60">
        <v>0.4</v>
      </c>
      <c r="M60">
        <v>0.4</v>
      </c>
      <c r="N60">
        <v>0</v>
      </c>
      <c r="O60">
        <v>0</v>
      </c>
      <c r="P60">
        <v>0</v>
      </c>
      <c r="Q60">
        <v>0</v>
      </c>
      <c r="X60" t="s">
        <v>70</v>
      </c>
      <c r="Y60" t="str">
        <f>VLOOKUP(Conso_FCST[[#This Row],[Country]],'Country-Region'!A:D,4,0)</f>
        <v>France and Switzerland Region</v>
      </c>
      <c r="Z60" t="str">
        <f>VLOOKUP(Conso_FCST[[#This Row],[Country]],'Country-Region'!A:D,3,0)</f>
        <v>France</v>
      </c>
      <c r="AA60" t="str">
        <f>IFERROR(VLOOKUP(Conso_FCST[[#This Row],[Model name]],Prod_T6[[#All],[Model name]:[Product Conso]],2,0),"exclude")</f>
        <v>HSM-ND48-DR CFP</v>
      </c>
    </row>
    <row r="61" spans="1:27" hidden="1">
      <c r="A61" t="s">
        <v>30</v>
      </c>
      <c r="B61" t="s">
        <v>188</v>
      </c>
      <c r="C61" t="s">
        <v>186</v>
      </c>
      <c r="D61" t="s">
        <v>54</v>
      </c>
      <c r="E61" t="s">
        <v>121</v>
      </c>
      <c r="F61" t="s">
        <v>120</v>
      </c>
      <c r="H61" s="184" t="s">
        <v>117</v>
      </c>
      <c r="I61">
        <v>1.2</v>
      </c>
      <c r="J61">
        <v>1.2</v>
      </c>
      <c r="K61">
        <v>2</v>
      </c>
      <c r="L61">
        <v>2</v>
      </c>
      <c r="M61">
        <v>0.2</v>
      </c>
      <c r="N61">
        <v>0.2</v>
      </c>
      <c r="O61">
        <v>0.4</v>
      </c>
      <c r="P61">
        <v>0.4</v>
      </c>
      <c r="Q61">
        <v>0.4</v>
      </c>
      <c r="X61" t="s">
        <v>70</v>
      </c>
      <c r="Y61" t="str">
        <f>VLOOKUP(Conso_FCST[[#This Row],[Country]],'Country-Region'!A:D,4,0)</f>
        <v>France and Switzerland Region</v>
      </c>
      <c r="Z61" t="str">
        <f>VLOOKUP(Conso_FCST[[#This Row],[Country]],'Country-Region'!A:D,3,0)</f>
        <v>France</v>
      </c>
      <c r="AA61" t="str">
        <f>IFERROR(VLOOKUP(Conso_FCST[[#This Row],[Model name]],Prod_T6[[#All],[Model name]:[Product Conso]],2,0),"exclude")</f>
        <v>HSM-ND54-DR</v>
      </c>
    </row>
    <row r="62" spans="1:27" hidden="1">
      <c r="A62" t="s">
        <v>30</v>
      </c>
      <c r="B62" t="s">
        <v>188</v>
      </c>
      <c r="C62" t="s">
        <v>186</v>
      </c>
      <c r="D62" t="s">
        <v>54</v>
      </c>
      <c r="E62" t="s">
        <v>202</v>
      </c>
      <c r="F62" t="s">
        <v>120</v>
      </c>
      <c r="H62" s="184" t="s">
        <v>117</v>
      </c>
      <c r="I62">
        <v>0.8</v>
      </c>
      <c r="J62">
        <v>0.8</v>
      </c>
      <c r="K62">
        <v>0.8</v>
      </c>
      <c r="L62">
        <v>0.8</v>
      </c>
      <c r="O62">
        <v>0.4</v>
      </c>
      <c r="P62">
        <v>0.4</v>
      </c>
      <c r="Q62">
        <v>0.4</v>
      </c>
      <c r="X62" t="s">
        <v>70</v>
      </c>
      <c r="Y62" t="str">
        <f>VLOOKUP(Conso_FCST[[#This Row],[Country]],'Country-Region'!A:D,4,0)</f>
        <v>France and Switzerland Region</v>
      </c>
      <c r="Z62" t="str">
        <f>VLOOKUP(Conso_FCST[[#This Row],[Country]],'Country-Region'!A:D,3,0)</f>
        <v>France</v>
      </c>
      <c r="AA62" t="str">
        <f>IFERROR(VLOOKUP(Conso_FCST[[#This Row],[Model name]],Prod_T6[[#All],[Model name]:[Product Conso]],2,0),"exclude")</f>
        <v>HSM-ND54-DR CFP</v>
      </c>
    </row>
    <row r="63" spans="1:27" hidden="1">
      <c r="A63" t="s">
        <v>30</v>
      </c>
      <c r="B63" t="s">
        <v>188</v>
      </c>
      <c r="C63" t="s">
        <v>186</v>
      </c>
      <c r="D63" t="s">
        <v>54</v>
      </c>
      <c r="E63" t="s">
        <v>201</v>
      </c>
      <c r="F63" t="s">
        <v>120</v>
      </c>
      <c r="H63" s="184" t="s">
        <v>117</v>
      </c>
      <c r="I63">
        <v>1.2</v>
      </c>
      <c r="J63">
        <v>1</v>
      </c>
      <c r="K63">
        <v>1</v>
      </c>
      <c r="L63">
        <v>1.2</v>
      </c>
      <c r="M63">
        <v>0.4</v>
      </c>
      <c r="N63">
        <v>0</v>
      </c>
      <c r="O63">
        <v>0</v>
      </c>
      <c r="P63">
        <v>0</v>
      </c>
      <c r="Q63">
        <v>0</v>
      </c>
      <c r="X63" t="s">
        <v>70</v>
      </c>
      <c r="Y63" t="str">
        <f>VLOOKUP(Conso_FCST[[#This Row],[Country]],'Country-Region'!A:D,4,0)</f>
        <v>France and Switzerland Region</v>
      </c>
      <c r="Z63" t="str">
        <f>VLOOKUP(Conso_FCST[[#This Row],[Country]],'Country-Region'!A:D,3,0)</f>
        <v>France</v>
      </c>
      <c r="AA63" t="str">
        <f>IFERROR(VLOOKUP(Conso_FCST[[#This Row],[Model name]],Prod_T6[[#All],[Model name]:[Product Conso]],2,0),"exclude")</f>
        <v>HSM-ND48-DR CFP</v>
      </c>
    </row>
    <row r="64" spans="1:27" hidden="1">
      <c r="A64" t="s">
        <v>30</v>
      </c>
      <c r="B64" t="s">
        <v>189</v>
      </c>
      <c r="C64" t="s">
        <v>186</v>
      </c>
      <c r="D64" t="s">
        <v>54</v>
      </c>
      <c r="E64" t="s">
        <v>121</v>
      </c>
      <c r="F64" t="s">
        <v>120</v>
      </c>
      <c r="H64" s="184" t="s">
        <v>117</v>
      </c>
      <c r="I64">
        <v>1.2</v>
      </c>
      <c r="J64">
        <v>0.8</v>
      </c>
      <c r="K64">
        <v>0.8</v>
      </c>
      <c r="L64">
        <v>0.8</v>
      </c>
      <c r="M64">
        <v>0.4</v>
      </c>
      <c r="N64">
        <v>0.4</v>
      </c>
      <c r="O64">
        <v>0.4</v>
      </c>
      <c r="P64">
        <v>0.4</v>
      </c>
      <c r="Q64">
        <v>0.4</v>
      </c>
      <c r="X64" t="s">
        <v>70</v>
      </c>
      <c r="Y64" t="str">
        <f>VLOOKUP(Conso_FCST[[#This Row],[Country]],'Country-Region'!A:D,4,0)</f>
        <v>France and Switzerland Region</v>
      </c>
      <c r="Z64" t="str">
        <f>VLOOKUP(Conso_FCST[[#This Row],[Country]],'Country-Region'!A:D,3,0)</f>
        <v>France</v>
      </c>
      <c r="AA64" t="str">
        <f>IFERROR(VLOOKUP(Conso_FCST[[#This Row],[Model name]],Prod_T6[[#All],[Model name]:[Product Conso]],2,0),"exclude")</f>
        <v>HSM-ND54-DR</v>
      </c>
    </row>
    <row r="65" spans="1:27" hidden="1">
      <c r="A65" t="s">
        <v>30</v>
      </c>
      <c r="B65" t="s">
        <v>188</v>
      </c>
      <c r="D65" t="s">
        <v>197</v>
      </c>
      <c r="E65" t="s">
        <v>62</v>
      </c>
      <c r="F65" t="s">
        <v>120</v>
      </c>
      <c r="H65" s="184" t="s">
        <v>117</v>
      </c>
      <c r="I65">
        <v>4</v>
      </c>
      <c r="J65">
        <v>0</v>
      </c>
      <c r="K65">
        <v>0</v>
      </c>
      <c r="L65">
        <v>0</v>
      </c>
      <c r="M65">
        <v>2</v>
      </c>
      <c r="N65">
        <v>2</v>
      </c>
      <c r="O65">
        <v>2</v>
      </c>
      <c r="P65">
        <v>2</v>
      </c>
      <c r="Q65">
        <v>2</v>
      </c>
      <c r="X65" t="s">
        <v>27</v>
      </c>
      <c r="Y65" t="str">
        <f>VLOOKUP(Conso_FCST[[#This Row],[Country]],'Country-Region'!A:D,4,0)</f>
        <v>France and Switzerland Region</v>
      </c>
      <c r="Z65" t="str">
        <f>VLOOKUP(Conso_FCST[[#This Row],[Country]],'Country-Region'!A:D,3,0)</f>
        <v>France</v>
      </c>
      <c r="AA65" t="str">
        <f>IFERROR(VLOOKUP(Conso_FCST[[#This Row],[Model name]],Prod_T6[[#All],[Model name]:[Product Conso]],2,0),"exclude")</f>
        <v>Gen2 3P 13kw</v>
      </c>
    </row>
    <row r="66" spans="1:27" hidden="1">
      <c r="A66" t="s">
        <v>30</v>
      </c>
      <c r="B66" t="s">
        <v>188</v>
      </c>
      <c r="C66" t="s">
        <v>186</v>
      </c>
      <c r="D66" t="s">
        <v>197</v>
      </c>
      <c r="E66" t="s">
        <v>61</v>
      </c>
      <c r="F66" t="s">
        <v>120</v>
      </c>
      <c r="H66" s="184" t="s">
        <v>117</v>
      </c>
      <c r="I66">
        <v>4</v>
      </c>
      <c r="J66">
        <v>0</v>
      </c>
      <c r="K66">
        <v>0</v>
      </c>
      <c r="L66">
        <v>8</v>
      </c>
      <c r="M66">
        <v>0</v>
      </c>
      <c r="N66">
        <v>3</v>
      </c>
      <c r="O66">
        <v>3</v>
      </c>
      <c r="P66">
        <v>3</v>
      </c>
      <c r="Q66">
        <v>3</v>
      </c>
      <c r="X66" t="s">
        <v>27</v>
      </c>
      <c r="Y66" t="str">
        <f>VLOOKUP(Conso_FCST[[#This Row],[Country]],'Country-Region'!A:D,4,0)</f>
        <v>France and Switzerland Region</v>
      </c>
      <c r="Z66" t="str">
        <f>VLOOKUP(Conso_FCST[[#This Row],[Country]],'Country-Region'!A:D,3,0)</f>
        <v>France</v>
      </c>
      <c r="AA66" t="str">
        <f>IFERROR(VLOOKUP(Conso_FCST[[#This Row],[Model name]],Prod_T6[[#All],[Model name]:[Product Conso]],2,0),"exclude")</f>
        <v>Gen2 3P 10kw</v>
      </c>
    </row>
    <row r="67" spans="1:27" hidden="1">
      <c r="A67" t="s">
        <v>30</v>
      </c>
      <c r="B67" t="s">
        <v>200</v>
      </c>
      <c r="C67" t="s">
        <v>186</v>
      </c>
      <c r="D67" t="s">
        <v>54</v>
      </c>
      <c r="E67" t="s">
        <v>121</v>
      </c>
      <c r="F67" t="s">
        <v>120</v>
      </c>
      <c r="H67" s="184" t="s">
        <v>117</v>
      </c>
      <c r="I67">
        <v>0.8</v>
      </c>
      <c r="J67">
        <v>0.8</v>
      </c>
      <c r="K67">
        <v>0.8</v>
      </c>
      <c r="L67">
        <v>0.8</v>
      </c>
      <c r="M67">
        <v>0.4</v>
      </c>
      <c r="N67">
        <v>0.4</v>
      </c>
      <c r="O67">
        <v>0.4</v>
      </c>
      <c r="P67">
        <v>0.4</v>
      </c>
      <c r="Q67">
        <v>0.4</v>
      </c>
      <c r="X67" t="s">
        <v>70</v>
      </c>
      <c r="Y67" t="str">
        <f>VLOOKUP(Conso_FCST[[#This Row],[Country]],'Country-Region'!A:D,4,0)</f>
        <v>France and Switzerland Region</v>
      </c>
      <c r="Z67" t="str">
        <f>VLOOKUP(Conso_FCST[[#This Row],[Country]],'Country-Region'!A:D,3,0)</f>
        <v>France</v>
      </c>
      <c r="AA67" t="str">
        <f>IFERROR(VLOOKUP(Conso_FCST[[#This Row],[Model name]],Prod_T6[[#All],[Model name]:[Product Conso]],2,0),"exclude")</f>
        <v>HSM-ND54-DR</v>
      </c>
    </row>
    <row r="68" spans="1:27" hidden="1">
      <c r="A68" t="s">
        <v>30</v>
      </c>
      <c r="B68" t="s">
        <v>203</v>
      </c>
      <c r="C68" t="s">
        <v>204</v>
      </c>
      <c r="D68" t="s">
        <v>149</v>
      </c>
      <c r="E68" t="s">
        <v>205</v>
      </c>
      <c r="F68" t="s">
        <v>115</v>
      </c>
      <c r="G68" t="s">
        <v>206</v>
      </c>
      <c r="H68" s="184" t="s">
        <v>117</v>
      </c>
      <c r="N68">
        <v>3</v>
      </c>
      <c r="X68" t="s">
        <v>70</v>
      </c>
      <c r="Y68" t="str">
        <f>VLOOKUP(Conso_FCST[[#This Row],[Country]],'Country-Region'!A:D,4,0)</f>
        <v>France and Switzerland Region</v>
      </c>
      <c r="Z68" t="str">
        <f>VLOOKUP(Conso_FCST[[#This Row],[Country]],'Country-Region'!A:D,3,0)</f>
        <v>France</v>
      </c>
      <c r="AA68" t="str">
        <f>IFERROR(VLOOKUP(Conso_FCST[[#This Row],[Model name]],Prod_T6[[#All],[Model name]:[Product Conso]],2,0),"exclude")</f>
        <v>HSM-NT66-GH CFP</v>
      </c>
    </row>
    <row r="69" spans="1:27" hidden="1">
      <c r="A69" t="s">
        <v>30</v>
      </c>
      <c r="B69" t="s">
        <v>203</v>
      </c>
      <c r="C69" t="s">
        <v>207</v>
      </c>
      <c r="D69" t="s">
        <v>113</v>
      </c>
      <c r="E69" t="s">
        <v>208</v>
      </c>
      <c r="F69" t="s">
        <v>115</v>
      </c>
      <c r="G69" t="s">
        <v>209</v>
      </c>
      <c r="H69" s="184" t="s">
        <v>117</v>
      </c>
      <c r="R69">
        <v>5</v>
      </c>
      <c r="S69">
        <v>5</v>
      </c>
      <c r="T69">
        <v>5</v>
      </c>
      <c r="U69">
        <v>5</v>
      </c>
      <c r="V69">
        <v>5</v>
      </c>
      <c r="W69">
        <v>5</v>
      </c>
      <c r="X69" t="s">
        <v>70</v>
      </c>
      <c r="Y69" t="str">
        <f>VLOOKUP(Conso_FCST[[#This Row],[Country]],'Country-Region'!A:D,4,0)</f>
        <v>France and Switzerland Region</v>
      </c>
      <c r="Z69" t="str">
        <f>VLOOKUP(Conso_FCST[[#This Row],[Country]],'Country-Region'!A:D,3,0)</f>
        <v>France</v>
      </c>
      <c r="AA69" t="str">
        <f>IFERROR(VLOOKUP(Conso_FCST[[#This Row],[Model name]],Prod_T6[[#All],[Model name]:[Product Conso]],2,0),"exclude")</f>
        <v>HSM-BE54-JD CFP</v>
      </c>
    </row>
    <row r="70" spans="1:27" hidden="1">
      <c r="A70" t="s">
        <v>30</v>
      </c>
      <c r="B70" t="s">
        <v>203</v>
      </c>
      <c r="C70" t="s">
        <v>210</v>
      </c>
      <c r="D70" t="s">
        <v>113</v>
      </c>
      <c r="E70" t="s">
        <v>208</v>
      </c>
      <c r="F70" t="s">
        <v>115</v>
      </c>
      <c r="G70" t="s">
        <v>209</v>
      </c>
      <c r="H70" s="184" t="s">
        <v>117</v>
      </c>
      <c r="R70">
        <v>4</v>
      </c>
      <c r="S70">
        <v>4</v>
      </c>
      <c r="T70">
        <v>4</v>
      </c>
      <c r="U70">
        <v>4</v>
      </c>
      <c r="V70">
        <v>4</v>
      </c>
      <c r="W70">
        <v>4</v>
      </c>
      <c r="X70" t="s">
        <v>70</v>
      </c>
      <c r="Y70" t="str">
        <f>VLOOKUP(Conso_FCST[[#This Row],[Country]],'Country-Region'!A:D,4,0)</f>
        <v>France and Switzerland Region</v>
      </c>
      <c r="Z70" t="str">
        <f>VLOOKUP(Conso_FCST[[#This Row],[Country]],'Country-Region'!A:D,3,0)</f>
        <v>France</v>
      </c>
      <c r="AA70" t="str">
        <f>IFERROR(VLOOKUP(Conso_FCST[[#This Row],[Model name]],Prod_T6[[#All],[Model name]:[Product Conso]],2,0),"exclude")</f>
        <v>HSM-BE54-JD CFP</v>
      </c>
    </row>
    <row r="71" spans="1:27" hidden="1">
      <c r="A71" t="s">
        <v>30</v>
      </c>
      <c r="B71" t="s">
        <v>200</v>
      </c>
      <c r="C71" t="s">
        <v>186</v>
      </c>
      <c r="D71" t="s">
        <v>149</v>
      </c>
      <c r="E71" t="s">
        <v>187</v>
      </c>
      <c r="F71" t="s">
        <v>120</v>
      </c>
      <c r="H71" s="184" t="s">
        <v>117</v>
      </c>
      <c r="O71">
        <v>0.8</v>
      </c>
      <c r="X71" t="s">
        <v>70</v>
      </c>
      <c r="Y71" t="str">
        <f>VLOOKUP(Conso_FCST[[#This Row],[Country]],'Country-Region'!A:D,4,0)</f>
        <v>France and Switzerland Region</v>
      </c>
      <c r="Z71" t="str">
        <f>VLOOKUP(Conso_FCST[[#This Row],[Country]],'Country-Region'!A:D,3,0)</f>
        <v>France</v>
      </c>
      <c r="AA71" t="str">
        <f>IFERROR(VLOOKUP(Conso_FCST[[#This Row],[Model name]],Prod_T6[[#All],[Model name]:[Product Conso]],2,0),"exclude")</f>
        <v>HSM-NT48-JH CFP</v>
      </c>
    </row>
    <row r="72" spans="1:27" hidden="1">
      <c r="A72" t="s">
        <v>30</v>
      </c>
      <c r="B72" t="s">
        <v>211</v>
      </c>
      <c r="C72" t="s">
        <v>186</v>
      </c>
      <c r="D72" t="s">
        <v>197</v>
      </c>
      <c r="E72" t="s">
        <v>63</v>
      </c>
      <c r="F72" t="s">
        <v>120</v>
      </c>
      <c r="H72" s="184" t="s">
        <v>117</v>
      </c>
      <c r="L72">
        <v>80</v>
      </c>
      <c r="M72">
        <v>60</v>
      </c>
      <c r="N72">
        <v>120</v>
      </c>
      <c r="O72">
        <v>30</v>
      </c>
      <c r="P72">
        <v>30</v>
      </c>
      <c r="Q72">
        <v>30</v>
      </c>
      <c r="X72" t="s">
        <v>27</v>
      </c>
      <c r="Y72" t="str">
        <f>VLOOKUP(Conso_FCST[[#This Row],[Country]],'Country-Region'!A:D,4,0)</f>
        <v>France and Switzerland Region</v>
      </c>
      <c r="Z72" t="str">
        <f>VLOOKUP(Conso_FCST[[#This Row],[Country]],'Country-Region'!A:D,3,0)</f>
        <v>France</v>
      </c>
      <c r="AA72" t="str">
        <f>IFERROR(VLOOKUP(Conso_FCST[[#This Row],[Model name]],Prod_T6[[#All],[Model name]:[Product Conso]],2,0),"exclude")</f>
        <v>Gen2 BAT 5kWh</v>
      </c>
    </row>
    <row r="73" spans="1:27">
      <c r="A73" t="s">
        <v>30</v>
      </c>
      <c r="B73" t="s">
        <v>188</v>
      </c>
      <c r="C73" t="s">
        <v>212</v>
      </c>
      <c r="D73" t="s">
        <v>141</v>
      </c>
      <c r="E73" t="s">
        <v>46</v>
      </c>
      <c r="F73" t="s">
        <v>213</v>
      </c>
      <c r="H73" s="184" t="s">
        <v>117</v>
      </c>
      <c r="Q73">
        <v>8</v>
      </c>
      <c r="X73" t="s">
        <v>27</v>
      </c>
      <c r="Y73" t="str">
        <f>VLOOKUP(Conso_FCST[[#This Row],[Country]],'Country-Region'!A:D,4,0)</f>
        <v>France and Switzerland Region</v>
      </c>
      <c r="Z73" t="str">
        <f>VLOOKUP(Conso_FCST[[#This Row],[Country]],'Country-Region'!A:D,3,0)</f>
        <v>France</v>
      </c>
      <c r="AA73" t="str">
        <f>IFERROR(VLOOKUP(Conso_FCST[[#This Row],[Model name]],Prod_T6[[#All],[Model name]:[Product Conso]],2,0),"exclude")</f>
        <v>BlueArk X5-50K-100</v>
      </c>
    </row>
    <row r="74" spans="1:27">
      <c r="A74" t="s">
        <v>30</v>
      </c>
      <c r="B74" t="s">
        <v>189</v>
      </c>
      <c r="C74" t="s">
        <v>214</v>
      </c>
      <c r="D74" t="s">
        <v>141</v>
      </c>
      <c r="E74" t="s">
        <v>46</v>
      </c>
      <c r="F74" t="s">
        <v>213</v>
      </c>
      <c r="H74" s="184" t="s">
        <v>117</v>
      </c>
      <c r="Q74">
        <v>1</v>
      </c>
      <c r="X74" t="s">
        <v>27</v>
      </c>
      <c r="Y74" t="str">
        <f>VLOOKUP(Conso_FCST[[#This Row],[Country]],'Country-Region'!A:D,4,0)</f>
        <v>France and Switzerland Region</v>
      </c>
      <c r="Z74" t="str">
        <f>VLOOKUP(Conso_FCST[[#This Row],[Country]],'Country-Region'!A:D,3,0)</f>
        <v>France</v>
      </c>
      <c r="AA74" t="str">
        <f>IFERROR(VLOOKUP(Conso_FCST[[#This Row],[Model name]],Prod_T6[[#All],[Model name]:[Product Conso]],2,0),"exclude")</f>
        <v>BlueArk X5-50K-100</v>
      </c>
    </row>
    <row r="75" spans="1:27">
      <c r="A75" t="s">
        <v>30</v>
      </c>
      <c r="B75" t="s">
        <v>188</v>
      </c>
      <c r="C75" t="s">
        <v>215</v>
      </c>
      <c r="D75" t="s">
        <v>141</v>
      </c>
      <c r="E75" t="s">
        <v>46</v>
      </c>
      <c r="F75" t="s">
        <v>213</v>
      </c>
      <c r="H75" s="184" t="s">
        <v>117</v>
      </c>
      <c r="Q75">
        <v>1</v>
      </c>
      <c r="X75" t="s">
        <v>27</v>
      </c>
      <c r="Y75" t="str">
        <f>VLOOKUP(Conso_FCST[[#This Row],[Country]],'Country-Region'!A:D,4,0)</f>
        <v>France and Switzerland Region</v>
      </c>
      <c r="Z75" t="str">
        <f>VLOOKUP(Conso_FCST[[#This Row],[Country]],'Country-Region'!A:D,3,0)</f>
        <v>France</v>
      </c>
      <c r="AA75" t="str">
        <f>IFERROR(VLOOKUP(Conso_FCST[[#This Row],[Model name]],Prod_T6[[#All],[Model name]:[Product Conso]],2,0),"exclude")</f>
        <v>BlueArk X5-50K-100</v>
      </c>
    </row>
    <row r="76" spans="1:27">
      <c r="A76" t="s">
        <v>30</v>
      </c>
      <c r="B76" t="s">
        <v>198</v>
      </c>
      <c r="C76" t="s">
        <v>216</v>
      </c>
      <c r="D76" t="s">
        <v>141</v>
      </c>
      <c r="E76" t="s">
        <v>46</v>
      </c>
      <c r="F76" t="s">
        <v>213</v>
      </c>
      <c r="H76" s="184" t="s">
        <v>117</v>
      </c>
      <c r="Q76">
        <v>1</v>
      </c>
      <c r="X76" t="s">
        <v>27</v>
      </c>
      <c r="Y76" t="str">
        <f>VLOOKUP(Conso_FCST[[#This Row],[Country]],'Country-Region'!A:D,4,0)</f>
        <v>France and Switzerland Region</v>
      </c>
      <c r="Z76" t="str">
        <f>VLOOKUP(Conso_FCST[[#This Row],[Country]],'Country-Region'!A:D,3,0)</f>
        <v>France</v>
      </c>
      <c r="AA76" t="str">
        <f>IFERROR(VLOOKUP(Conso_FCST[[#This Row],[Model name]],Prod_T6[[#All],[Model name]:[Product Conso]],2,0),"exclude")</f>
        <v>BlueArk X5-50K-100</v>
      </c>
    </row>
    <row r="77" spans="1:27">
      <c r="A77" t="s">
        <v>30</v>
      </c>
      <c r="B77" t="s">
        <v>217</v>
      </c>
      <c r="C77" t="s">
        <v>192</v>
      </c>
      <c r="D77" t="s">
        <v>141</v>
      </c>
      <c r="E77" t="s">
        <v>46</v>
      </c>
      <c r="F77" t="s">
        <v>115</v>
      </c>
      <c r="H77" s="184" t="s">
        <v>117</v>
      </c>
      <c r="Q77">
        <v>2</v>
      </c>
      <c r="X77" t="s">
        <v>27</v>
      </c>
      <c r="Y77" t="str">
        <f>VLOOKUP(Conso_FCST[[#This Row],[Country]],'Country-Region'!A:D,4,0)</f>
        <v>France and Switzerland Region</v>
      </c>
      <c r="Z77" t="str">
        <f>VLOOKUP(Conso_FCST[[#This Row],[Country]],'Country-Region'!A:D,3,0)</f>
        <v>France</v>
      </c>
      <c r="AA77" t="str">
        <f>IFERROR(VLOOKUP(Conso_FCST[[#This Row],[Model name]],Prod_T6[[#All],[Model name]:[Product Conso]],2,0),"exclude")</f>
        <v>BlueArk X5-50K-100</v>
      </c>
    </row>
    <row r="78" spans="1:27">
      <c r="A78" t="s">
        <v>30</v>
      </c>
      <c r="B78" t="s">
        <v>203</v>
      </c>
      <c r="C78" t="s">
        <v>218</v>
      </c>
      <c r="D78" t="s">
        <v>141</v>
      </c>
      <c r="E78" t="s">
        <v>50</v>
      </c>
      <c r="F78" t="s">
        <v>213</v>
      </c>
      <c r="H78" s="184" t="s">
        <v>117</v>
      </c>
      <c r="R78">
        <v>3</v>
      </c>
      <c r="S78">
        <v>3</v>
      </c>
      <c r="X78" t="s">
        <v>27</v>
      </c>
      <c r="Y78" t="str">
        <f>VLOOKUP(Conso_FCST[[#This Row],[Country]],'Country-Region'!A:D,4,0)</f>
        <v>France and Switzerland Region</v>
      </c>
      <c r="Z78" t="str">
        <f>VLOOKUP(Conso_FCST[[#This Row],[Country]],'Country-Region'!A:D,3,0)</f>
        <v>France</v>
      </c>
      <c r="AA78" t="str">
        <f>IFERROR(VLOOKUP(Conso_FCST[[#This Row],[Model name]],Prod_T6[[#All],[Model name]:[Product Conso]],2,0),"exclude")</f>
        <v>BlueArk W10-125K-261</v>
      </c>
    </row>
    <row r="79" spans="1:27">
      <c r="A79" t="s">
        <v>30</v>
      </c>
      <c r="B79" t="s">
        <v>203</v>
      </c>
      <c r="C79" t="s">
        <v>219</v>
      </c>
      <c r="D79" t="s">
        <v>141</v>
      </c>
      <c r="E79" t="s">
        <v>50</v>
      </c>
      <c r="F79" t="s">
        <v>213</v>
      </c>
      <c r="H79" s="184" t="s">
        <v>117</v>
      </c>
      <c r="S79">
        <v>10</v>
      </c>
      <c r="T79">
        <v>10</v>
      </c>
      <c r="U79">
        <v>10</v>
      </c>
      <c r="V79">
        <v>10</v>
      </c>
      <c r="W79">
        <v>10</v>
      </c>
      <c r="X79" t="s">
        <v>27</v>
      </c>
      <c r="Y79" t="str">
        <f>VLOOKUP(Conso_FCST[[#This Row],[Country]],'Country-Region'!A:D,4,0)</f>
        <v>France and Switzerland Region</v>
      </c>
      <c r="Z79" t="str">
        <f>VLOOKUP(Conso_FCST[[#This Row],[Country]],'Country-Region'!A:D,3,0)</f>
        <v>France</v>
      </c>
      <c r="AA79" t="str">
        <f>IFERROR(VLOOKUP(Conso_FCST[[#This Row],[Model name]],Prod_T6[[#All],[Model name]:[Product Conso]],2,0),"exclude")</f>
        <v>BlueArk W10-125K-261</v>
      </c>
    </row>
    <row r="80" spans="1:27">
      <c r="A80" t="s">
        <v>30</v>
      </c>
      <c r="B80" t="s">
        <v>198</v>
      </c>
      <c r="C80" t="s">
        <v>220</v>
      </c>
      <c r="D80" t="s">
        <v>141</v>
      </c>
      <c r="E80" t="s">
        <v>46</v>
      </c>
      <c r="F80" t="s">
        <v>115</v>
      </c>
      <c r="H80" s="184" t="s">
        <v>117</v>
      </c>
      <c r="N80">
        <v>1</v>
      </c>
      <c r="X80" t="s">
        <v>27</v>
      </c>
      <c r="Y80" t="str">
        <f>VLOOKUP(Conso_FCST[[#This Row],[Country]],'Country-Region'!A:D,4,0)</f>
        <v>France and Switzerland Region</v>
      </c>
      <c r="Z80" t="str">
        <f>VLOOKUP(Conso_FCST[[#This Row],[Country]],'Country-Region'!A:D,3,0)</f>
        <v>France</v>
      </c>
      <c r="AA80" t="str">
        <f>IFERROR(VLOOKUP(Conso_FCST[[#This Row],[Model name]],Prod_T6[[#All],[Model name]:[Product Conso]],2,0),"exclude")</f>
        <v>BlueArk X5-50K-100</v>
      </c>
    </row>
    <row r="81" spans="1:27">
      <c r="A81" t="s">
        <v>30</v>
      </c>
      <c r="B81" t="s">
        <v>189</v>
      </c>
      <c r="C81" t="s">
        <v>221</v>
      </c>
      <c r="D81" t="s">
        <v>141</v>
      </c>
      <c r="E81" t="s">
        <v>46</v>
      </c>
      <c r="F81" t="s">
        <v>136</v>
      </c>
      <c r="H81" s="184" t="s">
        <v>117</v>
      </c>
      <c r="N81">
        <v>1</v>
      </c>
      <c r="X81" t="s">
        <v>27</v>
      </c>
      <c r="Y81" t="str">
        <f>VLOOKUP(Conso_FCST[[#This Row],[Country]],'Country-Region'!A:D,4,0)</f>
        <v>France and Switzerland Region</v>
      </c>
      <c r="Z81" t="str">
        <f>VLOOKUP(Conso_FCST[[#This Row],[Country]],'Country-Region'!A:D,3,0)</f>
        <v>France</v>
      </c>
      <c r="AA81" t="str">
        <f>IFERROR(VLOOKUP(Conso_FCST[[#This Row],[Model name]],Prod_T6[[#All],[Model name]:[Product Conso]],2,0),"exclude")</f>
        <v>BlueArk X5-50K-100</v>
      </c>
    </row>
    <row r="82" spans="1:27">
      <c r="A82" t="s">
        <v>30</v>
      </c>
      <c r="B82" t="s">
        <v>188</v>
      </c>
      <c r="C82" t="s">
        <v>212</v>
      </c>
      <c r="D82" t="s">
        <v>141</v>
      </c>
      <c r="E82" t="s">
        <v>46</v>
      </c>
      <c r="F82" t="s">
        <v>120</v>
      </c>
      <c r="H82" s="184" t="s">
        <v>117</v>
      </c>
      <c r="M82">
        <v>1</v>
      </c>
      <c r="X82" t="s">
        <v>27</v>
      </c>
      <c r="Y82" t="str">
        <f>VLOOKUP(Conso_FCST[[#This Row],[Country]],'Country-Region'!A:D,4,0)</f>
        <v>France and Switzerland Region</v>
      </c>
      <c r="Z82" t="str">
        <f>VLOOKUP(Conso_FCST[[#This Row],[Country]],'Country-Region'!A:D,3,0)</f>
        <v>France</v>
      </c>
      <c r="AA82" t="str">
        <f>IFERROR(VLOOKUP(Conso_FCST[[#This Row],[Model name]],Prod_T6[[#All],[Model name]:[Product Conso]],2,0),"exclude")</f>
        <v>BlueArk X5-50K-100</v>
      </c>
    </row>
    <row r="83" spans="1:27">
      <c r="A83" t="s">
        <v>30</v>
      </c>
      <c r="B83" t="s">
        <v>203</v>
      </c>
      <c r="C83" t="s">
        <v>222</v>
      </c>
      <c r="D83" t="s">
        <v>141</v>
      </c>
      <c r="E83" t="s">
        <v>46</v>
      </c>
      <c r="F83" t="s">
        <v>156</v>
      </c>
      <c r="H83" s="184" t="s">
        <v>117</v>
      </c>
      <c r="N83">
        <v>1</v>
      </c>
      <c r="X83" t="s">
        <v>27</v>
      </c>
      <c r="Y83" t="str">
        <f>VLOOKUP(Conso_FCST[[#This Row],[Country]],'Country-Region'!A:D,4,0)</f>
        <v>France and Switzerland Region</v>
      </c>
      <c r="Z83" t="str">
        <f>VLOOKUP(Conso_FCST[[#This Row],[Country]],'Country-Region'!A:D,3,0)</f>
        <v>France</v>
      </c>
      <c r="AA83" t="str">
        <f>IFERROR(VLOOKUP(Conso_FCST[[#This Row],[Model name]],Prod_T6[[#All],[Model name]:[Product Conso]],2,0),"exclude")</f>
        <v>BlueArk X5-50K-100</v>
      </c>
    </row>
    <row r="84" spans="1:27" hidden="1">
      <c r="A84" t="s">
        <v>30</v>
      </c>
      <c r="B84" t="s">
        <v>203</v>
      </c>
      <c r="C84" t="s">
        <v>223</v>
      </c>
      <c r="D84" t="s">
        <v>149</v>
      </c>
      <c r="E84" t="s">
        <v>187</v>
      </c>
      <c r="F84" t="s">
        <v>115</v>
      </c>
      <c r="H84" s="184" t="s">
        <v>117</v>
      </c>
      <c r="O84">
        <v>5</v>
      </c>
      <c r="X84" t="s">
        <v>70</v>
      </c>
      <c r="Y84" t="str">
        <f>VLOOKUP(Conso_FCST[[#This Row],[Country]],'Country-Region'!A:D,4,0)</f>
        <v>France and Switzerland Region</v>
      </c>
      <c r="Z84" t="str">
        <f>VLOOKUP(Conso_FCST[[#This Row],[Country]],'Country-Region'!A:D,3,0)</f>
        <v>France</v>
      </c>
      <c r="AA84" t="str">
        <f>IFERROR(VLOOKUP(Conso_FCST[[#This Row],[Model name]],Prod_T6[[#All],[Model name]:[Product Conso]],2,0),"exclude")</f>
        <v>HSM-NT48-JH CFP</v>
      </c>
    </row>
    <row r="85" spans="1:27" hidden="1">
      <c r="A85" t="s">
        <v>30</v>
      </c>
      <c r="B85" t="s">
        <v>224</v>
      </c>
      <c r="C85" t="s">
        <v>192</v>
      </c>
      <c r="D85" t="s">
        <v>197</v>
      </c>
      <c r="E85" t="s">
        <v>62</v>
      </c>
      <c r="F85" t="s">
        <v>120</v>
      </c>
      <c r="H85" s="184" t="s">
        <v>117</v>
      </c>
      <c r="K85">
        <v>3</v>
      </c>
      <c r="O85">
        <v>4</v>
      </c>
      <c r="X85" t="s">
        <v>27</v>
      </c>
      <c r="Y85" t="str">
        <f>VLOOKUP(Conso_FCST[[#This Row],[Country]],'Country-Region'!A:D,4,0)</f>
        <v>France and Switzerland Region</v>
      </c>
      <c r="Z85" t="str">
        <f>VLOOKUP(Conso_FCST[[#This Row],[Country]],'Country-Region'!A:D,3,0)</f>
        <v>France</v>
      </c>
      <c r="AA85" t="str">
        <f>IFERROR(VLOOKUP(Conso_FCST[[#This Row],[Model name]],Prod_T6[[#All],[Model name]:[Product Conso]],2,0),"exclude")</f>
        <v>Gen2 3P 13kw</v>
      </c>
    </row>
    <row r="86" spans="1:27" hidden="1">
      <c r="A86" t="s">
        <v>30</v>
      </c>
      <c r="B86" t="s">
        <v>224</v>
      </c>
      <c r="C86" t="s">
        <v>192</v>
      </c>
      <c r="D86" t="s">
        <v>197</v>
      </c>
      <c r="E86" t="s">
        <v>60</v>
      </c>
      <c r="F86" t="s">
        <v>120</v>
      </c>
      <c r="H86" s="184" t="s">
        <v>117</v>
      </c>
      <c r="J86">
        <v>4</v>
      </c>
      <c r="M86">
        <v>4</v>
      </c>
      <c r="O86">
        <v>4</v>
      </c>
      <c r="P86">
        <v>4</v>
      </c>
      <c r="X86" t="s">
        <v>27</v>
      </c>
      <c r="Y86" t="str">
        <f>VLOOKUP(Conso_FCST[[#This Row],[Country]],'Country-Region'!A:D,4,0)</f>
        <v>France and Switzerland Region</v>
      </c>
      <c r="Z86" t="str">
        <f>VLOOKUP(Conso_FCST[[#This Row],[Country]],'Country-Region'!A:D,3,0)</f>
        <v>France</v>
      </c>
      <c r="AA86" t="str">
        <f>IFERROR(VLOOKUP(Conso_FCST[[#This Row],[Model name]],Prod_T6[[#All],[Model name]:[Product Conso]],2,0),"exclude")</f>
        <v>Gen2 1P 8kw</v>
      </c>
    </row>
    <row r="87" spans="1:27" hidden="1">
      <c r="A87" t="s">
        <v>30</v>
      </c>
      <c r="B87" t="s">
        <v>203</v>
      </c>
      <c r="C87" t="s">
        <v>225</v>
      </c>
      <c r="D87" t="s">
        <v>149</v>
      </c>
      <c r="E87" t="s">
        <v>195</v>
      </c>
      <c r="F87" t="s">
        <v>115</v>
      </c>
      <c r="G87" t="s">
        <v>226</v>
      </c>
      <c r="H87" s="184" t="s">
        <v>117</v>
      </c>
      <c r="S87">
        <v>4</v>
      </c>
      <c r="X87" t="s">
        <v>70</v>
      </c>
      <c r="Y87" t="str">
        <f>VLOOKUP(Conso_FCST[[#This Row],[Country]],'Country-Region'!A:D,4,0)</f>
        <v>France and Switzerland Region</v>
      </c>
      <c r="Z87" t="str">
        <f>VLOOKUP(Conso_FCST[[#This Row],[Country]],'Country-Region'!A:D,3,0)</f>
        <v>France</v>
      </c>
      <c r="AA87" t="str">
        <f>IFERROR(VLOOKUP(Conso_FCST[[#This Row],[Model name]],Prod_T6[[#All],[Model name]:[Product Conso]],2,0),"exclude")</f>
        <v>HSM-NT48-GH CFP</v>
      </c>
    </row>
    <row r="88" spans="1:27" hidden="1">
      <c r="A88" t="s">
        <v>30</v>
      </c>
      <c r="B88" t="s">
        <v>203</v>
      </c>
      <c r="C88" t="s">
        <v>227</v>
      </c>
      <c r="D88" t="s">
        <v>149</v>
      </c>
      <c r="E88" t="s">
        <v>195</v>
      </c>
      <c r="F88" t="s">
        <v>115</v>
      </c>
      <c r="G88" t="s">
        <v>226</v>
      </c>
      <c r="H88" s="184" t="s">
        <v>117</v>
      </c>
      <c r="R88">
        <v>4</v>
      </c>
      <c r="X88" t="s">
        <v>70</v>
      </c>
      <c r="Y88" t="str">
        <f>VLOOKUP(Conso_FCST[[#This Row],[Country]],'Country-Region'!A:D,4,0)</f>
        <v>France and Switzerland Region</v>
      </c>
      <c r="Z88" t="str">
        <f>VLOOKUP(Conso_FCST[[#This Row],[Country]],'Country-Region'!A:D,3,0)</f>
        <v>France</v>
      </c>
      <c r="AA88" t="str">
        <f>IFERROR(VLOOKUP(Conso_FCST[[#This Row],[Model name]],Prod_T6[[#All],[Model name]:[Product Conso]],2,0),"exclude")</f>
        <v>HSM-NT48-GH CFP</v>
      </c>
    </row>
    <row r="89" spans="1:27" hidden="1">
      <c r="A89" t="s">
        <v>30</v>
      </c>
      <c r="B89" t="s">
        <v>188</v>
      </c>
      <c r="C89" t="s">
        <v>186</v>
      </c>
      <c r="D89" t="s">
        <v>197</v>
      </c>
      <c r="E89" t="s">
        <v>58</v>
      </c>
      <c r="F89" t="s">
        <v>120</v>
      </c>
      <c r="H89" s="184" t="s">
        <v>117</v>
      </c>
      <c r="I89">
        <v>8</v>
      </c>
      <c r="J89">
        <v>0</v>
      </c>
      <c r="K89">
        <v>0</v>
      </c>
      <c r="L89">
        <v>8</v>
      </c>
      <c r="N89">
        <v>5</v>
      </c>
      <c r="O89">
        <v>5</v>
      </c>
      <c r="P89">
        <v>5</v>
      </c>
      <c r="Q89">
        <v>5</v>
      </c>
      <c r="X89" t="s">
        <v>27</v>
      </c>
      <c r="Y89" t="str">
        <f>VLOOKUP(Conso_FCST[[#This Row],[Country]],'Country-Region'!A:D,4,0)</f>
        <v>France and Switzerland Region</v>
      </c>
      <c r="Z89" t="str">
        <f>VLOOKUP(Conso_FCST[[#This Row],[Country]],'Country-Region'!A:D,3,0)</f>
        <v>France</v>
      </c>
      <c r="AA89" t="str">
        <f>IFERROR(VLOOKUP(Conso_FCST[[#This Row],[Model name]],Prod_T6[[#All],[Model name]:[Product Conso]],2,0),"exclude")</f>
        <v>Gen2 1P 10kw</v>
      </c>
    </row>
    <row r="90" spans="1:27" hidden="1">
      <c r="A90" t="s">
        <v>30</v>
      </c>
      <c r="B90" t="s">
        <v>203</v>
      </c>
      <c r="C90" t="s">
        <v>192</v>
      </c>
      <c r="D90" t="s">
        <v>149</v>
      </c>
      <c r="E90" t="s">
        <v>187</v>
      </c>
      <c r="F90" t="s">
        <v>115</v>
      </c>
      <c r="G90" t="s">
        <v>228</v>
      </c>
      <c r="H90" s="184" t="s">
        <v>117</v>
      </c>
      <c r="Q90">
        <v>5</v>
      </c>
      <c r="X90" t="s">
        <v>70</v>
      </c>
      <c r="Y90" t="str">
        <f>VLOOKUP(Conso_FCST[[#This Row],[Country]],'Country-Region'!A:D,4,0)</f>
        <v>France and Switzerland Region</v>
      </c>
      <c r="Z90" t="str">
        <f>VLOOKUP(Conso_FCST[[#This Row],[Country]],'Country-Region'!A:D,3,0)</f>
        <v>France</v>
      </c>
      <c r="AA90" t="str">
        <f>IFERROR(VLOOKUP(Conso_FCST[[#This Row],[Model name]],Prod_T6[[#All],[Model name]:[Product Conso]],2,0),"exclude")</f>
        <v>HSM-NT48-JH CFP</v>
      </c>
    </row>
    <row r="91" spans="1:27" hidden="1">
      <c r="A91" t="s">
        <v>30</v>
      </c>
      <c r="B91" t="s">
        <v>199</v>
      </c>
      <c r="C91" t="s">
        <v>186</v>
      </c>
      <c r="D91" t="s">
        <v>197</v>
      </c>
      <c r="E91" t="s">
        <v>229</v>
      </c>
      <c r="F91" t="s">
        <v>120</v>
      </c>
      <c r="H91" s="184" t="s">
        <v>117</v>
      </c>
      <c r="I91">
        <v>8</v>
      </c>
      <c r="J91">
        <v>0</v>
      </c>
      <c r="K91">
        <v>0</v>
      </c>
      <c r="L91">
        <v>16</v>
      </c>
      <c r="M91">
        <v>12</v>
      </c>
      <c r="N91">
        <v>8</v>
      </c>
      <c r="O91">
        <v>8</v>
      </c>
      <c r="P91">
        <v>8</v>
      </c>
      <c r="Q91">
        <v>8</v>
      </c>
      <c r="X91" t="s">
        <v>27</v>
      </c>
      <c r="Y91" t="str">
        <f>VLOOKUP(Conso_FCST[[#This Row],[Country]],'Country-Region'!A:D,4,0)</f>
        <v>France and Switzerland Region</v>
      </c>
      <c r="Z91" t="str">
        <f>VLOOKUP(Conso_FCST[[#This Row],[Country]],'Country-Region'!A:D,3,0)</f>
        <v>France</v>
      </c>
      <c r="AA91" t="str">
        <f>IFERROR(VLOOKUP(Conso_FCST[[#This Row],[Model name]],Prod_T6[[#All],[Model name]:[Product Conso]],2,0),"exclude")</f>
        <v>Gen2 1P 6kw</v>
      </c>
    </row>
    <row r="92" spans="1:27" hidden="1">
      <c r="A92" t="s">
        <v>30</v>
      </c>
      <c r="B92" t="s">
        <v>188</v>
      </c>
      <c r="C92" t="s">
        <v>186</v>
      </c>
      <c r="D92" t="s">
        <v>197</v>
      </c>
      <c r="E92" t="s">
        <v>59</v>
      </c>
      <c r="F92" t="s">
        <v>120</v>
      </c>
      <c r="H92" s="184" t="s">
        <v>117</v>
      </c>
      <c r="I92">
        <v>12</v>
      </c>
      <c r="J92">
        <v>0</v>
      </c>
      <c r="K92">
        <v>0</v>
      </c>
      <c r="L92">
        <v>40</v>
      </c>
      <c r="M92">
        <v>8</v>
      </c>
      <c r="N92">
        <v>25</v>
      </c>
      <c r="O92">
        <v>25</v>
      </c>
      <c r="P92">
        <v>25</v>
      </c>
      <c r="Q92">
        <v>25</v>
      </c>
      <c r="X92" t="s">
        <v>27</v>
      </c>
      <c r="Y92" t="str">
        <f>VLOOKUP(Conso_FCST[[#This Row],[Country]],'Country-Region'!A:D,4,0)</f>
        <v>France and Switzerland Region</v>
      </c>
      <c r="Z92" t="str">
        <f>VLOOKUP(Conso_FCST[[#This Row],[Country]],'Country-Region'!A:D,3,0)</f>
        <v>France</v>
      </c>
      <c r="AA92" t="str">
        <f>IFERROR(VLOOKUP(Conso_FCST[[#This Row],[Model name]],Prod_T6[[#All],[Model name]:[Product Conso]],2,0),"exclude")</f>
        <v>Gen2 1P 6kw</v>
      </c>
    </row>
    <row r="93" spans="1:27" hidden="1">
      <c r="A93" t="s">
        <v>30</v>
      </c>
      <c r="B93" t="s">
        <v>189</v>
      </c>
      <c r="C93" t="s">
        <v>186</v>
      </c>
      <c r="D93" t="s">
        <v>54</v>
      </c>
      <c r="E93" t="s">
        <v>201</v>
      </c>
      <c r="F93" t="s">
        <v>120</v>
      </c>
      <c r="H93" s="184" t="s">
        <v>117</v>
      </c>
      <c r="I93">
        <v>0.8</v>
      </c>
      <c r="J93">
        <v>0.4</v>
      </c>
      <c r="K93">
        <v>0.4</v>
      </c>
      <c r="L93">
        <v>0.8</v>
      </c>
      <c r="M93">
        <v>0.4</v>
      </c>
      <c r="N93">
        <v>0</v>
      </c>
      <c r="O93">
        <v>0</v>
      </c>
      <c r="P93">
        <v>0</v>
      </c>
      <c r="Q93">
        <v>0</v>
      </c>
      <c r="X93" t="s">
        <v>70</v>
      </c>
      <c r="Y93" t="str">
        <f>VLOOKUP(Conso_FCST[[#This Row],[Country]],'Country-Region'!A:D,4,0)</f>
        <v>France and Switzerland Region</v>
      </c>
      <c r="Z93" t="str">
        <f>VLOOKUP(Conso_FCST[[#This Row],[Country]],'Country-Region'!A:D,3,0)</f>
        <v>France</v>
      </c>
      <c r="AA93" t="str">
        <f>IFERROR(VLOOKUP(Conso_FCST[[#This Row],[Model name]],Prod_T6[[#All],[Model name]:[Product Conso]],2,0),"exclude")</f>
        <v>HSM-ND48-DR CFP</v>
      </c>
    </row>
    <row r="94" spans="1:27" hidden="1">
      <c r="A94" t="s">
        <v>30</v>
      </c>
      <c r="B94" t="s">
        <v>200</v>
      </c>
      <c r="C94" t="s">
        <v>186</v>
      </c>
      <c r="D94" t="s">
        <v>118</v>
      </c>
      <c r="E94" t="s">
        <v>123</v>
      </c>
      <c r="F94" t="s">
        <v>120</v>
      </c>
      <c r="H94" s="184" t="s">
        <v>117</v>
      </c>
      <c r="N94">
        <v>0.2</v>
      </c>
      <c r="O94">
        <v>0.1</v>
      </c>
      <c r="P94">
        <v>0.1</v>
      </c>
      <c r="Q94">
        <v>0.1</v>
      </c>
      <c r="X94" t="s">
        <v>70</v>
      </c>
      <c r="Y94" t="str">
        <f>VLOOKUP(Conso_FCST[[#This Row],[Country]],'Country-Region'!A:D,4,0)</f>
        <v>France and Switzerland Region</v>
      </c>
      <c r="Z94" t="str">
        <f>VLOOKUP(Conso_FCST[[#This Row],[Country]],'Country-Region'!A:D,3,0)</f>
        <v>France</v>
      </c>
      <c r="AA94" t="str">
        <f>IFERROR(VLOOKUP(Conso_FCST[[#This Row],[Model name]],Prod_T6[[#All],[Model name]:[Product Conso]],2,0),"exclude")</f>
        <v>P7 RES BLK-P</v>
      </c>
    </row>
    <row r="95" spans="1:27" hidden="1">
      <c r="A95" t="s">
        <v>30</v>
      </c>
      <c r="B95" t="s">
        <v>185</v>
      </c>
      <c r="C95" t="s">
        <v>186</v>
      </c>
      <c r="D95" t="s">
        <v>118</v>
      </c>
      <c r="E95" t="s">
        <v>123</v>
      </c>
      <c r="F95" t="s">
        <v>120</v>
      </c>
      <c r="H95" s="184" t="s">
        <v>117</v>
      </c>
      <c r="I95">
        <v>0.4</v>
      </c>
      <c r="J95">
        <v>0</v>
      </c>
      <c r="K95">
        <v>0.4</v>
      </c>
      <c r="L95">
        <v>0.4</v>
      </c>
      <c r="M95">
        <v>0.2</v>
      </c>
      <c r="N95">
        <v>0.2</v>
      </c>
      <c r="O95">
        <v>0.1</v>
      </c>
      <c r="P95">
        <v>0.1</v>
      </c>
      <c r="Q95">
        <v>0.1</v>
      </c>
      <c r="X95" t="s">
        <v>70</v>
      </c>
      <c r="Y95" t="str">
        <f>VLOOKUP(Conso_FCST[[#This Row],[Country]],'Country-Region'!A:D,4,0)</f>
        <v>France and Switzerland Region</v>
      </c>
      <c r="Z95" t="str">
        <f>VLOOKUP(Conso_FCST[[#This Row],[Country]],'Country-Region'!A:D,3,0)</f>
        <v>France</v>
      </c>
      <c r="AA95" t="str">
        <f>IFERROR(VLOOKUP(Conso_FCST[[#This Row],[Model name]],Prod_T6[[#All],[Model name]:[Product Conso]],2,0),"exclude")</f>
        <v>P7 RES BLK-P</v>
      </c>
    </row>
    <row r="96" spans="1:27" hidden="1">
      <c r="A96" t="s">
        <v>30</v>
      </c>
      <c r="B96" t="s">
        <v>198</v>
      </c>
      <c r="C96" t="s">
        <v>186</v>
      </c>
      <c r="D96" t="s">
        <v>54</v>
      </c>
      <c r="E96" t="s">
        <v>160</v>
      </c>
      <c r="F96" t="s">
        <v>230</v>
      </c>
      <c r="H96" s="184" t="s">
        <v>117</v>
      </c>
      <c r="N96">
        <v>0.87</v>
      </c>
      <c r="O96">
        <v>0.87</v>
      </c>
      <c r="P96">
        <v>0.87</v>
      </c>
      <c r="Q96">
        <v>0.87</v>
      </c>
      <c r="X96" t="s">
        <v>70</v>
      </c>
      <c r="Y96" t="str">
        <f>VLOOKUP(Conso_FCST[[#This Row],[Country]],'Country-Region'!A:D,4,0)</f>
        <v>France and Switzerland Region</v>
      </c>
      <c r="Z96" t="str">
        <f>VLOOKUP(Conso_FCST[[#This Row],[Country]],'Country-Region'!A:D,3,0)</f>
        <v>France</v>
      </c>
      <c r="AA96" t="str">
        <f>IFERROR(VLOOKUP(Conso_FCST[[#This Row],[Model name]],Prod_T6[[#All],[Model name]:[Product Conso]],2,0),"exclude")</f>
        <v>HSM-ND54-DR</v>
      </c>
    </row>
    <row r="97" spans="1:27" hidden="1">
      <c r="A97" t="s">
        <v>30</v>
      </c>
      <c r="B97" t="s">
        <v>188</v>
      </c>
      <c r="C97" t="s">
        <v>186</v>
      </c>
      <c r="D97" t="s">
        <v>118</v>
      </c>
      <c r="E97" t="s">
        <v>123</v>
      </c>
      <c r="F97" t="s">
        <v>120</v>
      </c>
      <c r="H97" s="184" t="s">
        <v>117</v>
      </c>
      <c r="I97">
        <v>0.6</v>
      </c>
      <c r="J97">
        <v>0</v>
      </c>
      <c r="K97">
        <v>0.6</v>
      </c>
      <c r="L97">
        <v>0.6</v>
      </c>
      <c r="M97">
        <v>0.6</v>
      </c>
      <c r="N97">
        <v>0.6</v>
      </c>
      <c r="O97">
        <v>0.4</v>
      </c>
      <c r="P97">
        <v>0.4</v>
      </c>
      <c r="Q97">
        <v>0.4</v>
      </c>
      <c r="X97" t="s">
        <v>70</v>
      </c>
      <c r="Y97" t="str">
        <f>VLOOKUP(Conso_FCST[[#This Row],[Country]],'Country-Region'!A:D,4,0)</f>
        <v>France and Switzerland Region</v>
      </c>
      <c r="Z97" t="str">
        <f>VLOOKUP(Conso_FCST[[#This Row],[Country]],'Country-Region'!A:D,3,0)</f>
        <v>France</v>
      </c>
      <c r="AA97" t="str">
        <f>IFERROR(VLOOKUP(Conso_FCST[[#This Row],[Model name]],Prod_T6[[#All],[Model name]:[Product Conso]],2,0),"exclude")</f>
        <v>P7 RES BLK-P</v>
      </c>
    </row>
    <row r="98" spans="1:27" hidden="1">
      <c r="A98" t="s">
        <v>30</v>
      </c>
      <c r="B98" t="s">
        <v>188</v>
      </c>
      <c r="C98" t="s">
        <v>186</v>
      </c>
      <c r="D98" t="s">
        <v>118</v>
      </c>
      <c r="E98" t="s">
        <v>231</v>
      </c>
      <c r="F98" t="s">
        <v>120</v>
      </c>
      <c r="H98" s="184" t="s">
        <v>117</v>
      </c>
      <c r="I98">
        <v>0.3</v>
      </c>
      <c r="J98">
        <v>0.3</v>
      </c>
      <c r="K98">
        <v>0.5</v>
      </c>
      <c r="O98">
        <v>0</v>
      </c>
      <c r="P98">
        <v>0</v>
      </c>
      <c r="Q98">
        <v>0</v>
      </c>
      <c r="X98" t="s">
        <v>70</v>
      </c>
      <c r="Y98" t="str">
        <f>VLOOKUP(Conso_FCST[[#This Row],[Country]],'Country-Region'!A:D,4,0)</f>
        <v>France and Switzerland Region</v>
      </c>
      <c r="Z98" t="str">
        <f>VLOOKUP(Conso_FCST[[#This Row],[Country]],'Country-Region'!A:D,3,0)</f>
        <v>France</v>
      </c>
      <c r="AA98" t="str">
        <f>IFERROR(VLOOKUP(Conso_FCST[[#This Row],[Model name]],Prod_T6[[#All],[Model name]:[Product Conso]],2,0),"exclude")</f>
        <v>P7 COM S BF CFP</v>
      </c>
    </row>
    <row r="99" spans="1:27" hidden="1">
      <c r="A99" t="s">
        <v>30</v>
      </c>
      <c r="B99" t="s">
        <v>232</v>
      </c>
      <c r="D99" t="s">
        <v>118</v>
      </c>
      <c r="E99" t="s">
        <v>231</v>
      </c>
      <c r="F99" t="s">
        <v>120</v>
      </c>
      <c r="H99" s="184" t="s">
        <v>117</v>
      </c>
      <c r="J99">
        <v>0.3</v>
      </c>
      <c r="X99" t="s">
        <v>70</v>
      </c>
      <c r="Y99" t="str">
        <f>VLOOKUP(Conso_FCST[[#This Row],[Country]],'Country-Region'!A:D,4,0)</f>
        <v>France and Switzerland Region</v>
      </c>
      <c r="Z99" t="str">
        <f>VLOOKUP(Conso_FCST[[#This Row],[Country]],'Country-Region'!A:D,3,0)</f>
        <v>France</v>
      </c>
      <c r="AA99" t="str">
        <f>IFERROR(VLOOKUP(Conso_FCST[[#This Row],[Model name]],Prod_T6[[#All],[Model name]:[Product Conso]],2,0),"exclude")</f>
        <v>P7 COM S BF CFP</v>
      </c>
    </row>
    <row r="100" spans="1:27" hidden="1">
      <c r="A100" t="s">
        <v>30</v>
      </c>
      <c r="B100" t="s">
        <v>233</v>
      </c>
      <c r="D100" t="s">
        <v>118</v>
      </c>
      <c r="E100" t="s">
        <v>231</v>
      </c>
      <c r="F100" t="s">
        <v>120</v>
      </c>
      <c r="H100" s="184" t="s">
        <v>117</v>
      </c>
      <c r="I100">
        <v>0.3</v>
      </c>
      <c r="J100">
        <v>0.3</v>
      </c>
      <c r="K100">
        <v>0.3</v>
      </c>
      <c r="X100" t="s">
        <v>70</v>
      </c>
      <c r="Y100" t="str">
        <f>VLOOKUP(Conso_FCST[[#This Row],[Country]],'Country-Region'!A:D,4,0)</f>
        <v>France and Switzerland Region</v>
      </c>
      <c r="Z100" t="str">
        <f>VLOOKUP(Conso_FCST[[#This Row],[Country]],'Country-Region'!A:D,3,0)</f>
        <v>France</v>
      </c>
      <c r="AA100" t="str">
        <f>IFERROR(VLOOKUP(Conso_FCST[[#This Row],[Model name]],Prod_T6[[#All],[Model name]:[Product Conso]],2,0),"exclude")</f>
        <v>P7 COM S BF CFP</v>
      </c>
    </row>
    <row r="101" spans="1:27" hidden="1">
      <c r="A101" t="s">
        <v>30</v>
      </c>
      <c r="B101" t="s">
        <v>198</v>
      </c>
      <c r="C101" t="s">
        <v>186</v>
      </c>
      <c r="D101" t="s">
        <v>197</v>
      </c>
      <c r="E101" t="s">
        <v>62</v>
      </c>
      <c r="F101" t="s">
        <v>120</v>
      </c>
      <c r="H101" s="184" t="s">
        <v>117</v>
      </c>
      <c r="I101">
        <v>4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8</v>
      </c>
      <c r="P101">
        <v>8</v>
      </c>
      <c r="Q101">
        <v>2</v>
      </c>
      <c r="X101" t="s">
        <v>27</v>
      </c>
      <c r="Y101" t="str">
        <f>VLOOKUP(Conso_FCST[[#This Row],[Country]],'Country-Region'!A:D,4,0)</f>
        <v>France and Switzerland Region</v>
      </c>
      <c r="Z101" t="str">
        <f>VLOOKUP(Conso_FCST[[#This Row],[Country]],'Country-Region'!A:D,3,0)</f>
        <v>France</v>
      </c>
      <c r="AA101" t="str">
        <f>IFERROR(VLOOKUP(Conso_FCST[[#This Row],[Model name]],Prod_T6[[#All],[Model name]:[Product Conso]],2,0),"exclude")</f>
        <v>Gen2 3P 13kw</v>
      </c>
    </row>
    <row r="102" spans="1:27" hidden="1">
      <c r="A102" t="s">
        <v>30</v>
      </c>
      <c r="B102" t="s">
        <v>198</v>
      </c>
      <c r="C102" t="s">
        <v>186</v>
      </c>
      <c r="D102" t="s">
        <v>197</v>
      </c>
      <c r="E102" t="s">
        <v>61</v>
      </c>
      <c r="F102" t="s">
        <v>120</v>
      </c>
      <c r="H102" s="184" t="s">
        <v>117</v>
      </c>
      <c r="I102">
        <v>4</v>
      </c>
      <c r="J102">
        <v>0</v>
      </c>
      <c r="K102">
        <v>0</v>
      </c>
      <c r="L102">
        <v>8</v>
      </c>
      <c r="M102">
        <v>0</v>
      </c>
      <c r="N102">
        <v>4</v>
      </c>
      <c r="O102">
        <v>2</v>
      </c>
      <c r="P102">
        <v>8</v>
      </c>
      <c r="Q102">
        <v>2</v>
      </c>
      <c r="X102" t="s">
        <v>27</v>
      </c>
      <c r="Y102" t="str">
        <f>VLOOKUP(Conso_FCST[[#This Row],[Country]],'Country-Region'!A:D,4,0)</f>
        <v>France and Switzerland Region</v>
      </c>
      <c r="Z102" t="str">
        <f>VLOOKUP(Conso_FCST[[#This Row],[Country]],'Country-Region'!A:D,3,0)</f>
        <v>France</v>
      </c>
      <c r="AA102" t="str">
        <f>IFERROR(VLOOKUP(Conso_FCST[[#This Row],[Model name]],Prod_T6[[#All],[Model name]:[Product Conso]],2,0),"exclude")</f>
        <v>Gen2 3P 10kw</v>
      </c>
    </row>
    <row r="103" spans="1:27" hidden="1">
      <c r="A103" t="s">
        <v>30</v>
      </c>
      <c r="B103" t="s">
        <v>198</v>
      </c>
      <c r="C103" t="s">
        <v>186</v>
      </c>
      <c r="D103" t="s">
        <v>197</v>
      </c>
      <c r="E103" t="s">
        <v>58</v>
      </c>
      <c r="F103" t="s">
        <v>120</v>
      </c>
      <c r="H103" s="184" t="s">
        <v>117</v>
      </c>
      <c r="I103">
        <v>8</v>
      </c>
      <c r="J103">
        <v>0</v>
      </c>
      <c r="K103">
        <v>0</v>
      </c>
      <c r="L103">
        <v>8</v>
      </c>
      <c r="M103">
        <v>8</v>
      </c>
      <c r="N103">
        <v>4</v>
      </c>
      <c r="O103">
        <v>4</v>
      </c>
      <c r="P103">
        <v>4</v>
      </c>
      <c r="Q103">
        <v>4</v>
      </c>
      <c r="X103" t="s">
        <v>27</v>
      </c>
      <c r="Y103" t="str">
        <f>VLOOKUP(Conso_FCST[[#This Row],[Country]],'Country-Region'!A:D,4,0)</f>
        <v>France and Switzerland Region</v>
      </c>
      <c r="Z103" t="str">
        <f>VLOOKUP(Conso_FCST[[#This Row],[Country]],'Country-Region'!A:D,3,0)</f>
        <v>France</v>
      </c>
      <c r="AA103" t="str">
        <f>IFERROR(VLOOKUP(Conso_FCST[[#This Row],[Model name]],Prod_T6[[#All],[Model name]:[Product Conso]],2,0),"exclude")</f>
        <v>Gen2 1P 10kw</v>
      </c>
    </row>
    <row r="104" spans="1:27" hidden="1">
      <c r="A104" t="s">
        <v>30</v>
      </c>
      <c r="B104" t="s">
        <v>198</v>
      </c>
      <c r="C104" t="s">
        <v>186</v>
      </c>
      <c r="D104" t="s">
        <v>197</v>
      </c>
      <c r="E104" t="s">
        <v>59</v>
      </c>
      <c r="F104" t="s">
        <v>120</v>
      </c>
      <c r="H104" s="184" t="s">
        <v>117</v>
      </c>
      <c r="I104">
        <v>8</v>
      </c>
      <c r="J104">
        <v>0</v>
      </c>
      <c r="K104">
        <v>0</v>
      </c>
      <c r="L104">
        <v>8</v>
      </c>
      <c r="M104">
        <v>3</v>
      </c>
      <c r="N104">
        <v>8</v>
      </c>
      <c r="O104">
        <v>8</v>
      </c>
      <c r="P104">
        <v>8</v>
      </c>
      <c r="Q104">
        <v>8</v>
      </c>
      <c r="X104" t="s">
        <v>27</v>
      </c>
      <c r="Y104" t="str">
        <f>VLOOKUP(Conso_FCST[[#This Row],[Country]],'Country-Region'!A:D,4,0)</f>
        <v>France and Switzerland Region</v>
      </c>
      <c r="Z104" t="str">
        <f>VLOOKUP(Conso_FCST[[#This Row],[Country]],'Country-Region'!A:D,3,0)</f>
        <v>France</v>
      </c>
      <c r="AA104" t="str">
        <f>IFERROR(VLOOKUP(Conso_FCST[[#This Row],[Model name]],Prod_T6[[#All],[Model name]:[Product Conso]],2,0),"exclude")</f>
        <v>Gen2 1P 6kw</v>
      </c>
    </row>
    <row r="105" spans="1:27" hidden="1">
      <c r="A105" t="s">
        <v>30</v>
      </c>
      <c r="B105" t="s">
        <v>203</v>
      </c>
      <c r="D105" t="s">
        <v>118</v>
      </c>
      <c r="E105" t="s">
        <v>123</v>
      </c>
      <c r="F105" t="s">
        <v>120</v>
      </c>
      <c r="H105" s="184" t="s">
        <v>117</v>
      </c>
      <c r="J105">
        <v>0</v>
      </c>
      <c r="M105">
        <v>1</v>
      </c>
      <c r="X105" t="s">
        <v>70</v>
      </c>
      <c r="Y105" t="str">
        <f>VLOOKUP(Conso_FCST[[#This Row],[Country]],'Country-Region'!A:D,4,0)</f>
        <v>France and Switzerland Region</v>
      </c>
      <c r="Z105" t="str">
        <f>VLOOKUP(Conso_FCST[[#This Row],[Country]],'Country-Region'!A:D,3,0)</f>
        <v>France</v>
      </c>
      <c r="AA105" t="str">
        <f>IFERROR(VLOOKUP(Conso_FCST[[#This Row],[Model name]],Prod_T6[[#All],[Model name]:[Product Conso]],2,0),"exclude")</f>
        <v>P7 RES BLK-P</v>
      </c>
    </row>
    <row r="106" spans="1:27" hidden="1">
      <c r="A106" t="s">
        <v>30</v>
      </c>
      <c r="B106" t="s">
        <v>189</v>
      </c>
      <c r="C106" t="s">
        <v>186</v>
      </c>
      <c r="D106" t="s">
        <v>118</v>
      </c>
      <c r="E106" t="s">
        <v>123</v>
      </c>
      <c r="F106" t="s">
        <v>120</v>
      </c>
      <c r="H106" s="184" t="s">
        <v>117</v>
      </c>
      <c r="I106">
        <v>0.2</v>
      </c>
      <c r="J106">
        <v>0</v>
      </c>
      <c r="K106">
        <v>0.2</v>
      </c>
      <c r="L106">
        <v>0.4</v>
      </c>
      <c r="M106">
        <v>0.4</v>
      </c>
      <c r="N106">
        <v>0.4</v>
      </c>
      <c r="X106" t="s">
        <v>70</v>
      </c>
      <c r="Y106" t="str">
        <f>VLOOKUP(Conso_FCST[[#This Row],[Country]],'Country-Region'!A:D,4,0)</f>
        <v>France and Switzerland Region</v>
      </c>
      <c r="Z106" t="str">
        <f>VLOOKUP(Conso_FCST[[#This Row],[Country]],'Country-Region'!A:D,3,0)</f>
        <v>France</v>
      </c>
      <c r="AA106" t="str">
        <f>IFERROR(VLOOKUP(Conso_FCST[[#This Row],[Model name]],Prod_T6[[#All],[Model name]:[Product Conso]],2,0),"exclude")</f>
        <v>P7 RES BLK-P</v>
      </c>
    </row>
    <row r="107" spans="1:27" hidden="1">
      <c r="A107" t="s">
        <v>30</v>
      </c>
      <c r="B107" t="s">
        <v>190</v>
      </c>
      <c r="C107" t="s">
        <v>186</v>
      </c>
      <c r="D107" t="s">
        <v>118</v>
      </c>
      <c r="E107" t="s">
        <v>123</v>
      </c>
      <c r="F107" t="s">
        <v>120</v>
      </c>
      <c r="H107" s="184" t="s">
        <v>117</v>
      </c>
      <c r="I107">
        <v>0.2</v>
      </c>
      <c r="J107">
        <v>0</v>
      </c>
      <c r="K107">
        <v>0.2</v>
      </c>
      <c r="L107">
        <v>0.2</v>
      </c>
      <c r="M107">
        <v>0.2</v>
      </c>
      <c r="N107">
        <v>0.2</v>
      </c>
      <c r="O107">
        <v>0.1</v>
      </c>
      <c r="P107">
        <v>0.1</v>
      </c>
      <c r="Q107">
        <v>0.1</v>
      </c>
      <c r="X107" t="s">
        <v>70</v>
      </c>
      <c r="Y107" t="str">
        <f>VLOOKUP(Conso_FCST[[#This Row],[Country]],'Country-Region'!A:D,4,0)</f>
        <v>France and Switzerland Region</v>
      </c>
      <c r="Z107" t="str">
        <f>VLOOKUP(Conso_FCST[[#This Row],[Country]],'Country-Region'!A:D,3,0)</f>
        <v>France</v>
      </c>
      <c r="AA107" t="str">
        <f>IFERROR(VLOOKUP(Conso_FCST[[#This Row],[Model name]],Prod_T6[[#All],[Model name]:[Product Conso]],2,0),"exclude")</f>
        <v>P7 RES BLK-P</v>
      </c>
    </row>
    <row r="108" spans="1:27" hidden="1">
      <c r="A108" t="s">
        <v>30</v>
      </c>
      <c r="B108" t="s">
        <v>198</v>
      </c>
      <c r="C108" t="s">
        <v>186</v>
      </c>
      <c r="D108" t="s">
        <v>118</v>
      </c>
      <c r="E108" t="s">
        <v>123</v>
      </c>
      <c r="F108" t="s">
        <v>120</v>
      </c>
      <c r="H108" s="184" t="s">
        <v>117</v>
      </c>
      <c r="I108">
        <v>0.2</v>
      </c>
      <c r="J108">
        <v>0</v>
      </c>
      <c r="K108">
        <v>0.2</v>
      </c>
      <c r="L108">
        <v>0.2</v>
      </c>
      <c r="M108">
        <v>0.2</v>
      </c>
      <c r="N108">
        <v>0.2</v>
      </c>
      <c r="O108">
        <v>0.2</v>
      </c>
      <c r="P108">
        <v>0.2</v>
      </c>
      <c r="Q108">
        <v>0.2</v>
      </c>
      <c r="X108" t="s">
        <v>70</v>
      </c>
      <c r="Y108" t="str">
        <f>VLOOKUP(Conso_FCST[[#This Row],[Country]],'Country-Region'!A:D,4,0)</f>
        <v>France and Switzerland Region</v>
      </c>
      <c r="Z108" t="str">
        <f>VLOOKUP(Conso_FCST[[#This Row],[Country]],'Country-Region'!A:D,3,0)</f>
        <v>France</v>
      </c>
      <c r="AA108" t="str">
        <f>IFERROR(VLOOKUP(Conso_FCST[[#This Row],[Model name]],Prod_T6[[#All],[Model name]:[Product Conso]],2,0),"exclude")</f>
        <v>P7 RES BLK-P</v>
      </c>
    </row>
    <row r="109" spans="1:27" hidden="1">
      <c r="A109" t="s">
        <v>30</v>
      </c>
      <c r="B109" t="s">
        <v>217</v>
      </c>
      <c r="C109" t="s">
        <v>192</v>
      </c>
      <c r="D109" t="s">
        <v>118</v>
      </c>
      <c r="E109" t="s">
        <v>231</v>
      </c>
      <c r="F109" t="s">
        <v>120</v>
      </c>
      <c r="H109" s="184" t="s">
        <v>117</v>
      </c>
      <c r="J109">
        <v>0.4</v>
      </c>
      <c r="K109">
        <v>0.75</v>
      </c>
      <c r="L109">
        <v>0.51300000000000001</v>
      </c>
      <c r="N109">
        <v>1.135</v>
      </c>
      <c r="O109">
        <v>0.89700000000000002</v>
      </c>
      <c r="P109">
        <v>0.4</v>
      </c>
      <c r="Q109">
        <v>1.25</v>
      </c>
      <c r="X109" t="s">
        <v>70</v>
      </c>
      <c r="Y109" t="str">
        <f>VLOOKUP(Conso_FCST[[#This Row],[Country]],'Country-Region'!A:D,4,0)</f>
        <v>France and Switzerland Region</v>
      </c>
      <c r="Z109" t="str">
        <f>VLOOKUP(Conso_FCST[[#This Row],[Country]],'Country-Region'!A:D,3,0)</f>
        <v>France</v>
      </c>
      <c r="AA109" t="str">
        <f>IFERROR(VLOOKUP(Conso_FCST[[#This Row],[Model name]],Prod_T6[[#All],[Model name]:[Product Conso]],2,0),"exclude")</f>
        <v>P7 COM S BF CFP</v>
      </c>
    </row>
    <row r="110" spans="1:27" hidden="1">
      <c r="A110" t="s">
        <v>30</v>
      </c>
      <c r="B110" t="s">
        <v>199</v>
      </c>
      <c r="C110" t="s">
        <v>186</v>
      </c>
      <c r="D110" t="s">
        <v>118</v>
      </c>
      <c r="E110" t="s">
        <v>123</v>
      </c>
      <c r="F110" t="s">
        <v>120</v>
      </c>
      <c r="H110" s="184" t="s">
        <v>117</v>
      </c>
      <c r="I110">
        <v>0.4</v>
      </c>
      <c r="J110">
        <v>0</v>
      </c>
      <c r="K110">
        <v>0.4</v>
      </c>
      <c r="L110">
        <v>0.4</v>
      </c>
      <c r="M110">
        <v>0.4</v>
      </c>
      <c r="N110">
        <v>0.4</v>
      </c>
      <c r="O110">
        <v>0.4</v>
      </c>
      <c r="P110">
        <v>0.4</v>
      </c>
      <c r="Q110">
        <v>0.4</v>
      </c>
      <c r="X110" t="s">
        <v>70</v>
      </c>
      <c r="Y110" t="str">
        <f>VLOOKUP(Conso_FCST[[#This Row],[Country]],'Country-Region'!A:D,4,0)</f>
        <v>France and Switzerland Region</v>
      </c>
      <c r="Z110" t="str">
        <f>VLOOKUP(Conso_FCST[[#This Row],[Country]],'Country-Region'!A:D,3,0)</f>
        <v>France</v>
      </c>
      <c r="AA110" t="str">
        <f>IFERROR(VLOOKUP(Conso_FCST[[#This Row],[Model name]],Prod_T6[[#All],[Model name]:[Product Conso]],2,0),"exclude")</f>
        <v>P7 RES BLK-P</v>
      </c>
    </row>
    <row r="111" spans="1:27" hidden="1">
      <c r="A111" t="s">
        <v>30</v>
      </c>
      <c r="B111" t="s">
        <v>199</v>
      </c>
      <c r="C111" t="s">
        <v>186</v>
      </c>
      <c r="D111" t="s">
        <v>118</v>
      </c>
      <c r="E111" t="s">
        <v>231</v>
      </c>
      <c r="F111" t="s">
        <v>120</v>
      </c>
      <c r="H111" s="184" t="s">
        <v>117</v>
      </c>
      <c r="I111">
        <v>0.2</v>
      </c>
      <c r="J111">
        <v>0.2</v>
      </c>
      <c r="K111">
        <v>0.2</v>
      </c>
      <c r="L111">
        <v>0.2</v>
      </c>
      <c r="M111">
        <v>0.2</v>
      </c>
      <c r="N111">
        <v>0</v>
      </c>
      <c r="O111">
        <v>0</v>
      </c>
      <c r="P111">
        <v>0</v>
      </c>
      <c r="Q111">
        <v>0</v>
      </c>
      <c r="X111" t="s">
        <v>70</v>
      </c>
      <c r="Y111" t="str">
        <f>VLOOKUP(Conso_FCST[[#This Row],[Country]],'Country-Region'!A:D,4,0)</f>
        <v>France and Switzerland Region</v>
      </c>
      <c r="Z111" t="str">
        <f>VLOOKUP(Conso_FCST[[#This Row],[Country]],'Country-Region'!A:D,3,0)</f>
        <v>France</v>
      </c>
      <c r="AA111" t="str">
        <f>IFERROR(VLOOKUP(Conso_FCST[[#This Row],[Model name]],Prod_T6[[#All],[Model name]:[Product Conso]],2,0),"exclude")</f>
        <v>P7 COM S BF CFP</v>
      </c>
    </row>
    <row r="112" spans="1:27" hidden="1">
      <c r="A112" t="s">
        <v>30</v>
      </c>
      <c r="B112" t="s">
        <v>199</v>
      </c>
      <c r="C112" t="s">
        <v>186</v>
      </c>
      <c r="D112" t="s">
        <v>197</v>
      </c>
      <c r="E112" t="s">
        <v>234</v>
      </c>
      <c r="F112" t="s">
        <v>120</v>
      </c>
      <c r="H112" s="184" t="s">
        <v>117</v>
      </c>
      <c r="I112">
        <v>4</v>
      </c>
      <c r="J112">
        <v>0</v>
      </c>
      <c r="K112">
        <v>0</v>
      </c>
      <c r="L112">
        <v>0</v>
      </c>
      <c r="M112">
        <v>2</v>
      </c>
      <c r="N112">
        <v>2</v>
      </c>
      <c r="O112">
        <v>2</v>
      </c>
      <c r="P112">
        <v>2</v>
      </c>
      <c r="Q112">
        <v>2</v>
      </c>
      <c r="X112" t="s">
        <v>27</v>
      </c>
      <c r="Y112" t="str">
        <f>VLOOKUP(Conso_FCST[[#This Row],[Country]],'Country-Region'!A:D,4,0)</f>
        <v>France and Switzerland Region</v>
      </c>
      <c r="Z112" t="str">
        <f>VLOOKUP(Conso_FCST[[#This Row],[Country]],'Country-Region'!A:D,3,0)</f>
        <v>France</v>
      </c>
      <c r="AA112" t="str">
        <f>IFERROR(VLOOKUP(Conso_FCST[[#This Row],[Model name]],Prod_T6[[#All],[Model name]:[Product Conso]],2,0),"exclude")</f>
        <v>Gen2 3P 13kw</v>
      </c>
    </row>
    <row r="113" spans="1:27" hidden="1">
      <c r="A113" t="s">
        <v>30</v>
      </c>
      <c r="B113" t="s">
        <v>199</v>
      </c>
      <c r="C113" t="s">
        <v>186</v>
      </c>
      <c r="D113" t="s">
        <v>197</v>
      </c>
      <c r="E113" t="s">
        <v>235</v>
      </c>
      <c r="F113" t="s">
        <v>120</v>
      </c>
      <c r="H113" s="184" t="s">
        <v>117</v>
      </c>
      <c r="I113">
        <v>4</v>
      </c>
      <c r="J113">
        <v>0</v>
      </c>
      <c r="K113">
        <v>0</v>
      </c>
      <c r="L113">
        <v>0</v>
      </c>
      <c r="M113">
        <v>0</v>
      </c>
      <c r="N113">
        <v>4</v>
      </c>
      <c r="O113">
        <v>0</v>
      </c>
      <c r="P113">
        <v>4</v>
      </c>
      <c r="Q113">
        <v>4</v>
      </c>
      <c r="X113" t="s">
        <v>27</v>
      </c>
      <c r="Y113" t="str">
        <f>VLOOKUP(Conso_FCST[[#This Row],[Country]],'Country-Region'!A:D,4,0)</f>
        <v>France and Switzerland Region</v>
      </c>
      <c r="Z113" t="str">
        <f>VLOOKUP(Conso_FCST[[#This Row],[Country]],'Country-Region'!A:D,3,0)</f>
        <v>France</v>
      </c>
      <c r="AA113" t="str">
        <f>IFERROR(VLOOKUP(Conso_FCST[[#This Row],[Model name]],Prod_T6[[#All],[Model name]:[Product Conso]],2,0),"exclude")</f>
        <v>Gen2 3P 10kw</v>
      </c>
    </row>
    <row r="114" spans="1:27" hidden="1">
      <c r="A114" t="s">
        <v>30</v>
      </c>
      <c r="B114" t="s">
        <v>199</v>
      </c>
      <c r="C114" t="s">
        <v>186</v>
      </c>
      <c r="D114" t="s">
        <v>197</v>
      </c>
      <c r="E114" t="s">
        <v>236</v>
      </c>
      <c r="F114" t="s">
        <v>120</v>
      </c>
      <c r="H114" s="184" t="s">
        <v>117</v>
      </c>
      <c r="I114">
        <v>4</v>
      </c>
      <c r="J114">
        <v>0</v>
      </c>
      <c r="K114">
        <v>0</v>
      </c>
      <c r="L114">
        <v>4</v>
      </c>
      <c r="M114">
        <v>4</v>
      </c>
      <c r="N114">
        <v>4</v>
      </c>
      <c r="O114">
        <v>4</v>
      </c>
      <c r="P114">
        <v>4</v>
      </c>
      <c r="Q114">
        <v>4</v>
      </c>
      <c r="X114" t="s">
        <v>27</v>
      </c>
      <c r="Y114" t="str">
        <f>VLOOKUP(Conso_FCST[[#This Row],[Country]],'Country-Region'!A:D,4,0)</f>
        <v>France and Switzerland Region</v>
      </c>
      <c r="Z114" t="str">
        <f>VLOOKUP(Conso_FCST[[#This Row],[Country]],'Country-Region'!A:D,3,0)</f>
        <v>France</v>
      </c>
      <c r="AA114" t="str">
        <f>IFERROR(VLOOKUP(Conso_FCST[[#This Row],[Model name]],Prod_T6[[#All],[Model name]:[Product Conso]],2,0),"exclude")</f>
        <v>Gen2 1P 10kw</v>
      </c>
    </row>
    <row r="115" spans="1:27" hidden="1">
      <c r="A115" t="s">
        <v>30</v>
      </c>
      <c r="B115" t="s">
        <v>190</v>
      </c>
      <c r="C115" t="s">
        <v>186</v>
      </c>
      <c r="D115" t="s">
        <v>197</v>
      </c>
      <c r="E115" t="s">
        <v>59</v>
      </c>
      <c r="F115" t="s">
        <v>120</v>
      </c>
      <c r="H115" s="184" t="s">
        <v>117</v>
      </c>
      <c r="I115">
        <v>4</v>
      </c>
      <c r="J115">
        <v>0</v>
      </c>
      <c r="K115">
        <v>0</v>
      </c>
      <c r="X115" t="s">
        <v>27</v>
      </c>
      <c r="Y115" t="str">
        <f>VLOOKUP(Conso_FCST[[#This Row],[Country]],'Country-Region'!A:D,4,0)</f>
        <v>France and Switzerland Region</v>
      </c>
      <c r="Z115" t="str">
        <f>VLOOKUP(Conso_FCST[[#This Row],[Country]],'Country-Region'!A:D,3,0)</f>
        <v>France</v>
      </c>
      <c r="AA115" t="str">
        <f>IFERROR(VLOOKUP(Conso_FCST[[#This Row],[Model name]],Prod_T6[[#All],[Model name]:[Product Conso]],2,0),"exclude")</f>
        <v>Gen2 1P 6kw</v>
      </c>
    </row>
    <row r="116" spans="1:27" hidden="1">
      <c r="A116" t="s">
        <v>30</v>
      </c>
      <c r="B116" t="s">
        <v>237</v>
      </c>
      <c r="C116" t="s">
        <v>192</v>
      </c>
      <c r="D116" t="s">
        <v>118</v>
      </c>
      <c r="E116" t="s">
        <v>123</v>
      </c>
      <c r="F116" t="s">
        <v>120</v>
      </c>
      <c r="H116" s="184" t="s">
        <v>117</v>
      </c>
      <c r="L116">
        <v>0.14399999999999999</v>
      </c>
      <c r="N116">
        <v>0.14399999999999999</v>
      </c>
      <c r="X116" t="s">
        <v>70</v>
      </c>
      <c r="Y116" t="str">
        <f>VLOOKUP(Conso_FCST[[#This Row],[Country]],'Country-Region'!A:D,4,0)</f>
        <v>France and Switzerland Region</v>
      </c>
      <c r="Z116" t="str">
        <f>VLOOKUP(Conso_FCST[[#This Row],[Country]],'Country-Region'!A:D,3,0)</f>
        <v>France</v>
      </c>
      <c r="AA116" t="str">
        <f>IFERROR(VLOOKUP(Conso_FCST[[#This Row],[Model name]],Prod_T6[[#All],[Model name]:[Product Conso]],2,0),"exclude")</f>
        <v>P7 RES BLK-P</v>
      </c>
    </row>
    <row r="117" spans="1:27" hidden="1">
      <c r="A117" t="s">
        <v>30</v>
      </c>
      <c r="B117" t="s">
        <v>199</v>
      </c>
      <c r="C117" t="s">
        <v>186</v>
      </c>
      <c r="D117" t="s">
        <v>54</v>
      </c>
      <c r="E117" t="s">
        <v>201</v>
      </c>
      <c r="F117" t="s">
        <v>120</v>
      </c>
      <c r="H117" s="184" t="s">
        <v>117</v>
      </c>
      <c r="I117">
        <v>0.4</v>
      </c>
      <c r="J117">
        <v>0.4</v>
      </c>
      <c r="K117">
        <v>0.4</v>
      </c>
      <c r="L117">
        <v>0.4</v>
      </c>
      <c r="M117">
        <v>0</v>
      </c>
      <c r="N117">
        <v>0.4</v>
      </c>
      <c r="O117">
        <v>0</v>
      </c>
      <c r="P117">
        <v>0</v>
      </c>
      <c r="Q117">
        <v>0</v>
      </c>
      <c r="X117" t="s">
        <v>70</v>
      </c>
      <c r="Y117" t="str">
        <f>VLOOKUP(Conso_FCST[[#This Row],[Country]],'Country-Region'!A:D,4,0)</f>
        <v>France and Switzerland Region</v>
      </c>
      <c r="Z117" t="str">
        <f>VLOOKUP(Conso_FCST[[#This Row],[Country]],'Country-Region'!A:D,3,0)</f>
        <v>France</v>
      </c>
      <c r="AA117" t="str">
        <f>IFERROR(VLOOKUP(Conso_FCST[[#This Row],[Model name]],Prod_T6[[#All],[Model name]:[Product Conso]],2,0),"exclude")</f>
        <v>HSM-ND48-DR CFP</v>
      </c>
    </row>
    <row r="118" spans="1:27" hidden="1">
      <c r="A118" t="s">
        <v>30</v>
      </c>
      <c r="B118" t="s">
        <v>199</v>
      </c>
      <c r="C118" t="s">
        <v>186</v>
      </c>
      <c r="D118" t="s">
        <v>54</v>
      </c>
      <c r="E118" t="s">
        <v>202</v>
      </c>
      <c r="F118" t="s">
        <v>120</v>
      </c>
      <c r="H118" s="184" t="s">
        <v>117</v>
      </c>
      <c r="I118">
        <v>0.8</v>
      </c>
      <c r="J118">
        <v>0.8</v>
      </c>
      <c r="K118">
        <v>0.8</v>
      </c>
      <c r="L118">
        <v>0.8</v>
      </c>
      <c r="M118">
        <v>2.16</v>
      </c>
      <c r="N118">
        <v>1.296</v>
      </c>
      <c r="O118">
        <v>0.8</v>
      </c>
      <c r="P118">
        <v>0.8</v>
      </c>
      <c r="Q118">
        <v>0.8</v>
      </c>
      <c r="X118" t="s">
        <v>70</v>
      </c>
      <c r="Y118" t="str">
        <f>VLOOKUP(Conso_FCST[[#This Row],[Country]],'Country-Region'!A:D,4,0)</f>
        <v>France and Switzerland Region</v>
      </c>
      <c r="Z118" t="str">
        <f>VLOOKUP(Conso_FCST[[#This Row],[Country]],'Country-Region'!A:D,3,0)</f>
        <v>France</v>
      </c>
      <c r="AA118" t="str">
        <f>IFERROR(VLOOKUP(Conso_FCST[[#This Row],[Model name]],Prod_T6[[#All],[Model name]:[Product Conso]],2,0),"exclude")</f>
        <v>HSM-ND54-DR CFP</v>
      </c>
    </row>
    <row r="119" spans="1:27" hidden="1">
      <c r="A119" t="s">
        <v>30</v>
      </c>
      <c r="B119" t="s">
        <v>190</v>
      </c>
      <c r="C119" t="s">
        <v>186</v>
      </c>
      <c r="D119" t="s">
        <v>54</v>
      </c>
      <c r="E119" t="s">
        <v>121</v>
      </c>
      <c r="F119" t="s">
        <v>120</v>
      </c>
      <c r="H119" s="184" t="s">
        <v>117</v>
      </c>
      <c r="I119">
        <v>0.6</v>
      </c>
      <c r="J119">
        <v>1</v>
      </c>
      <c r="K119">
        <v>1</v>
      </c>
      <c r="L119">
        <v>0.6</v>
      </c>
      <c r="M119">
        <v>0.4</v>
      </c>
      <c r="N119">
        <v>0.8</v>
      </c>
      <c r="O119">
        <v>0.4</v>
      </c>
      <c r="P119">
        <v>0.4</v>
      </c>
      <c r="Q119">
        <v>0.4</v>
      </c>
      <c r="X119" t="s">
        <v>70</v>
      </c>
      <c r="Y119" t="str">
        <f>VLOOKUP(Conso_FCST[[#This Row],[Country]],'Country-Region'!A:D,4,0)</f>
        <v>France and Switzerland Region</v>
      </c>
      <c r="Z119" t="str">
        <f>VLOOKUP(Conso_FCST[[#This Row],[Country]],'Country-Region'!A:D,3,0)</f>
        <v>France</v>
      </c>
      <c r="AA119" t="str">
        <f>IFERROR(VLOOKUP(Conso_FCST[[#This Row],[Model name]],Prod_T6[[#All],[Model name]:[Product Conso]],2,0),"exclude")</f>
        <v>HSM-ND54-DR</v>
      </c>
    </row>
    <row r="120" spans="1:27" hidden="1">
      <c r="A120" t="s">
        <v>30</v>
      </c>
      <c r="B120" t="s">
        <v>203</v>
      </c>
      <c r="C120" t="s">
        <v>238</v>
      </c>
      <c r="D120" t="s">
        <v>113</v>
      </c>
      <c r="E120" t="s">
        <v>208</v>
      </c>
      <c r="F120" t="s">
        <v>115</v>
      </c>
      <c r="G120" t="s">
        <v>239</v>
      </c>
      <c r="H120" s="184" t="s">
        <v>117</v>
      </c>
      <c r="R120">
        <v>5</v>
      </c>
      <c r="S120">
        <v>5</v>
      </c>
      <c r="T120">
        <v>5</v>
      </c>
      <c r="U120">
        <v>5</v>
      </c>
      <c r="V120">
        <v>5</v>
      </c>
      <c r="W120">
        <v>5</v>
      </c>
      <c r="X120" t="s">
        <v>70</v>
      </c>
      <c r="Y120" t="str">
        <f>VLOOKUP(Conso_FCST[[#This Row],[Country]],'Country-Region'!A:D,4,0)</f>
        <v>France and Switzerland Region</v>
      </c>
      <c r="Z120" t="str">
        <f>VLOOKUP(Conso_FCST[[#This Row],[Country]],'Country-Region'!A:D,3,0)</f>
        <v>France</v>
      </c>
      <c r="AA120" t="str">
        <f>IFERROR(VLOOKUP(Conso_FCST[[#This Row],[Model name]],Prod_T6[[#All],[Model name]:[Product Conso]],2,0),"exclude")</f>
        <v>HSM-BE54-JD CFP</v>
      </c>
    </row>
    <row r="121" spans="1:27" hidden="1">
      <c r="A121" t="s">
        <v>30</v>
      </c>
      <c r="B121" t="s">
        <v>203</v>
      </c>
      <c r="C121" t="s">
        <v>240</v>
      </c>
      <c r="D121" t="s">
        <v>149</v>
      </c>
      <c r="E121" t="s">
        <v>187</v>
      </c>
      <c r="F121" t="s">
        <v>115</v>
      </c>
      <c r="G121" t="s">
        <v>241</v>
      </c>
      <c r="H121" s="184" t="s">
        <v>117</v>
      </c>
      <c r="P121">
        <v>4</v>
      </c>
      <c r="Q121">
        <v>4</v>
      </c>
      <c r="R121">
        <v>5</v>
      </c>
      <c r="S121">
        <v>5</v>
      </c>
      <c r="T121">
        <v>5</v>
      </c>
      <c r="U121">
        <v>5</v>
      </c>
      <c r="V121">
        <v>5</v>
      </c>
      <c r="W121">
        <v>5</v>
      </c>
      <c r="X121" t="s">
        <v>70</v>
      </c>
      <c r="Y121" t="str">
        <f>VLOOKUP(Conso_FCST[[#This Row],[Country]],'Country-Region'!A:D,4,0)</f>
        <v>France and Switzerland Region</v>
      </c>
      <c r="Z121" t="str">
        <f>VLOOKUP(Conso_FCST[[#This Row],[Country]],'Country-Region'!A:D,3,0)</f>
        <v>France</v>
      </c>
      <c r="AA121" t="str">
        <f>IFERROR(VLOOKUP(Conso_FCST[[#This Row],[Model name]],Prod_T6[[#All],[Model name]:[Product Conso]],2,0),"exclude")</f>
        <v>HSM-NT48-JH CFP</v>
      </c>
    </row>
    <row r="122" spans="1:27" hidden="1">
      <c r="A122" t="s">
        <v>30</v>
      </c>
      <c r="B122" t="s">
        <v>203</v>
      </c>
      <c r="C122" t="s">
        <v>242</v>
      </c>
      <c r="D122" t="s">
        <v>149</v>
      </c>
      <c r="E122" t="s">
        <v>187</v>
      </c>
      <c r="F122" t="s">
        <v>115</v>
      </c>
      <c r="G122" t="s">
        <v>243</v>
      </c>
      <c r="H122" s="184" t="s">
        <v>117</v>
      </c>
      <c r="R122">
        <v>4</v>
      </c>
      <c r="S122">
        <v>4</v>
      </c>
      <c r="T122">
        <v>4</v>
      </c>
      <c r="U122">
        <v>4</v>
      </c>
      <c r="V122">
        <v>4</v>
      </c>
      <c r="W122">
        <v>4</v>
      </c>
      <c r="X122" t="s">
        <v>70</v>
      </c>
      <c r="Y122" t="str">
        <f>VLOOKUP(Conso_FCST[[#This Row],[Country]],'Country-Region'!A:D,4,0)</f>
        <v>France and Switzerland Region</v>
      </c>
      <c r="Z122" t="str">
        <f>VLOOKUP(Conso_FCST[[#This Row],[Country]],'Country-Region'!A:D,3,0)</f>
        <v>France</v>
      </c>
      <c r="AA122" t="str">
        <f>IFERROR(VLOOKUP(Conso_FCST[[#This Row],[Model name]],Prod_T6[[#All],[Model name]:[Product Conso]],2,0),"exclude")</f>
        <v>HSM-NT48-JH CFP</v>
      </c>
    </row>
    <row r="123" spans="1:27" hidden="1">
      <c r="A123" t="s">
        <v>30</v>
      </c>
      <c r="B123" t="s">
        <v>203</v>
      </c>
      <c r="C123" t="s">
        <v>244</v>
      </c>
      <c r="D123" t="s">
        <v>149</v>
      </c>
      <c r="E123" t="s">
        <v>187</v>
      </c>
      <c r="F123" t="s">
        <v>115</v>
      </c>
      <c r="G123" t="s">
        <v>245</v>
      </c>
      <c r="H123" s="184" t="s">
        <v>117</v>
      </c>
      <c r="R123">
        <v>5</v>
      </c>
      <c r="S123">
        <v>5</v>
      </c>
      <c r="T123">
        <v>5</v>
      </c>
      <c r="U123">
        <v>5</v>
      </c>
      <c r="V123">
        <v>5</v>
      </c>
      <c r="W123">
        <v>5</v>
      </c>
      <c r="X123" t="s">
        <v>70</v>
      </c>
      <c r="Y123" t="str">
        <f>VLOOKUP(Conso_FCST[[#This Row],[Country]],'Country-Region'!A:D,4,0)</f>
        <v>France and Switzerland Region</v>
      </c>
      <c r="Z123" t="str">
        <f>VLOOKUP(Conso_FCST[[#This Row],[Country]],'Country-Region'!A:D,3,0)</f>
        <v>France</v>
      </c>
      <c r="AA123" t="str">
        <f>IFERROR(VLOOKUP(Conso_FCST[[#This Row],[Model name]],Prod_T6[[#All],[Model name]:[Product Conso]],2,0),"exclude")</f>
        <v>HSM-NT48-JH CFP</v>
      </c>
    </row>
    <row r="124" spans="1:27" hidden="1">
      <c r="A124" t="s">
        <v>30</v>
      </c>
      <c r="B124" t="s">
        <v>203</v>
      </c>
      <c r="C124" t="s">
        <v>246</v>
      </c>
      <c r="D124" t="s">
        <v>149</v>
      </c>
      <c r="E124" t="s">
        <v>187</v>
      </c>
      <c r="F124" t="s">
        <v>115</v>
      </c>
      <c r="G124" t="s">
        <v>247</v>
      </c>
      <c r="H124" s="184" t="s">
        <v>117</v>
      </c>
      <c r="S124">
        <v>4</v>
      </c>
      <c r="T124">
        <v>4</v>
      </c>
      <c r="X124" t="s">
        <v>70</v>
      </c>
      <c r="Y124" t="str">
        <f>VLOOKUP(Conso_FCST[[#This Row],[Country]],'Country-Region'!A:D,4,0)</f>
        <v>France and Switzerland Region</v>
      </c>
      <c r="Z124" t="str">
        <f>VLOOKUP(Conso_FCST[[#This Row],[Country]],'Country-Region'!A:D,3,0)</f>
        <v>France</v>
      </c>
      <c r="AA124" t="str">
        <f>IFERROR(VLOOKUP(Conso_FCST[[#This Row],[Model name]],Prod_T6[[#All],[Model name]:[Product Conso]],2,0),"exclude")</f>
        <v>HSM-NT48-JH CFP</v>
      </c>
    </row>
    <row r="125" spans="1:27" hidden="1">
      <c r="A125" t="s">
        <v>30</v>
      </c>
      <c r="B125" t="s">
        <v>203</v>
      </c>
      <c r="C125" t="s">
        <v>240</v>
      </c>
      <c r="D125" t="s">
        <v>54</v>
      </c>
      <c r="E125" t="s">
        <v>193</v>
      </c>
      <c r="F125" t="s">
        <v>156</v>
      </c>
      <c r="G125" t="s">
        <v>248</v>
      </c>
      <c r="H125" s="184" t="s">
        <v>117</v>
      </c>
      <c r="I125">
        <v>2.129</v>
      </c>
      <c r="X125" t="s">
        <v>70</v>
      </c>
      <c r="Y125" t="str">
        <f>VLOOKUP(Conso_FCST[[#This Row],[Country]],'Country-Region'!A:D,4,0)</f>
        <v>France and Switzerland Region</v>
      </c>
      <c r="Z125" t="str">
        <f>VLOOKUP(Conso_FCST[[#This Row],[Country]],'Country-Region'!A:D,3,0)</f>
        <v>France</v>
      </c>
      <c r="AA125" t="str">
        <f>IFERROR(VLOOKUP(Conso_FCST[[#This Row],[Model name]],Prod_T6[[#All],[Model name]:[Product Conso]],2,0),"exclude")</f>
        <v>HSM-ND48-DR CFP</v>
      </c>
    </row>
    <row r="126" spans="1:27" hidden="1">
      <c r="A126" t="s">
        <v>30</v>
      </c>
      <c r="B126" t="s">
        <v>203</v>
      </c>
      <c r="C126" t="s">
        <v>240</v>
      </c>
      <c r="D126" t="s">
        <v>54</v>
      </c>
      <c r="E126" t="s">
        <v>201</v>
      </c>
      <c r="F126" t="s">
        <v>156</v>
      </c>
      <c r="G126" t="s">
        <v>248</v>
      </c>
      <c r="H126" s="184" t="s">
        <v>117</v>
      </c>
      <c r="I126">
        <v>2.1</v>
      </c>
      <c r="X126" t="s">
        <v>70</v>
      </c>
      <c r="Y126" t="str">
        <f>VLOOKUP(Conso_FCST[[#This Row],[Country]],'Country-Region'!A:D,4,0)</f>
        <v>France and Switzerland Region</v>
      </c>
      <c r="Z126" t="str">
        <f>VLOOKUP(Conso_FCST[[#This Row],[Country]],'Country-Region'!A:D,3,0)</f>
        <v>France</v>
      </c>
      <c r="AA126" t="str">
        <f>IFERROR(VLOOKUP(Conso_FCST[[#This Row],[Model name]],Prod_T6[[#All],[Model name]:[Product Conso]],2,0),"exclude")</f>
        <v>HSM-ND48-DR CFP</v>
      </c>
    </row>
    <row r="127" spans="1:27" hidden="1">
      <c r="A127" t="s">
        <v>30</v>
      </c>
      <c r="B127" t="s">
        <v>203</v>
      </c>
      <c r="C127" t="s">
        <v>240</v>
      </c>
      <c r="D127" t="s">
        <v>54</v>
      </c>
      <c r="E127" t="s">
        <v>201</v>
      </c>
      <c r="F127" t="s">
        <v>156</v>
      </c>
      <c r="G127" t="s">
        <v>248</v>
      </c>
      <c r="H127" s="184" t="s">
        <v>117</v>
      </c>
      <c r="M127">
        <v>0.84199999999999997</v>
      </c>
      <c r="N127">
        <v>2.1</v>
      </c>
      <c r="X127" t="s">
        <v>70</v>
      </c>
      <c r="Y127" t="str">
        <f>VLOOKUP(Conso_FCST[[#This Row],[Country]],'Country-Region'!A:D,4,0)</f>
        <v>France and Switzerland Region</v>
      </c>
      <c r="Z127" t="str">
        <f>VLOOKUP(Conso_FCST[[#This Row],[Country]],'Country-Region'!A:D,3,0)</f>
        <v>France</v>
      </c>
      <c r="AA127" t="str">
        <f>IFERROR(VLOOKUP(Conso_FCST[[#This Row],[Model name]],Prod_T6[[#All],[Model name]:[Product Conso]],2,0),"exclude")</f>
        <v>HSM-ND48-DR CFP</v>
      </c>
    </row>
    <row r="128" spans="1:27" hidden="1">
      <c r="A128" t="s">
        <v>30</v>
      </c>
      <c r="B128" t="s">
        <v>203</v>
      </c>
      <c r="C128" t="s">
        <v>240</v>
      </c>
      <c r="D128" t="s">
        <v>113</v>
      </c>
      <c r="E128" t="s">
        <v>208</v>
      </c>
      <c r="F128" t="s">
        <v>115</v>
      </c>
      <c r="G128" t="s">
        <v>116</v>
      </c>
      <c r="H128" s="184" t="s">
        <v>117</v>
      </c>
      <c r="S128">
        <v>4</v>
      </c>
      <c r="T128">
        <v>4</v>
      </c>
      <c r="U128">
        <v>4</v>
      </c>
      <c r="V128">
        <v>4</v>
      </c>
      <c r="W128">
        <v>4</v>
      </c>
      <c r="X128" t="s">
        <v>70</v>
      </c>
      <c r="Y128" t="str">
        <f>VLOOKUP(Conso_FCST[[#This Row],[Country]],'Country-Region'!A:D,4,0)</f>
        <v>France and Switzerland Region</v>
      </c>
      <c r="Z128" t="str">
        <f>VLOOKUP(Conso_FCST[[#This Row],[Country]],'Country-Region'!A:D,3,0)</f>
        <v>France</v>
      </c>
      <c r="AA128" t="str">
        <f>IFERROR(VLOOKUP(Conso_FCST[[#This Row],[Model name]],Prod_T6[[#All],[Model name]:[Product Conso]],2,0),"exclude")</f>
        <v>HSM-BE54-JD CFP</v>
      </c>
    </row>
    <row r="129" spans="1:27" hidden="1">
      <c r="A129" t="s">
        <v>30</v>
      </c>
      <c r="B129" t="s">
        <v>189</v>
      </c>
      <c r="C129" t="s">
        <v>186</v>
      </c>
      <c r="D129" t="s">
        <v>54</v>
      </c>
      <c r="E129" t="s">
        <v>202</v>
      </c>
      <c r="F129" t="s">
        <v>120</v>
      </c>
      <c r="H129" s="184" t="s">
        <v>117</v>
      </c>
      <c r="I129">
        <v>0.8</v>
      </c>
      <c r="J129">
        <v>0.8</v>
      </c>
      <c r="K129">
        <v>0.8</v>
      </c>
      <c r="L129">
        <v>0.8</v>
      </c>
      <c r="M129">
        <v>0.8</v>
      </c>
      <c r="N129">
        <v>0.8</v>
      </c>
      <c r="O129">
        <v>0.8</v>
      </c>
      <c r="P129">
        <v>0.8</v>
      </c>
      <c r="Q129">
        <v>0.8</v>
      </c>
      <c r="X129" t="s">
        <v>70</v>
      </c>
      <c r="Y129" t="str">
        <f>VLOOKUP(Conso_FCST[[#This Row],[Country]],'Country-Region'!A:D,4,0)</f>
        <v>France and Switzerland Region</v>
      </c>
      <c r="Z129" t="str">
        <f>VLOOKUP(Conso_FCST[[#This Row],[Country]],'Country-Region'!A:D,3,0)</f>
        <v>France</v>
      </c>
      <c r="AA129" t="str">
        <f>IFERROR(VLOOKUP(Conso_FCST[[#This Row],[Model name]],Prod_T6[[#All],[Model name]:[Product Conso]],2,0),"exclude")</f>
        <v>HSM-ND54-DR CFP</v>
      </c>
    </row>
    <row r="130" spans="1:27" hidden="1">
      <c r="A130" t="s">
        <v>30</v>
      </c>
      <c r="B130" t="s">
        <v>190</v>
      </c>
      <c r="C130" t="s">
        <v>186</v>
      </c>
      <c r="D130" t="s">
        <v>54</v>
      </c>
      <c r="E130" t="s">
        <v>201</v>
      </c>
      <c r="F130" t="s">
        <v>120</v>
      </c>
      <c r="H130" s="184" t="s">
        <v>117</v>
      </c>
      <c r="I130">
        <v>0.4</v>
      </c>
      <c r="J130">
        <v>1</v>
      </c>
      <c r="K130">
        <v>1</v>
      </c>
      <c r="L130">
        <v>0.4</v>
      </c>
      <c r="M130">
        <v>0.4</v>
      </c>
      <c r="N130">
        <v>0</v>
      </c>
      <c r="O130">
        <v>0</v>
      </c>
      <c r="P130">
        <v>0</v>
      </c>
      <c r="Q130">
        <v>0</v>
      </c>
      <c r="X130" t="s">
        <v>70</v>
      </c>
      <c r="Y130" t="str">
        <f>VLOOKUP(Conso_FCST[[#This Row],[Country]],'Country-Region'!A:D,4,0)</f>
        <v>France and Switzerland Region</v>
      </c>
      <c r="Z130" t="str">
        <f>VLOOKUP(Conso_FCST[[#This Row],[Country]],'Country-Region'!A:D,3,0)</f>
        <v>France</v>
      </c>
      <c r="AA130" t="str">
        <f>IFERROR(VLOOKUP(Conso_FCST[[#This Row],[Model name]],Prod_T6[[#All],[Model name]:[Product Conso]],2,0),"exclude")</f>
        <v>HSM-ND48-DR CFP</v>
      </c>
    </row>
    <row r="131" spans="1:27" hidden="1">
      <c r="A131" t="s">
        <v>30</v>
      </c>
      <c r="B131" t="s">
        <v>198</v>
      </c>
      <c r="C131" t="s">
        <v>186</v>
      </c>
      <c r="D131" t="s">
        <v>54</v>
      </c>
      <c r="E131" t="s">
        <v>121</v>
      </c>
      <c r="F131" t="s">
        <v>120</v>
      </c>
      <c r="H131" s="184" t="s">
        <v>117</v>
      </c>
      <c r="I131">
        <v>0.8</v>
      </c>
      <c r="J131">
        <v>0.8</v>
      </c>
      <c r="K131">
        <v>0.8</v>
      </c>
      <c r="L131">
        <v>0.6</v>
      </c>
      <c r="M131">
        <v>0</v>
      </c>
      <c r="N131">
        <v>0</v>
      </c>
      <c r="O131">
        <v>0</v>
      </c>
      <c r="P131">
        <v>0</v>
      </c>
      <c r="Q131">
        <v>0</v>
      </c>
      <c r="X131" t="s">
        <v>70</v>
      </c>
      <c r="Y131" t="str">
        <f>VLOOKUP(Conso_FCST[[#This Row],[Country]],'Country-Region'!A:D,4,0)</f>
        <v>France and Switzerland Region</v>
      </c>
      <c r="Z131" t="str">
        <f>VLOOKUP(Conso_FCST[[#This Row],[Country]],'Country-Region'!A:D,3,0)</f>
        <v>France</v>
      </c>
      <c r="AA131" t="str">
        <f>IFERROR(VLOOKUP(Conso_FCST[[#This Row],[Model name]],Prod_T6[[#All],[Model name]:[Product Conso]],2,0),"exclude")</f>
        <v>HSM-ND54-DR</v>
      </c>
    </row>
    <row r="132" spans="1:27" hidden="1">
      <c r="A132" t="s">
        <v>30</v>
      </c>
      <c r="B132" t="s">
        <v>198</v>
      </c>
      <c r="C132" t="s">
        <v>186</v>
      </c>
      <c r="D132" t="s">
        <v>54</v>
      </c>
      <c r="E132" t="s">
        <v>193</v>
      </c>
      <c r="F132" t="s">
        <v>120</v>
      </c>
      <c r="H132" s="184" t="s">
        <v>132</v>
      </c>
      <c r="M132">
        <v>0.85</v>
      </c>
      <c r="N132">
        <v>0.85</v>
      </c>
      <c r="O132">
        <v>0</v>
      </c>
      <c r="P132">
        <v>0</v>
      </c>
      <c r="Q132">
        <v>0</v>
      </c>
      <c r="X132" t="s">
        <v>70</v>
      </c>
      <c r="Y132" t="str">
        <f>VLOOKUP(Conso_FCST[[#This Row],[Country]],'Country-Region'!A:D,4,0)</f>
        <v>France and Switzerland Region</v>
      </c>
      <c r="Z132" t="str">
        <f>VLOOKUP(Conso_FCST[[#This Row],[Country]],'Country-Region'!A:D,3,0)</f>
        <v>France</v>
      </c>
      <c r="AA132" t="str">
        <f>IFERROR(VLOOKUP(Conso_FCST[[#This Row],[Model name]],Prod_T6[[#All],[Model name]:[Product Conso]],2,0),"exclude")</f>
        <v>HSM-ND48-DR CFP</v>
      </c>
    </row>
    <row r="133" spans="1:27" hidden="1">
      <c r="A133" t="s">
        <v>30</v>
      </c>
      <c r="B133" t="s">
        <v>198</v>
      </c>
      <c r="C133" t="s">
        <v>186</v>
      </c>
      <c r="D133" t="s">
        <v>54</v>
      </c>
      <c r="E133" t="s">
        <v>201</v>
      </c>
      <c r="F133" t="s">
        <v>120</v>
      </c>
      <c r="H133" s="184" t="s">
        <v>132</v>
      </c>
      <c r="I133">
        <v>2</v>
      </c>
      <c r="J133">
        <v>1</v>
      </c>
      <c r="K133">
        <v>1</v>
      </c>
      <c r="L133">
        <v>2</v>
      </c>
      <c r="M133">
        <v>3.37</v>
      </c>
      <c r="N133">
        <v>0</v>
      </c>
      <c r="O133">
        <v>0</v>
      </c>
      <c r="P133">
        <v>0</v>
      </c>
      <c r="Q133">
        <v>0</v>
      </c>
      <c r="X133" t="s">
        <v>70</v>
      </c>
      <c r="Y133" t="str">
        <f>VLOOKUP(Conso_FCST[[#This Row],[Country]],'Country-Region'!A:D,4,0)</f>
        <v>France and Switzerland Region</v>
      </c>
      <c r="Z133" t="str">
        <f>VLOOKUP(Conso_FCST[[#This Row],[Country]],'Country-Region'!A:D,3,0)</f>
        <v>France</v>
      </c>
      <c r="AA133" t="str">
        <f>IFERROR(VLOOKUP(Conso_FCST[[#This Row],[Model name]],Prod_T6[[#All],[Model name]:[Product Conso]],2,0),"exclude")</f>
        <v>HSM-ND48-DR CFP</v>
      </c>
    </row>
    <row r="134" spans="1:27" hidden="1">
      <c r="A134" t="s">
        <v>30</v>
      </c>
      <c r="B134" t="s">
        <v>189</v>
      </c>
      <c r="C134" t="s">
        <v>249</v>
      </c>
      <c r="D134" t="s">
        <v>197</v>
      </c>
      <c r="E134" t="s">
        <v>62</v>
      </c>
      <c r="F134" t="s">
        <v>120</v>
      </c>
      <c r="H134" s="184" t="s">
        <v>117</v>
      </c>
      <c r="I134">
        <v>4</v>
      </c>
      <c r="J134">
        <v>0</v>
      </c>
      <c r="K134">
        <v>0</v>
      </c>
      <c r="L134">
        <v>0</v>
      </c>
      <c r="M134">
        <v>2</v>
      </c>
      <c r="N134">
        <v>2</v>
      </c>
      <c r="O134">
        <v>2</v>
      </c>
      <c r="P134">
        <v>2</v>
      </c>
      <c r="Q134">
        <v>2</v>
      </c>
      <c r="X134" t="s">
        <v>27</v>
      </c>
      <c r="Y134" t="str">
        <f>VLOOKUP(Conso_FCST[[#This Row],[Country]],'Country-Region'!A:D,4,0)</f>
        <v>France and Switzerland Region</v>
      </c>
      <c r="Z134" t="str">
        <f>VLOOKUP(Conso_FCST[[#This Row],[Country]],'Country-Region'!A:D,3,0)</f>
        <v>France</v>
      </c>
      <c r="AA134" t="str">
        <f>IFERROR(VLOOKUP(Conso_FCST[[#This Row],[Model name]],Prod_T6[[#All],[Model name]:[Product Conso]],2,0),"exclude")</f>
        <v>Gen2 3P 13kw</v>
      </c>
    </row>
    <row r="135" spans="1:27" hidden="1">
      <c r="A135" t="s">
        <v>30</v>
      </c>
      <c r="B135" t="s">
        <v>189</v>
      </c>
      <c r="C135" t="s">
        <v>249</v>
      </c>
      <c r="D135" t="s">
        <v>197</v>
      </c>
      <c r="E135" t="s">
        <v>61</v>
      </c>
      <c r="F135" t="s">
        <v>120</v>
      </c>
      <c r="H135" s="184" t="s">
        <v>117</v>
      </c>
      <c r="I135">
        <v>4</v>
      </c>
      <c r="J135">
        <v>0</v>
      </c>
      <c r="K135">
        <v>0</v>
      </c>
      <c r="L135">
        <v>8</v>
      </c>
      <c r="M135">
        <v>0</v>
      </c>
      <c r="N135">
        <v>4</v>
      </c>
      <c r="O135">
        <v>0</v>
      </c>
      <c r="P135">
        <v>4</v>
      </c>
      <c r="Q135">
        <v>4</v>
      </c>
      <c r="X135" t="s">
        <v>27</v>
      </c>
      <c r="Y135" t="str">
        <f>VLOOKUP(Conso_FCST[[#This Row],[Country]],'Country-Region'!A:D,4,0)</f>
        <v>France and Switzerland Region</v>
      </c>
      <c r="Z135" t="str">
        <f>VLOOKUP(Conso_FCST[[#This Row],[Country]],'Country-Region'!A:D,3,0)</f>
        <v>France</v>
      </c>
      <c r="AA135" t="str">
        <f>IFERROR(VLOOKUP(Conso_FCST[[#This Row],[Model name]],Prod_T6[[#All],[Model name]:[Product Conso]],2,0),"exclude")</f>
        <v>Gen2 3P 10kw</v>
      </c>
    </row>
    <row r="136" spans="1:27" hidden="1">
      <c r="A136" t="s">
        <v>30</v>
      </c>
      <c r="B136" t="s">
        <v>189</v>
      </c>
      <c r="C136" t="s">
        <v>186</v>
      </c>
      <c r="D136" t="s">
        <v>197</v>
      </c>
      <c r="E136" t="s">
        <v>58</v>
      </c>
      <c r="F136" t="s">
        <v>120</v>
      </c>
      <c r="H136" s="184" t="s">
        <v>117</v>
      </c>
      <c r="I136">
        <v>4</v>
      </c>
      <c r="J136">
        <v>0</v>
      </c>
      <c r="K136">
        <v>0</v>
      </c>
      <c r="L136">
        <v>4</v>
      </c>
      <c r="M136">
        <v>4</v>
      </c>
      <c r="N136">
        <v>4</v>
      </c>
      <c r="O136">
        <v>4</v>
      </c>
      <c r="P136">
        <v>4</v>
      </c>
      <c r="Q136">
        <v>4</v>
      </c>
      <c r="X136" t="s">
        <v>27</v>
      </c>
      <c r="Y136" t="str">
        <f>VLOOKUP(Conso_FCST[[#This Row],[Country]],'Country-Region'!A:D,4,0)</f>
        <v>France and Switzerland Region</v>
      </c>
      <c r="Z136" t="str">
        <f>VLOOKUP(Conso_FCST[[#This Row],[Country]],'Country-Region'!A:D,3,0)</f>
        <v>France</v>
      </c>
      <c r="AA136" t="str">
        <f>IFERROR(VLOOKUP(Conso_FCST[[#This Row],[Model name]],Prod_T6[[#All],[Model name]:[Product Conso]],2,0),"exclude")</f>
        <v>Gen2 1P 10kw</v>
      </c>
    </row>
    <row r="137" spans="1:27" hidden="1">
      <c r="A137" t="s">
        <v>30</v>
      </c>
      <c r="B137" t="s">
        <v>189</v>
      </c>
      <c r="C137" t="s">
        <v>186</v>
      </c>
      <c r="D137" t="s">
        <v>197</v>
      </c>
      <c r="E137" t="s">
        <v>59</v>
      </c>
      <c r="F137" t="s">
        <v>120</v>
      </c>
      <c r="H137" s="184" t="s">
        <v>117</v>
      </c>
      <c r="I137">
        <v>6</v>
      </c>
      <c r="J137">
        <v>0</v>
      </c>
      <c r="K137">
        <v>0</v>
      </c>
      <c r="L137">
        <v>16</v>
      </c>
      <c r="M137">
        <v>12</v>
      </c>
      <c r="N137">
        <v>12</v>
      </c>
      <c r="O137">
        <v>8</v>
      </c>
      <c r="P137">
        <v>8</v>
      </c>
      <c r="Q137">
        <v>8</v>
      </c>
      <c r="X137" t="s">
        <v>27</v>
      </c>
      <c r="Y137" t="str">
        <f>VLOOKUP(Conso_FCST[[#This Row],[Country]],'Country-Region'!A:D,4,0)</f>
        <v>France and Switzerland Region</v>
      </c>
      <c r="Z137" t="str">
        <f>VLOOKUP(Conso_FCST[[#This Row],[Country]],'Country-Region'!A:D,3,0)</f>
        <v>France</v>
      </c>
      <c r="AA137" t="str">
        <f>IFERROR(VLOOKUP(Conso_FCST[[#This Row],[Model name]],Prod_T6[[#All],[Model name]:[Product Conso]],2,0),"exclude")</f>
        <v>Gen2 1P 6kw</v>
      </c>
    </row>
    <row r="138" spans="1:27" hidden="1">
      <c r="A138" t="s">
        <v>30</v>
      </c>
      <c r="B138" t="s">
        <v>250</v>
      </c>
      <c r="D138" t="s">
        <v>118</v>
      </c>
      <c r="E138" t="s">
        <v>231</v>
      </c>
      <c r="F138" t="s">
        <v>130</v>
      </c>
      <c r="H138" s="184" t="s">
        <v>117</v>
      </c>
      <c r="I138">
        <v>0.4</v>
      </c>
      <c r="J138">
        <v>0.4</v>
      </c>
      <c r="K138">
        <v>0.4</v>
      </c>
      <c r="X138" t="s">
        <v>70</v>
      </c>
      <c r="Y138" t="str">
        <f>VLOOKUP(Conso_FCST[[#This Row],[Country]],'Country-Region'!A:D,4,0)</f>
        <v>France and Switzerland Region</v>
      </c>
      <c r="Z138" t="str">
        <f>VLOOKUP(Conso_FCST[[#This Row],[Country]],'Country-Region'!A:D,3,0)</f>
        <v>France</v>
      </c>
      <c r="AA138" t="str">
        <f>IFERROR(VLOOKUP(Conso_FCST[[#This Row],[Model name]],Prod_T6[[#All],[Model name]:[Product Conso]],2,0),"exclude")</f>
        <v>P7 COM S BF CFP</v>
      </c>
    </row>
    <row r="139" spans="1:27" hidden="1">
      <c r="A139" t="s">
        <v>30</v>
      </c>
      <c r="B139" t="s">
        <v>250</v>
      </c>
      <c r="D139" t="s">
        <v>54</v>
      </c>
      <c r="E139" t="s">
        <v>201</v>
      </c>
      <c r="F139" t="s">
        <v>136</v>
      </c>
      <c r="H139" s="184" t="s">
        <v>117</v>
      </c>
      <c r="I139">
        <v>0.4</v>
      </c>
      <c r="J139">
        <v>0.2</v>
      </c>
      <c r="K139">
        <v>0.2</v>
      </c>
      <c r="X139" t="s">
        <v>70</v>
      </c>
      <c r="Y139" t="str">
        <f>VLOOKUP(Conso_FCST[[#This Row],[Country]],'Country-Region'!A:D,4,0)</f>
        <v>France and Switzerland Region</v>
      </c>
      <c r="Z139" t="str">
        <f>VLOOKUP(Conso_FCST[[#This Row],[Country]],'Country-Region'!A:D,3,0)</f>
        <v>France</v>
      </c>
      <c r="AA139" t="str">
        <f>IFERROR(VLOOKUP(Conso_FCST[[#This Row],[Model name]],Prod_T6[[#All],[Model name]:[Product Conso]],2,0),"exclude")</f>
        <v>HSM-ND48-DR CFP</v>
      </c>
    </row>
    <row r="140" spans="1:27" hidden="1">
      <c r="A140" t="s">
        <v>30</v>
      </c>
      <c r="B140" t="s">
        <v>199</v>
      </c>
      <c r="C140" t="s">
        <v>186</v>
      </c>
      <c r="D140" t="s">
        <v>54</v>
      </c>
      <c r="E140" t="s">
        <v>121</v>
      </c>
      <c r="F140" t="s">
        <v>120</v>
      </c>
      <c r="H140" s="184" t="s">
        <v>117</v>
      </c>
      <c r="I140">
        <v>0.4</v>
      </c>
      <c r="J140">
        <v>1</v>
      </c>
      <c r="K140">
        <v>1</v>
      </c>
      <c r="L140">
        <v>1</v>
      </c>
      <c r="M140">
        <v>0</v>
      </c>
      <c r="N140">
        <v>0.4</v>
      </c>
      <c r="O140">
        <v>0.4</v>
      </c>
      <c r="P140">
        <v>0.4</v>
      </c>
      <c r="Q140">
        <v>0.4</v>
      </c>
      <c r="X140" t="s">
        <v>70</v>
      </c>
      <c r="Y140" t="str">
        <f>VLOOKUP(Conso_FCST[[#This Row],[Country]],'Country-Region'!A:D,4,0)</f>
        <v>France and Switzerland Region</v>
      </c>
      <c r="Z140" t="str">
        <f>VLOOKUP(Conso_FCST[[#This Row],[Country]],'Country-Region'!A:D,3,0)</f>
        <v>France</v>
      </c>
      <c r="AA140" t="str">
        <f>IFERROR(VLOOKUP(Conso_FCST[[#This Row],[Model name]],Prod_T6[[#All],[Model name]:[Product Conso]],2,0),"exclude")</f>
        <v>HSM-ND54-DR</v>
      </c>
    </row>
    <row r="141" spans="1:27" hidden="1">
      <c r="A141" t="s">
        <v>30</v>
      </c>
      <c r="B141" t="s">
        <v>198</v>
      </c>
      <c r="C141" t="s">
        <v>186</v>
      </c>
      <c r="D141" t="s">
        <v>54</v>
      </c>
      <c r="E141" t="s">
        <v>202</v>
      </c>
      <c r="F141" t="s">
        <v>120</v>
      </c>
      <c r="H141" s="184" t="s">
        <v>117</v>
      </c>
      <c r="L141">
        <v>1.3</v>
      </c>
      <c r="M141">
        <v>1.3</v>
      </c>
      <c r="N141">
        <v>1.3</v>
      </c>
      <c r="O141">
        <v>0.2</v>
      </c>
      <c r="P141">
        <v>0.2</v>
      </c>
      <c r="Q141">
        <v>0.2</v>
      </c>
      <c r="X141" t="s">
        <v>70</v>
      </c>
      <c r="Y141" t="str">
        <f>VLOOKUP(Conso_FCST[[#This Row],[Country]],'Country-Region'!A:D,4,0)</f>
        <v>France and Switzerland Region</v>
      </c>
      <c r="Z141" t="str">
        <f>VLOOKUP(Conso_FCST[[#This Row],[Country]],'Country-Region'!A:D,3,0)</f>
        <v>France</v>
      </c>
      <c r="AA141" t="str">
        <f>IFERROR(VLOOKUP(Conso_FCST[[#This Row],[Model name]],Prod_T6[[#All],[Model name]:[Product Conso]],2,0),"exclude")</f>
        <v>HSM-ND54-DR CFP</v>
      </c>
    </row>
    <row r="142" spans="1:27" hidden="1">
      <c r="A142" t="s">
        <v>30</v>
      </c>
      <c r="B142" t="s">
        <v>188</v>
      </c>
      <c r="C142" t="s">
        <v>251</v>
      </c>
      <c r="D142" t="s">
        <v>113</v>
      </c>
      <c r="E142" t="s">
        <v>208</v>
      </c>
      <c r="F142" t="s">
        <v>115</v>
      </c>
      <c r="G142" t="s">
        <v>252</v>
      </c>
      <c r="H142" s="184" t="s">
        <v>117</v>
      </c>
      <c r="Q142">
        <v>0</v>
      </c>
      <c r="R142">
        <v>10</v>
      </c>
      <c r="X142" t="s">
        <v>70</v>
      </c>
      <c r="Y142" t="str">
        <f>VLOOKUP(Conso_FCST[[#This Row],[Country]],'Country-Region'!A:D,4,0)</f>
        <v>France and Switzerland Region</v>
      </c>
      <c r="Z142" t="str">
        <f>VLOOKUP(Conso_FCST[[#This Row],[Country]],'Country-Region'!A:D,3,0)</f>
        <v>France</v>
      </c>
      <c r="AA142" t="str">
        <f>IFERROR(VLOOKUP(Conso_FCST[[#This Row],[Model name]],Prod_T6[[#All],[Model name]:[Product Conso]],2,0),"exclude")</f>
        <v>HSM-BE54-JD CFP</v>
      </c>
    </row>
    <row r="143" spans="1:27" hidden="1">
      <c r="A143" t="s">
        <v>253</v>
      </c>
      <c r="B143" t="s">
        <v>254</v>
      </c>
      <c r="D143" t="s">
        <v>118</v>
      </c>
      <c r="E143" t="s">
        <v>255</v>
      </c>
      <c r="F143" t="s">
        <v>115</v>
      </c>
      <c r="G143" t="s">
        <v>256</v>
      </c>
      <c r="H143" s="184" t="s">
        <v>117</v>
      </c>
      <c r="K143" t="s">
        <v>257</v>
      </c>
      <c r="M143">
        <v>0.6</v>
      </c>
      <c r="X143" t="s">
        <v>70</v>
      </c>
      <c r="Y143" t="str">
        <f>VLOOKUP(Conso_FCST[[#This Row],[Country]],'Country-Region'!A:D,4,0)</f>
        <v>Central and Eastern Europe Region</v>
      </c>
      <c r="Z143" t="str">
        <f>VLOOKUP(Conso_FCST[[#This Row],[Country]],'Country-Region'!A:D,3,0)</f>
        <v>C&amp;E EU</v>
      </c>
      <c r="AA143" t="str">
        <f>IFERROR(VLOOKUP(Conso_FCST[[#This Row],[Model name]],Prod_T6[[#All],[Model name]:[Product Conso]],2,0),"exclude")</f>
        <v>P7 COM S BF IT</v>
      </c>
    </row>
    <row r="144" spans="1:27" hidden="1">
      <c r="A144" t="s">
        <v>32</v>
      </c>
      <c r="B144" t="s">
        <v>258</v>
      </c>
      <c r="C144" t="s">
        <v>259</v>
      </c>
      <c r="D144" t="s">
        <v>118</v>
      </c>
      <c r="E144" t="s">
        <v>255</v>
      </c>
      <c r="F144" t="s">
        <v>120</v>
      </c>
      <c r="G144" t="s">
        <v>260</v>
      </c>
      <c r="H144" s="184" t="s">
        <v>117</v>
      </c>
      <c r="I144">
        <v>5.0000000000000001E-3</v>
      </c>
      <c r="Q144">
        <v>2.4639999999999999E-2</v>
      </c>
      <c r="X144" t="s">
        <v>70</v>
      </c>
      <c r="Y144" t="str">
        <f>VLOOKUP(Conso_FCST[[#This Row],[Country]],'Country-Region'!A:D,4,0)</f>
        <v>DACH Region</v>
      </c>
      <c r="Z144" t="str">
        <f>VLOOKUP(Conso_FCST[[#This Row],[Country]],'Country-Region'!A:D,3,0)</f>
        <v>Germany</v>
      </c>
      <c r="AA144" t="str">
        <f>IFERROR(VLOOKUP(Conso_FCST[[#This Row],[Model name]],Prod_T6[[#All],[Model name]:[Product Conso]],2,0),"exclude")</f>
        <v>P7 COM S BF IT</v>
      </c>
    </row>
    <row r="145" spans="1:27" hidden="1">
      <c r="A145" t="s">
        <v>32</v>
      </c>
      <c r="B145" t="s">
        <v>261</v>
      </c>
      <c r="C145" t="s">
        <v>259</v>
      </c>
      <c r="D145" t="s">
        <v>118</v>
      </c>
      <c r="E145" t="s">
        <v>119</v>
      </c>
      <c r="F145" t="s">
        <v>120</v>
      </c>
      <c r="H145" s="184" t="s">
        <v>117</v>
      </c>
      <c r="I145">
        <v>0.23183999999999999</v>
      </c>
      <c r="J145">
        <v>0.23183999999999999</v>
      </c>
      <c r="K145">
        <v>0.23183999999999999</v>
      </c>
      <c r="L145">
        <v>0.19872000000000001</v>
      </c>
      <c r="M145">
        <v>0.19872000000000001</v>
      </c>
      <c r="N145">
        <v>0.19872000000000001</v>
      </c>
      <c r="O145">
        <v>0.19872000000000001</v>
      </c>
      <c r="P145">
        <v>0.19872000000000001</v>
      </c>
      <c r="Q145">
        <v>0.19872000000000001</v>
      </c>
      <c r="X145" t="s">
        <v>70</v>
      </c>
      <c r="Y145" t="str">
        <f>VLOOKUP(Conso_FCST[[#This Row],[Country]],'Country-Region'!A:D,4,0)</f>
        <v>DACH Region</v>
      </c>
      <c r="Z145" t="str">
        <f>VLOOKUP(Conso_FCST[[#This Row],[Country]],'Country-Region'!A:D,3,0)</f>
        <v>Germany</v>
      </c>
      <c r="AA145" t="str">
        <f>IFERROR(VLOOKUP(Conso_FCST[[#This Row],[Model name]],Prod_T6[[#All],[Model name]:[Product Conso]],2,0),"exclude")</f>
        <v>P7 RES BLK 2.0</v>
      </c>
    </row>
    <row r="146" spans="1:27" hidden="1">
      <c r="A146" t="s">
        <v>32</v>
      </c>
      <c r="B146" t="s">
        <v>261</v>
      </c>
      <c r="C146" t="s">
        <v>259</v>
      </c>
      <c r="D146" t="s">
        <v>118</v>
      </c>
      <c r="E146" t="s">
        <v>180</v>
      </c>
      <c r="F146" t="s">
        <v>120</v>
      </c>
      <c r="H146" s="184" t="s">
        <v>117</v>
      </c>
      <c r="K146">
        <v>3.7080000000000002E-2</v>
      </c>
      <c r="O146">
        <v>3.7080000000000002E-2</v>
      </c>
      <c r="X146" t="s">
        <v>70</v>
      </c>
      <c r="Y146" t="str">
        <f>VLOOKUP(Conso_FCST[[#This Row],[Country]],'Country-Region'!A:D,4,0)</f>
        <v>DACH Region</v>
      </c>
      <c r="Z146" t="str">
        <f>VLOOKUP(Conso_FCST[[#This Row],[Country]],'Country-Region'!A:D,3,0)</f>
        <v>Germany</v>
      </c>
      <c r="AA146" t="str">
        <f>IFERROR(VLOOKUP(Conso_FCST[[#This Row],[Model name]],Prod_T6[[#All],[Model name]:[Product Conso]],2,0),"exclude")</f>
        <v>P7 RES BLK-P</v>
      </c>
    </row>
    <row r="147" spans="1:27" hidden="1">
      <c r="A147" t="s">
        <v>32</v>
      </c>
      <c r="B147" t="s">
        <v>261</v>
      </c>
      <c r="C147" t="s">
        <v>259</v>
      </c>
      <c r="D147" t="s">
        <v>118</v>
      </c>
      <c r="E147" t="s">
        <v>255</v>
      </c>
      <c r="F147" t="s">
        <v>120</v>
      </c>
      <c r="H147" s="184" t="s">
        <v>117</v>
      </c>
      <c r="J147">
        <v>0.2</v>
      </c>
      <c r="M147">
        <v>0.10989</v>
      </c>
      <c r="X147" t="s">
        <v>70</v>
      </c>
      <c r="Y147" t="str">
        <f>VLOOKUP(Conso_FCST[[#This Row],[Country]],'Country-Region'!A:D,4,0)</f>
        <v>DACH Region</v>
      </c>
      <c r="Z147" t="str">
        <f>VLOOKUP(Conso_FCST[[#This Row],[Country]],'Country-Region'!A:D,3,0)</f>
        <v>Germany</v>
      </c>
      <c r="AA147" t="str">
        <f>IFERROR(VLOOKUP(Conso_FCST[[#This Row],[Model name]],Prod_T6[[#All],[Model name]:[Product Conso]],2,0),"exclude")</f>
        <v>P7 COM S BF IT</v>
      </c>
    </row>
    <row r="148" spans="1:27" hidden="1">
      <c r="A148" t="s">
        <v>32</v>
      </c>
      <c r="B148" t="s">
        <v>261</v>
      </c>
      <c r="C148" t="s">
        <v>259</v>
      </c>
      <c r="D148" t="s">
        <v>134</v>
      </c>
      <c r="E148" t="s">
        <v>135</v>
      </c>
      <c r="F148" t="s">
        <v>120</v>
      </c>
      <c r="G148" t="s">
        <v>262</v>
      </c>
      <c r="H148" s="184" t="s">
        <v>117</v>
      </c>
      <c r="L148">
        <v>3.5639999999999998E-2</v>
      </c>
      <c r="M148">
        <v>3.5639999999999998E-2</v>
      </c>
      <c r="N148">
        <v>3.5639999999999998E-2</v>
      </c>
      <c r="O148">
        <v>3.5639999999999998E-2</v>
      </c>
      <c r="P148">
        <v>3.5639999999999998E-2</v>
      </c>
      <c r="Q148">
        <v>3.5639999999999998E-2</v>
      </c>
      <c r="X148" t="s">
        <v>70</v>
      </c>
      <c r="Y148" t="str">
        <f>VLOOKUP(Conso_FCST[[#This Row],[Country]],'Country-Region'!A:D,4,0)</f>
        <v>DACH Region</v>
      </c>
      <c r="Z148" t="str">
        <f>VLOOKUP(Conso_FCST[[#This Row],[Country]],'Country-Region'!A:D,3,0)</f>
        <v>Germany</v>
      </c>
      <c r="AA148" t="str">
        <f>IFERROR(VLOOKUP(Conso_FCST[[#This Row],[Model name]],Prod_T6[[#All],[Model name]:[Product Conso]],2,0),"exclude")</f>
        <v>SPR-BE54-HD</v>
      </c>
    </row>
    <row r="149" spans="1:27" hidden="1">
      <c r="A149" t="s">
        <v>32</v>
      </c>
      <c r="B149" t="s">
        <v>261</v>
      </c>
      <c r="C149" t="s">
        <v>259</v>
      </c>
      <c r="D149" t="s">
        <v>134</v>
      </c>
      <c r="E149" t="s">
        <v>263</v>
      </c>
      <c r="F149" t="s">
        <v>120</v>
      </c>
      <c r="G149" t="s">
        <v>264</v>
      </c>
      <c r="H149" s="184" t="s">
        <v>117</v>
      </c>
      <c r="M149">
        <v>8.6400000000000005E-2</v>
      </c>
      <c r="X149" t="s">
        <v>70</v>
      </c>
      <c r="Y149" t="str">
        <f>VLOOKUP(Conso_FCST[[#This Row],[Country]],'Country-Region'!A:D,4,0)</f>
        <v>DACH Region</v>
      </c>
      <c r="Z149" t="str">
        <f>VLOOKUP(Conso_FCST[[#This Row],[Country]],'Country-Region'!A:D,3,0)</f>
        <v>Germany</v>
      </c>
      <c r="AA149" t="str">
        <f>IFERROR(VLOOKUP(Conso_FCST[[#This Row],[Model name]],Prod_T6[[#All],[Model name]:[Product Conso]],2,0),"exclude")</f>
        <v>SPR-BE66-GD</v>
      </c>
    </row>
    <row r="150" spans="1:27" hidden="1">
      <c r="A150" t="s">
        <v>32</v>
      </c>
      <c r="B150" t="s">
        <v>265</v>
      </c>
      <c r="C150" t="s">
        <v>259</v>
      </c>
      <c r="D150" t="s">
        <v>118</v>
      </c>
      <c r="E150" t="s">
        <v>119</v>
      </c>
      <c r="F150" t="s">
        <v>120</v>
      </c>
      <c r="H150" s="184" t="s">
        <v>117</v>
      </c>
      <c r="I150">
        <v>0.13247999999999999</v>
      </c>
      <c r="L150">
        <v>0.13247999999999999</v>
      </c>
      <c r="O150">
        <v>0.13247999999999999</v>
      </c>
      <c r="X150" t="s">
        <v>70</v>
      </c>
      <c r="Y150" t="str">
        <f>VLOOKUP(Conso_FCST[[#This Row],[Country]],'Country-Region'!A:D,4,0)</f>
        <v>DACH Region</v>
      </c>
      <c r="Z150" t="str">
        <f>VLOOKUP(Conso_FCST[[#This Row],[Country]],'Country-Region'!A:D,3,0)</f>
        <v>Germany</v>
      </c>
      <c r="AA150" t="str">
        <f>IFERROR(VLOOKUP(Conso_FCST[[#This Row],[Model name]],Prod_T6[[#All],[Model name]:[Product Conso]],2,0),"exclude")</f>
        <v>P7 RES BLK 2.0</v>
      </c>
    </row>
    <row r="151" spans="1:27" hidden="1">
      <c r="A151" t="s">
        <v>32</v>
      </c>
      <c r="B151" t="s">
        <v>265</v>
      </c>
      <c r="C151" t="s">
        <v>259</v>
      </c>
      <c r="D151" t="s">
        <v>118</v>
      </c>
      <c r="E151" t="s">
        <v>180</v>
      </c>
      <c r="F151" t="s">
        <v>120</v>
      </c>
      <c r="H151" s="184" t="s">
        <v>117</v>
      </c>
      <c r="I151">
        <v>0.14832000000000001</v>
      </c>
      <c r="L151">
        <v>0.14832000000000001</v>
      </c>
      <c r="O151">
        <v>0.14832000000000001</v>
      </c>
      <c r="X151" t="s">
        <v>70</v>
      </c>
      <c r="Y151" t="str">
        <f>VLOOKUP(Conso_FCST[[#This Row],[Country]],'Country-Region'!A:D,4,0)</f>
        <v>DACH Region</v>
      </c>
      <c r="Z151" t="str">
        <f>VLOOKUP(Conso_FCST[[#This Row],[Country]],'Country-Region'!A:D,3,0)</f>
        <v>Germany</v>
      </c>
      <c r="AA151" t="str">
        <f>IFERROR(VLOOKUP(Conso_FCST[[#This Row],[Model name]],Prod_T6[[#All],[Model name]:[Product Conso]],2,0),"exclude")</f>
        <v>P7 RES BLK-P</v>
      </c>
    </row>
    <row r="152" spans="1:27" hidden="1">
      <c r="A152" t="s">
        <v>32</v>
      </c>
      <c r="B152" t="s">
        <v>265</v>
      </c>
      <c r="C152" t="s">
        <v>259</v>
      </c>
      <c r="D152" t="s">
        <v>118</v>
      </c>
      <c r="E152" t="s">
        <v>255</v>
      </c>
      <c r="F152" t="s">
        <v>120</v>
      </c>
      <c r="H152" s="184" t="s">
        <v>117</v>
      </c>
      <c r="L152">
        <v>0.10989</v>
      </c>
      <c r="O152">
        <v>0.10989</v>
      </c>
      <c r="X152" t="s">
        <v>70</v>
      </c>
      <c r="Y152" t="str">
        <f>VLOOKUP(Conso_FCST[[#This Row],[Country]],'Country-Region'!A:D,4,0)</f>
        <v>DACH Region</v>
      </c>
      <c r="Z152" t="str">
        <f>VLOOKUP(Conso_FCST[[#This Row],[Country]],'Country-Region'!A:D,3,0)</f>
        <v>Germany</v>
      </c>
      <c r="AA152" t="str">
        <f>IFERROR(VLOOKUP(Conso_FCST[[#This Row],[Model name]],Prod_T6[[#All],[Model name]:[Product Conso]],2,0),"exclude")</f>
        <v>P7 COM S BF IT</v>
      </c>
    </row>
    <row r="153" spans="1:27" hidden="1">
      <c r="A153" t="s">
        <v>32</v>
      </c>
      <c r="B153" t="s">
        <v>265</v>
      </c>
      <c r="C153" t="s">
        <v>259</v>
      </c>
      <c r="D153" t="s">
        <v>134</v>
      </c>
      <c r="E153" t="s">
        <v>135</v>
      </c>
      <c r="F153" t="s">
        <v>120</v>
      </c>
      <c r="H153" s="184" t="s">
        <v>117</v>
      </c>
      <c r="L153">
        <v>3.5999999999999997E-2</v>
      </c>
      <c r="O153">
        <v>3.5999999999999997E-2</v>
      </c>
      <c r="X153" t="s">
        <v>70</v>
      </c>
      <c r="Y153" t="str">
        <f>VLOOKUP(Conso_FCST[[#This Row],[Country]],'Country-Region'!A:D,4,0)</f>
        <v>DACH Region</v>
      </c>
      <c r="Z153" t="str">
        <f>VLOOKUP(Conso_FCST[[#This Row],[Country]],'Country-Region'!A:D,3,0)</f>
        <v>Germany</v>
      </c>
      <c r="AA153" t="str">
        <f>IFERROR(VLOOKUP(Conso_FCST[[#This Row],[Model name]],Prod_T6[[#All],[Model name]:[Product Conso]],2,0),"exclude")</f>
        <v>SPR-BE54-HD</v>
      </c>
    </row>
    <row r="154" spans="1:27" hidden="1">
      <c r="A154" t="s">
        <v>32</v>
      </c>
      <c r="B154" t="s">
        <v>266</v>
      </c>
      <c r="C154" t="s">
        <v>259</v>
      </c>
      <c r="D154" t="s">
        <v>118</v>
      </c>
      <c r="E154" t="s">
        <v>255</v>
      </c>
      <c r="F154" t="s">
        <v>120</v>
      </c>
      <c r="H154" s="184" t="s">
        <v>117</v>
      </c>
      <c r="L154">
        <v>0.1</v>
      </c>
      <c r="P154">
        <v>0.1</v>
      </c>
      <c r="X154" t="s">
        <v>70</v>
      </c>
      <c r="Y154" t="str">
        <f>VLOOKUP(Conso_FCST[[#This Row],[Country]],'Country-Region'!A:D,4,0)</f>
        <v>DACH Region</v>
      </c>
      <c r="Z154" t="str">
        <f>VLOOKUP(Conso_FCST[[#This Row],[Country]],'Country-Region'!A:D,3,0)</f>
        <v>Germany</v>
      </c>
      <c r="AA154" t="str">
        <f>IFERROR(VLOOKUP(Conso_FCST[[#This Row],[Model name]],Prod_T6[[#All],[Model name]:[Product Conso]],2,0),"exclude")</f>
        <v>P7 COM S BF IT</v>
      </c>
    </row>
    <row r="155" spans="1:27" hidden="1">
      <c r="A155" t="s">
        <v>32</v>
      </c>
      <c r="B155" t="s">
        <v>267</v>
      </c>
      <c r="C155" t="s">
        <v>268</v>
      </c>
      <c r="D155" t="s">
        <v>197</v>
      </c>
      <c r="E155" t="s">
        <v>234</v>
      </c>
      <c r="F155" t="s">
        <v>120</v>
      </c>
      <c r="H155" s="184" t="s">
        <v>117</v>
      </c>
      <c r="J155">
        <v>2</v>
      </c>
      <c r="K155">
        <v>3</v>
      </c>
      <c r="L155">
        <v>3</v>
      </c>
      <c r="M155">
        <v>3</v>
      </c>
      <c r="N155">
        <v>3</v>
      </c>
      <c r="O155">
        <v>4</v>
      </c>
      <c r="P155">
        <v>4</v>
      </c>
      <c r="Q155">
        <v>2</v>
      </c>
      <c r="X155" t="s">
        <v>27</v>
      </c>
      <c r="Y155" t="str">
        <f>VLOOKUP(Conso_FCST[[#This Row],[Country]],'Country-Region'!A:D,4,0)</f>
        <v>DACH Region</v>
      </c>
      <c r="Z155" t="str">
        <f>VLOOKUP(Conso_FCST[[#This Row],[Country]],'Country-Region'!A:D,3,0)</f>
        <v>Germany</v>
      </c>
      <c r="AA155" t="str">
        <f>IFERROR(VLOOKUP(Conso_FCST[[#This Row],[Model name]],Prod_T6[[#All],[Model name]:[Product Conso]],2,0),"exclude")</f>
        <v>Gen2 3P 13kw</v>
      </c>
    </row>
    <row r="156" spans="1:27" hidden="1">
      <c r="A156" t="s">
        <v>32</v>
      </c>
      <c r="B156" t="s">
        <v>267</v>
      </c>
      <c r="C156" t="s">
        <v>268</v>
      </c>
      <c r="D156" t="s">
        <v>197</v>
      </c>
      <c r="E156" t="s">
        <v>63</v>
      </c>
      <c r="F156" t="s">
        <v>120</v>
      </c>
      <c r="H156" s="184" t="s">
        <v>117</v>
      </c>
      <c r="J156">
        <v>2</v>
      </c>
      <c r="K156">
        <v>2</v>
      </c>
      <c r="L156">
        <v>2</v>
      </c>
      <c r="M156">
        <v>2</v>
      </c>
      <c r="N156">
        <v>1</v>
      </c>
      <c r="O156">
        <v>2</v>
      </c>
      <c r="P156">
        <v>2</v>
      </c>
      <c r="Q156">
        <v>1</v>
      </c>
      <c r="X156" t="s">
        <v>27</v>
      </c>
      <c r="Y156" t="str">
        <f>VLOOKUP(Conso_FCST[[#This Row],[Country]],'Country-Region'!A:D,4,0)</f>
        <v>DACH Region</v>
      </c>
      <c r="Z156" t="str">
        <f>VLOOKUP(Conso_FCST[[#This Row],[Country]],'Country-Region'!A:D,3,0)</f>
        <v>Germany</v>
      </c>
      <c r="AA156" t="str">
        <f>IFERROR(VLOOKUP(Conso_FCST[[#This Row],[Model name]],Prod_T6[[#All],[Model name]:[Product Conso]],2,0),"exclude")</f>
        <v>Gen2 BAT 5kWh</v>
      </c>
    </row>
    <row r="157" spans="1:27" hidden="1">
      <c r="A157" t="s">
        <v>32</v>
      </c>
      <c r="B157" t="s">
        <v>267</v>
      </c>
      <c r="C157" t="s">
        <v>268</v>
      </c>
      <c r="D157" t="s">
        <v>118</v>
      </c>
      <c r="E157" t="s">
        <v>119</v>
      </c>
      <c r="F157" t="s">
        <v>120</v>
      </c>
      <c r="H157" s="184" t="s">
        <v>117</v>
      </c>
      <c r="J157">
        <v>3.3000000000000002E-2</v>
      </c>
      <c r="L157">
        <v>6.6000000000000003E-2</v>
      </c>
      <c r="N157">
        <v>6.6000000000000003E-2</v>
      </c>
      <c r="P157">
        <v>6.6000000000000003E-2</v>
      </c>
      <c r="X157" t="s">
        <v>70</v>
      </c>
      <c r="Y157" t="str">
        <f>VLOOKUP(Conso_FCST[[#This Row],[Country]],'Country-Region'!A:D,4,0)</f>
        <v>DACH Region</v>
      </c>
      <c r="Z157" t="str">
        <f>VLOOKUP(Conso_FCST[[#This Row],[Country]],'Country-Region'!A:D,3,0)</f>
        <v>Germany</v>
      </c>
      <c r="AA157" t="str">
        <f>IFERROR(VLOOKUP(Conso_FCST[[#This Row],[Model name]],Prod_T6[[#All],[Model name]:[Product Conso]],2,0),"exclude")</f>
        <v>P7 RES BLK 2.0</v>
      </c>
    </row>
    <row r="158" spans="1:27" hidden="1">
      <c r="A158" t="s">
        <v>32</v>
      </c>
      <c r="B158" t="s">
        <v>269</v>
      </c>
      <c r="C158" t="s">
        <v>268</v>
      </c>
      <c r="D158" t="s">
        <v>118</v>
      </c>
      <c r="E158" t="s">
        <v>145</v>
      </c>
      <c r="F158" t="s">
        <v>120</v>
      </c>
      <c r="H158" s="184" t="s">
        <v>117</v>
      </c>
      <c r="I158">
        <v>0.06</v>
      </c>
      <c r="X158" t="s">
        <v>70</v>
      </c>
      <c r="Y158" t="str">
        <f>VLOOKUP(Conso_FCST[[#This Row],[Country]],'Country-Region'!A:D,4,0)</f>
        <v>DACH Region</v>
      </c>
      <c r="Z158" t="str">
        <f>VLOOKUP(Conso_FCST[[#This Row],[Country]],'Country-Region'!A:D,3,0)</f>
        <v>Germany</v>
      </c>
      <c r="AA158" t="str">
        <f>IFERROR(VLOOKUP(Conso_FCST[[#This Row],[Model name]],Prod_T6[[#All],[Model name]:[Product Conso]],2,0),"exclude")</f>
        <v>P7 RES BLK 2.0</v>
      </c>
    </row>
    <row r="159" spans="1:27" hidden="1">
      <c r="A159" t="s">
        <v>32</v>
      </c>
      <c r="B159" t="s">
        <v>270</v>
      </c>
      <c r="C159" t="s">
        <v>259</v>
      </c>
      <c r="D159" t="s">
        <v>134</v>
      </c>
      <c r="E159" t="s">
        <v>135</v>
      </c>
      <c r="F159" t="s">
        <v>120</v>
      </c>
      <c r="G159" t="s">
        <v>271</v>
      </c>
      <c r="H159" s="184" t="s">
        <v>117</v>
      </c>
      <c r="O159">
        <v>0.14399999999999999</v>
      </c>
      <c r="P159">
        <v>0.14399999999999999</v>
      </c>
      <c r="X159" t="s">
        <v>70</v>
      </c>
      <c r="Y159" t="str">
        <f>VLOOKUP(Conso_FCST[[#This Row],[Country]],'Country-Region'!A:D,4,0)</f>
        <v>DACH Region</v>
      </c>
      <c r="Z159" t="str">
        <f>VLOOKUP(Conso_FCST[[#This Row],[Country]],'Country-Region'!A:D,3,0)</f>
        <v>Germany</v>
      </c>
      <c r="AA159" t="str">
        <f>IFERROR(VLOOKUP(Conso_FCST[[#This Row],[Model name]],Prod_T6[[#All],[Model name]:[Product Conso]],2,0),"exclude")</f>
        <v>SPR-BE54-HD</v>
      </c>
    </row>
    <row r="160" spans="1:27" hidden="1">
      <c r="A160" t="s">
        <v>32</v>
      </c>
      <c r="B160" t="s">
        <v>269</v>
      </c>
      <c r="C160" t="s">
        <v>268</v>
      </c>
      <c r="D160" t="s">
        <v>118</v>
      </c>
      <c r="E160" t="s">
        <v>119</v>
      </c>
      <c r="F160" t="s">
        <v>120</v>
      </c>
      <c r="H160" s="184" t="s">
        <v>117</v>
      </c>
      <c r="J160">
        <v>0.06</v>
      </c>
      <c r="L160">
        <v>6.6000000000000003E-2</v>
      </c>
      <c r="N160">
        <v>6.6000000000000003E-2</v>
      </c>
      <c r="P160">
        <v>6.6000000000000003E-2</v>
      </c>
      <c r="X160" t="s">
        <v>70</v>
      </c>
      <c r="Y160" t="str">
        <f>VLOOKUP(Conso_FCST[[#This Row],[Country]],'Country-Region'!A:D,4,0)</f>
        <v>DACH Region</v>
      </c>
      <c r="Z160" t="str">
        <f>VLOOKUP(Conso_FCST[[#This Row],[Country]],'Country-Region'!A:D,3,0)</f>
        <v>Germany</v>
      </c>
      <c r="AA160" t="str">
        <f>IFERROR(VLOOKUP(Conso_FCST[[#This Row],[Model name]],Prod_T6[[#All],[Model name]:[Product Conso]],2,0),"exclude")</f>
        <v>P7 RES BLK 2.0</v>
      </c>
    </row>
    <row r="161" spans="1:27" hidden="1">
      <c r="A161" t="s">
        <v>32</v>
      </c>
      <c r="B161" t="s">
        <v>270</v>
      </c>
      <c r="C161" t="s">
        <v>259</v>
      </c>
      <c r="D161" t="s">
        <v>118</v>
      </c>
      <c r="E161" t="s">
        <v>255</v>
      </c>
      <c r="F161" t="s">
        <v>120</v>
      </c>
      <c r="H161" s="184" t="s">
        <v>117</v>
      </c>
      <c r="K161">
        <v>0.10989</v>
      </c>
      <c r="M161">
        <v>0.10989</v>
      </c>
      <c r="P161">
        <v>0.10989</v>
      </c>
      <c r="X161" t="s">
        <v>70</v>
      </c>
      <c r="Y161" t="str">
        <f>VLOOKUP(Conso_FCST[[#This Row],[Country]],'Country-Region'!A:D,4,0)</f>
        <v>DACH Region</v>
      </c>
      <c r="Z161" t="str">
        <f>VLOOKUP(Conso_FCST[[#This Row],[Country]],'Country-Region'!A:D,3,0)</f>
        <v>Germany</v>
      </c>
      <c r="AA161" t="str">
        <f>IFERROR(VLOOKUP(Conso_FCST[[#This Row],[Model name]],Prod_T6[[#All],[Model name]:[Product Conso]],2,0),"exclude")</f>
        <v>P7 COM S BF IT</v>
      </c>
    </row>
    <row r="162" spans="1:27" hidden="1">
      <c r="A162" t="s">
        <v>32</v>
      </c>
      <c r="B162" t="s">
        <v>270</v>
      </c>
      <c r="C162" t="s">
        <v>259</v>
      </c>
      <c r="D162" t="s">
        <v>118</v>
      </c>
      <c r="E162" t="s">
        <v>119</v>
      </c>
      <c r="F162" t="s">
        <v>120</v>
      </c>
      <c r="H162" s="184" t="s">
        <v>117</v>
      </c>
      <c r="K162">
        <v>0.1656</v>
      </c>
      <c r="M162">
        <v>0.1656</v>
      </c>
      <c r="P162">
        <v>0.1656</v>
      </c>
      <c r="X162" t="s">
        <v>70</v>
      </c>
      <c r="Y162" t="str">
        <f>VLOOKUP(Conso_FCST[[#This Row],[Country]],'Country-Region'!A:D,4,0)</f>
        <v>DACH Region</v>
      </c>
      <c r="Z162" t="str">
        <f>VLOOKUP(Conso_FCST[[#This Row],[Country]],'Country-Region'!A:D,3,0)</f>
        <v>Germany</v>
      </c>
      <c r="AA162" t="str">
        <f>IFERROR(VLOOKUP(Conso_FCST[[#This Row],[Model name]],Prod_T6[[#All],[Model name]:[Product Conso]],2,0),"exclude")</f>
        <v>P7 RES BLK 2.0</v>
      </c>
    </row>
    <row r="163" spans="1:27" hidden="1">
      <c r="A163" t="s">
        <v>32</v>
      </c>
      <c r="B163" t="s">
        <v>272</v>
      </c>
      <c r="C163" t="s">
        <v>259</v>
      </c>
      <c r="D163" t="s">
        <v>134</v>
      </c>
      <c r="E163" t="s">
        <v>263</v>
      </c>
      <c r="F163" t="s">
        <v>120</v>
      </c>
      <c r="H163" s="184" t="s">
        <v>117</v>
      </c>
      <c r="M163">
        <v>8.6400000000000005E-2</v>
      </c>
      <c r="P163">
        <v>8.6400000000000005E-2</v>
      </c>
      <c r="X163" t="s">
        <v>70</v>
      </c>
      <c r="Y163" t="str">
        <f>VLOOKUP(Conso_FCST[[#This Row],[Country]],'Country-Region'!A:D,4,0)</f>
        <v>DACH Region</v>
      </c>
      <c r="Z163" t="str">
        <f>VLOOKUP(Conso_FCST[[#This Row],[Country]],'Country-Region'!A:D,3,0)</f>
        <v>Germany</v>
      </c>
      <c r="AA163" t="str">
        <f>IFERROR(VLOOKUP(Conso_FCST[[#This Row],[Model name]],Prod_T6[[#All],[Model name]:[Product Conso]],2,0),"exclude")</f>
        <v>SPR-BE66-GD</v>
      </c>
    </row>
    <row r="164" spans="1:27" hidden="1">
      <c r="A164" t="s">
        <v>32</v>
      </c>
      <c r="B164" t="s">
        <v>273</v>
      </c>
      <c r="C164" t="s">
        <v>259</v>
      </c>
      <c r="D164" t="s">
        <v>197</v>
      </c>
      <c r="E164" t="s">
        <v>61</v>
      </c>
      <c r="F164" t="s">
        <v>120</v>
      </c>
      <c r="H164" s="184" t="s">
        <v>117</v>
      </c>
      <c r="I164">
        <v>1</v>
      </c>
      <c r="M164">
        <v>1</v>
      </c>
      <c r="P164">
        <v>1</v>
      </c>
      <c r="X164" t="s">
        <v>27</v>
      </c>
      <c r="Y164" t="str">
        <f>VLOOKUP(Conso_FCST[[#This Row],[Country]],'Country-Region'!A:D,4,0)</f>
        <v>DACH Region</v>
      </c>
      <c r="Z164" t="str">
        <f>VLOOKUP(Conso_FCST[[#This Row],[Country]],'Country-Region'!A:D,3,0)</f>
        <v>Germany</v>
      </c>
      <c r="AA164" t="str">
        <f>IFERROR(VLOOKUP(Conso_FCST[[#This Row],[Model name]],Prod_T6[[#All],[Model name]:[Product Conso]],2,0),"exclude")</f>
        <v>Gen2 3P 10kw</v>
      </c>
    </row>
    <row r="165" spans="1:27" hidden="1">
      <c r="A165" t="s">
        <v>32</v>
      </c>
      <c r="B165" t="s">
        <v>273</v>
      </c>
      <c r="C165" t="s">
        <v>259</v>
      </c>
      <c r="D165" t="s">
        <v>118</v>
      </c>
      <c r="E165" t="s">
        <v>180</v>
      </c>
      <c r="F165" t="s">
        <v>120</v>
      </c>
      <c r="H165" s="184" t="s">
        <v>117</v>
      </c>
      <c r="I165">
        <v>3.7079999999999999E-3</v>
      </c>
      <c r="M165">
        <v>3.7079999999999999E-3</v>
      </c>
      <c r="P165">
        <v>3.7079999999999999E-3</v>
      </c>
      <c r="X165" t="s">
        <v>70</v>
      </c>
      <c r="Y165" t="str">
        <f>VLOOKUP(Conso_FCST[[#This Row],[Country]],'Country-Region'!A:D,4,0)</f>
        <v>DACH Region</v>
      </c>
      <c r="Z165" t="str">
        <f>VLOOKUP(Conso_FCST[[#This Row],[Country]],'Country-Region'!A:D,3,0)</f>
        <v>Germany</v>
      </c>
      <c r="AA165" t="str">
        <f>IFERROR(VLOOKUP(Conso_FCST[[#This Row],[Model name]],Prod_T6[[#All],[Model name]:[Product Conso]],2,0),"exclude")</f>
        <v>P7 RES BLK-P</v>
      </c>
    </row>
    <row r="166" spans="1:27" hidden="1">
      <c r="A166" t="s">
        <v>32</v>
      </c>
      <c r="B166" t="s">
        <v>274</v>
      </c>
      <c r="C166" t="s">
        <v>259</v>
      </c>
      <c r="D166" t="s">
        <v>118</v>
      </c>
      <c r="E166" t="s">
        <v>119</v>
      </c>
      <c r="F166" t="s">
        <v>120</v>
      </c>
      <c r="H166" s="184" t="s">
        <v>117</v>
      </c>
      <c r="J166">
        <v>0.23183999999999999</v>
      </c>
      <c r="L166">
        <v>0.23183999999999999</v>
      </c>
      <c r="N166">
        <v>0.23183999999999999</v>
      </c>
      <c r="P166">
        <v>0.23183999999999999</v>
      </c>
      <c r="X166" t="s">
        <v>70</v>
      </c>
      <c r="Y166" t="str">
        <f>VLOOKUP(Conso_FCST[[#This Row],[Country]],'Country-Region'!A:D,4,0)</f>
        <v>DACH Region</v>
      </c>
      <c r="Z166" t="str">
        <f>VLOOKUP(Conso_FCST[[#This Row],[Country]],'Country-Region'!A:D,3,0)</f>
        <v>Germany</v>
      </c>
      <c r="AA166" t="str">
        <f>IFERROR(VLOOKUP(Conso_FCST[[#This Row],[Model name]],Prod_T6[[#All],[Model name]:[Product Conso]],2,0),"exclude")</f>
        <v>P7 RES BLK 2.0</v>
      </c>
    </row>
    <row r="167" spans="1:27" hidden="1">
      <c r="A167" t="s">
        <v>32</v>
      </c>
      <c r="B167" t="s">
        <v>274</v>
      </c>
      <c r="C167" t="s">
        <v>259</v>
      </c>
      <c r="D167" t="s">
        <v>118</v>
      </c>
      <c r="E167" t="s">
        <v>275</v>
      </c>
      <c r="F167" t="s">
        <v>120</v>
      </c>
      <c r="H167" s="184" t="s">
        <v>117</v>
      </c>
      <c r="I167">
        <v>0.11015999999999999</v>
      </c>
      <c r="J167">
        <v>0.11015999999999999</v>
      </c>
      <c r="X167" t="s">
        <v>70</v>
      </c>
      <c r="Y167" t="str">
        <f>VLOOKUP(Conso_FCST[[#This Row],[Country]],'Country-Region'!A:D,4,0)</f>
        <v>DACH Region</v>
      </c>
      <c r="Z167" t="str">
        <f>VLOOKUP(Conso_FCST[[#This Row],[Country]],'Country-Region'!A:D,3,0)</f>
        <v>Germany</v>
      </c>
      <c r="AA167" t="str">
        <f>IFERROR(VLOOKUP(Conso_FCST[[#This Row],[Model name]],Prod_T6[[#All],[Model name]:[Product Conso]],2,0),"exclude")</f>
        <v>exclude</v>
      </c>
    </row>
    <row r="168" spans="1:27" hidden="1">
      <c r="A168" t="s">
        <v>32</v>
      </c>
      <c r="B168" t="s">
        <v>274</v>
      </c>
      <c r="C168" t="s">
        <v>259</v>
      </c>
      <c r="D168" t="s">
        <v>118</v>
      </c>
      <c r="E168" t="s">
        <v>180</v>
      </c>
      <c r="F168" t="s">
        <v>120</v>
      </c>
      <c r="H168" s="184" t="s">
        <v>117</v>
      </c>
      <c r="I168">
        <v>0.25956000000000001</v>
      </c>
      <c r="J168">
        <v>0.25956000000000001</v>
      </c>
      <c r="K168">
        <v>0.25956000000000001</v>
      </c>
      <c r="L168">
        <v>0.25956000000000001</v>
      </c>
      <c r="M168">
        <v>0.25956000000000001</v>
      </c>
      <c r="N168">
        <v>0.25956000000000001</v>
      </c>
      <c r="O168">
        <v>0.25956000000000001</v>
      </c>
      <c r="P168">
        <v>0.25956000000000001</v>
      </c>
      <c r="Q168">
        <v>0.25956000000000001</v>
      </c>
      <c r="X168" t="s">
        <v>70</v>
      </c>
      <c r="Y168" t="str">
        <f>VLOOKUP(Conso_FCST[[#This Row],[Country]],'Country-Region'!A:D,4,0)</f>
        <v>DACH Region</v>
      </c>
      <c r="Z168" t="str">
        <f>VLOOKUP(Conso_FCST[[#This Row],[Country]],'Country-Region'!A:D,3,0)</f>
        <v>Germany</v>
      </c>
      <c r="AA168" t="str">
        <f>IFERROR(VLOOKUP(Conso_FCST[[#This Row],[Model name]],Prod_T6[[#All],[Model name]:[Product Conso]],2,0),"exclude")</f>
        <v>P7 RES BLK-P</v>
      </c>
    </row>
    <row r="169" spans="1:27" hidden="1">
      <c r="A169" t="s">
        <v>32</v>
      </c>
      <c r="B169" t="s">
        <v>274</v>
      </c>
      <c r="C169" t="s">
        <v>259</v>
      </c>
      <c r="D169" t="s">
        <v>118</v>
      </c>
      <c r="E169" t="s">
        <v>255</v>
      </c>
      <c r="F169" t="s">
        <v>120</v>
      </c>
      <c r="H169" s="184" t="s">
        <v>117</v>
      </c>
      <c r="M169">
        <v>0.14652000000000001</v>
      </c>
      <c r="X169" t="s">
        <v>70</v>
      </c>
      <c r="Y169" t="str">
        <f>VLOOKUP(Conso_FCST[[#This Row],[Country]],'Country-Region'!A:D,4,0)</f>
        <v>DACH Region</v>
      </c>
      <c r="Z169" t="str">
        <f>VLOOKUP(Conso_FCST[[#This Row],[Country]],'Country-Region'!A:D,3,0)</f>
        <v>Germany</v>
      </c>
      <c r="AA169" t="str">
        <f>IFERROR(VLOOKUP(Conso_FCST[[#This Row],[Model name]],Prod_T6[[#All],[Model name]:[Product Conso]],2,0),"exclude")</f>
        <v>P7 COM S BF IT</v>
      </c>
    </row>
    <row r="170" spans="1:27" hidden="1">
      <c r="A170" t="s">
        <v>32</v>
      </c>
      <c r="B170" t="s">
        <v>274</v>
      </c>
      <c r="C170" t="s">
        <v>259</v>
      </c>
      <c r="D170" t="s">
        <v>276</v>
      </c>
      <c r="E170" t="s">
        <v>277</v>
      </c>
      <c r="F170" t="s">
        <v>120</v>
      </c>
      <c r="H170" s="184" t="s">
        <v>117</v>
      </c>
      <c r="I170">
        <v>3.6260000000000001E-2</v>
      </c>
      <c r="J170">
        <v>3.6260000000000001E-2</v>
      </c>
      <c r="K170">
        <v>3.6260000000000001E-2</v>
      </c>
      <c r="L170">
        <v>3.6260000000000001E-2</v>
      </c>
      <c r="M170">
        <v>3.6260000000000001E-2</v>
      </c>
      <c r="X170" t="s">
        <v>70</v>
      </c>
      <c r="Y170" t="str">
        <f>VLOOKUP(Conso_FCST[[#This Row],[Country]],'Country-Region'!A:D,4,0)</f>
        <v>DACH Region</v>
      </c>
      <c r="Z170" t="str">
        <f>VLOOKUP(Conso_FCST[[#This Row],[Country]],'Country-Region'!A:D,3,0)</f>
        <v>Germany</v>
      </c>
      <c r="AA170" t="str">
        <f>IFERROR(VLOOKUP(Conso_FCST[[#This Row],[Model name]],Prod_T6[[#All],[Model name]:[Product Conso]],2,0),"exclude")</f>
        <v>exclude</v>
      </c>
    </row>
    <row r="171" spans="1:27" hidden="1">
      <c r="A171" t="s">
        <v>32</v>
      </c>
      <c r="B171" t="s">
        <v>274</v>
      </c>
      <c r="C171" t="s">
        <v>259</v>
      </c>
      <c r="D171" t="s">
        <v>134</v>
      </c>
      <c r="E171" t="s">
        <v>135</v>
      </c>
      <c r="F171" t="s">
        <v>120</v>
      </c>
      <c r="H171" s="184" t="s">
        <v>117</v>
      </c>
      <c r="N171">
        <v>3.5999999999999997E-2</v>
      </c>
      <c r="O171">
        <v>3.5999999999999997E-2</v>
      </c>
      <c r="P171">
        <v>3.5999999999999997E-2</v>
      </c>
      <c r="Q171">
        <v>3.5999999999999997E-2</v>
      </c>
      <c r="X171" t="s">
        <v>70</v>
      </c>
      <c r="Y171" t="str">
        <f>VLOOKUP(Conso_FCST[[#This Row],[Country]],'Country-Region'!A:D,4,0)</f>
        <v>DACH Region</v>
      </c>
      <c r="Z171" t="str">
        <f>VLOOKUP(Conso_FCST[[#This Row],[Country]],'Country-Region'!A:D,3,0)</f>
        <v>Germany</v>
      </c>
      <c r="AA171" t="str">
        <f>IFERROR(VLOOKUP(Conso_FCST[[#This Row],[Model name]],Prod_T6[[#All],[Model name]:[Product Conso]],2,0),"exclude")</f>
        <v>SPR-BE54-HD</v>
      </c>
    </row>
    <row r="172" spans="1:27" hidden="1">
      <c r="A172" t="s">
        <v>32</v>
      </c>
      <c r="B172" t="s">
        <v>274</v>
      </c>
      <c r="C172" t="s">
        <v>259</v>
      </c>
      <c r="D172" t="s">
        <v>134</v>
      </c>
      <c r="E172" t="s">
        <v>263</v>
      </c>
      <c r="F172" t="s">
        <v>120</v>
      </c>
      <c r="H172" s="184" t="s">
        <v>117</v>
      </c>
      <c r="N172">
        <v>4.3200000000000002E-2</v>
      </c>
      <c r="O172">
        <v>4.3200000000000002E-2</v>
      </c>
      <c r="P172">
        <v>4.3200000000000002E-2</v>
      </c>
      <c r="Q172">
        <v>4.3200000000000002E-2</v>
      </c>
      <c r="X172" t="s">
        <v>70</v>
      </c>
      <c r="Y172" t="str">
        <f>VLOOKUP(Conso_FCST[[#This Row],[Country]],'Country-Region'!A:D,4,0)</f>
        <v>DACH Region</v>
      </c>
      <c r="Z172" t="str">
        <f>VLOOKUP(Conso_FCST[[#This Row],[Country]],'Country-Region'!A:D,3,0)</f>
        <v>Germany</v>
      </c>
      <c r="AA172" t="str">
        <f>IFERROR(VLOOKUP(Conso_FCST[[#This Row],[Model name]],Prod_T6[[#All],[Model name]:[Product Conso]],2,0),"exclude")</f>
        <v>SPR-BE66-GD</v>
      </c>
    </row>
    <row r="173" spans="1:27" hidden="1">
      <c r="A173" t="s">
        <v>32</v>
      </c>
      <c r="B173" t="s">
        <v>278</v>
      </c>
      <c r="C173" t="s">
        <v>259</v>
      </c>
      <c r="D173" t="s">
        <v>118</v>
      </c>
      <c r="E173" t="s">
        <v>180</v>
      </c>
      <c r="F173" t="s">
        <v>120</v>
      </c>
      <c r="H173" s="184" t="s">
        <v>117</v>
      </c>
      <c r="M173">
        <v>3.7080000000000002E-2</v>
      </c>
      <c r="X173" t="s">
        <v>70</v>
      </c>
      <c r="Y173" t="str">
        <f>VLOOKUP(Conso_FCST[[#This Row],[Country]],'Country-Region'!A:D,4,0)</f>
        <v>DACH Region</v>
      </c>
      <c r="Z173" t="str">
        <f>VLOOKUP(Conso_FCST[[#This Row],[Country]],'Country-Region'!A:D,3,0)</f>
        <v>Germany</v>
      </c>
      <c r="AA173" t="str">
        <f>IFERROR(VLOOKUP(Conso_FCST[[#This Row],[Model name]],Prod_T6[[#All],[Model name]:[Product Conso]],2,0),"exclude")</f>
        <v>P7 RES BLK-P</v>
      </c>
    </row>
    <row r="174" spans="1:27" hidden="1">
      <c r="A174" t="s">
        <v>32</v>
      </c>
      <c r="B174" t="s">
        <v>278</v>
      </c>
      <c r="C174" t="s">
        <v>259</v>
      </c>
      <c r="D174" t="s">
        <v>197</v>
      </c>
      <c r="E174" t="s">
        <v>61</v>
      </c>
      <c r="F174" t="s">
        <v>136</v>
      </c>
      <c r="H174" s="184" t="s">
        <v>117</v>
      </c>
      <c r="K174">
        <v>1</v>
      </c>
      <c r="N174">
        <v>1</v>
      </c>
      <c r="P174">
        <v>1</v>
      </c>
      <c r="X174" t="s">
        <v>27</v>
      </c>
      <c r="Y174" t="str">
        <f>VLOOKUP(Conso_FCST[[#This Row],[Country]],'Country-Region'!A:D,4,0)</f>
        <v>DACH Region</v>
      </c>
      <c r="Z174" t="str">
        <f>VLOOKUP(Conso_FCST[[#This Row],[Country]],'Country-Region'!A:D,3,0)</f>
        <v>Germany</v>
      </c>
      <c r="AA174" t="str">
        <f>IFERROR(VLOOKUP(Conso_FCST[[#This Row],[Model name]],Prod_T6[[#All],[Model name]:[Product Conso]],2,0),"exclude")</f>
        <v>Gen2 3P 10kw</v>
      </c>
    </row>
    <row r="175" spans="1:27" hidden="1">
      <c r="A175" t="s">
        <v>32</v>
      </c>
      <c r="B175" t="s">
        <v>279</v>
      </c>
      <c r="C175" t="s">
        <v>259</v>
      </c>
      <c r="D175" t="s">
        <v>118</v>
      </c>
      <c r="E175" t="s">
        <v>255</v>
      </c>
      <c r="F175" t="s">
        <v>120</v>
      </c>
      <c r="H175" s="184" t="s">
        <v>117</v>
      </c>
      <c r="L175">
        <v>7.3260000000000006E-2</v>
      </c>
      <c r="O175">
        <v>7.3260000000000006E-2</v>
      </c>
      <c r="X175" t="s">
        <v>70</v>
      </c>
      <c r="Y175" t="str">
        <f>VLOOKUP(Conso_FCST[[#This Row],[Country]],'Country-Region'!A:D,4,0)</f>
        <v>DACH Region</v>
      </c>
      <c r="Z175" t="str">
        <f>VLOOKUP(Conso_FCST[[#This Row],[Country]],'Country-Region'!A:D,3,0)</f>
        <v>Germany</v>
      </c>
      <c r="AA175" t="str">
        <f>IFERROR(VLOOKUP(Conso_FCST[[#This Row],[Model name]],Prod_T6[[#All],[Model name]:[Product Conso]],2,0),"exclude")</f>
        <v>P7 COM S BF IT</v>
      </c>
    </row>
    <row r="176" spans="1:27" hidden="1">
      <c r="A176" t="s">
        <v>32</v>
      </c>
      <c r="B176" t="s">
        <v>280</v>
      </c>
      <c r="C176" t="s">
        <v>259</v>
      </c>
      <c r="D176" t="s">
        <v>118</v>
      </c>
      <c r="E176" t="s">
        <v>281</v>
      </c>
      <c r="F176" t="s">
        <v>120</v>
      </c>
      <c r="H176" s="184" t="s">
        <v>117</v>
      </c>
      <c r="I176">
        <v>0.42120000000000002</v>
      </c>
      <c r="X176" t="s">
        <v>70</v>
      </c>
      <c r="Y176" t="str">
        <f>VLOOKUP(Conso_FCST[[#This Row],[Country]],'Country-Region'!A:D,4,0)</f>
        <v>DACH Region</v>
      </c>
      <c r="Z176" t="str">
        <f>VLOOKUP(Conso_FCST[[#This Row],[Country]],'Country-Region'!A:D,3,0)</f>
        <v>Germany</v>
      </c>
      <c r="AA176" t="str">
        <f>IFERROR(VLOOKUP(Conso_FCST[[#This Row],[Model name]],Prod_T6[[#All],[Model name]:[Product Conso]],2,0),"exclude")</f>
        <v>P7 RES BLK 2.0</v>
      </c>
    </row>
    <row r="177" spans="1:27" hidden="1">
      <c r="A177" t="s">
        <v>32</v>
      </c>
      <c r="B177" t="s">
        <v>280</v>
      </c>
      <c r="C177" t="s">
        <v>259</v>
      </c>
      <c r="D177" t="s">
        <v>134</v>
      </c>
      <c r="E177" t="s">
        <v>135</v>
      </c>
      <c r="F177" t="s">
        <v>154</v>
      </c>
      <c r="G177" t="s">
        <v>282</v>
      </c>
      <c r="H177" s="184" t="s">
        <v>117</v>
      </c>
      <c r="L177">
        <v>0.216</v>
      </c>
      <c r="O177">
        <v>0.216</v>
      </c>
      <c r="X177" t="s">
        <v>70</v>
      </c>
      <c r="Y177" t="str">
        <f>VLOOKUP(Conso_FCST[[#This Row],[Country]],'Country-Region'!A:D,4,0)</f>
        <v>DACH Region</v>
      </c>
      <c r="Z177" t="str">
        <f>VLOOKUP(Conso_FCST[[#This Row],[Country]],'Country-Region'!A:D,3,0)</f>
        <v>Germany</v>
      </c>
      <c r="AA177" t="str">
        <f>IFERROR(VLOOKUP(Conso_FCST[[#This Row],[Model name]],Prod_T6[[#All],[Model name]:[Product Conso]],2,0),"exclude")</f>
        <v>SPR-BE54-HD</v>
      </c>
    </row>
    <row r="178" spans="1:27" hidden="1">
      <c r="A178" t="s">
        <v>32</v>
      </c>
      <c r="B178" t="s">
        <v>270</v>
      </c>
      <c r="C178" t="s">
        <v>259</v>
      </c>
      <c r="D178" t="s">
        <v>118</v>
      </c>
      <c r="E178" t="s">
        <v>180</v>
      </c>
      <c r="F178" t="s">
        <v>120</v>
      </c>
      <c r="H178" s="184" t="s">
        <v>117</v>
      </c>
      <c r="K178">
        <v>0.11124000000000001</v>
      </c>
      <c r="M178">
        <v>0.11124000000000001</v>
      </c>
      <c r="P178">
        <v>0.11124000000000001</v>
      </c>
      <c r="X178" t="s">
        <v>70</v>
      </c>
      <c r="Y178" t="str">
        <f>VLOOKUP(Conso_FCST[[#This Row],[Country]],'Country-Region'!A:D,4,0)</f>
        <v>DACH Region</v>
      </c>
      <c r="Z178" t="str">
        <f>VLOOKUP(Conso_FCST[[#This Row],[Country]],'Country-Region'!A:D,3,0)</f>
        <v>Germany</v>
      </c>
      <c r="AA178" t="str">
        <f>IFERROR(VLOOKUP(Conso_FCST[[#This Row],[Model name]],Prod_T6[[#All],[Model name]:[Product Conso]],2,0),"exclude")</f>
        <v>P7 RES BLK-P</v>
      </c>
    </row>
    <row r="179" spans="1:27" hidden="1">
      <c r="A179" t="s">
        <v>32</v>
      </c>
      <c r="B179" t="s">
        <v>283</v>
      </c>
      <c r="C179" t="s">
        <v>268</v>
      </c>
      <c r="D179" t="s">
        <v>134</v>
      </c>
      <c r="E179" t="s">
        <v>135</v>
      </c>
      <c r="F179" t="s">
        <v>120</v>
      </c>
      <c r="G179" t="s">
        <v>284</v>
      </c>
      <c r="H179" s="184" t="s">
        <v>117</v>
      </c>
      <c r="O179">
        <v>0.14112</v>
      </c>
      <c r="X179" t="s">
        <v>70</v>
      </c>
      <c r="Y179" t="str">
        <f>VLOOKUP(Conso_FCST[[#This Row],[Country]],'Country-Region'!A:D,4,0)</f>
        <v>DACH Region</v>
      </c>
      <c r="Z179" t="str">
        <f>VLOOKUP(Conso_FCST[[#This Row],[Country]],'Country-Region'!A:D,3,0)</f>
        <v>Germany</v>
      </c>
      <c r="AA179" t="str">
        <f>IFERROR(VLOOKUP(Conso_FCST[[#This Row],[Model name]],Prod_T6[[#All],[Model name]:[Product Conso]],2,0),"exclude")</f>
        <v>SPR-BE54-HD</v>
      </c>
    </row>
    <row r="180" spans="1:27" hidden="1">
      <c r="A180" t="s">
        <v>32</v>
      </c>
      <c r="B180" t="s">
        <v>285</v>
      </c>
      <c r="C180" t="s">
        <v>268</v>
      </c>
      <c r="D180" t="s">
        <v>134</v>
      </c>
      <c r="E180" t="s">
        <v>135</v>
      </c>
      <c r="F180" t="s">
        <v>120</v>
      </c>
      <c r="G180" t="s">
        <v>284</v>
      </c>
      <c r="H180" s="184" t="s">
        <v>117</v>
      </c>
      <c r="O180">
        <v>0.14112</v>
      </c>
      <c r="X180" t="s">
        <v>70</v>
      </c>
      <c r="Y180" t="str">
        <f>VLOOKUP(Conso_FCST[[#This Row],[Country]],'Country-Region'!A:D,4,0)</f>
        <v>DACH Region</v>
      </c>
      <c r="Z180" t="str">
        <f>VLOOKUP(Conso_FCST[[#This Row],[Country]],'Country-Region'!A:D,3,0)</f>
        <v>Germany</v>
      </c>
      <c r="AA180" t="str">
        <f>IFERROR(VLOOKUP(Conso_FCST[[#This Row],[Model name]],Prod_T6[[#All],[Model name]:[Product Conso]],2,0),"exclude")</f>
        <v>SPR-BE54-HD</v>
      </c>
    </row>
    <row r="181" spans="1:27" hidden="1">
      <c r="A181" t="s">
        <v>32</v>
      </c>
      <c r="B181" t="s">
        <v>286</v>
      </c>
      <c r="C181" t="s">
        <v>268</v>
      </c>
      <c r="D181" t="s">
        <v>118</v>
      </c>
      <c r="E181" t="s">
        <v>255</v>
      </c>
      <c r="F181" t="s">
        <v>120</v>
      </c>
      <c r="H181" s="184" t="s">
        <v>117</v>
      </c>
      <c r="L181">
        <v>0.2</v>
      </c>
      <c r="N181">
        <v>0.25</v>
      </c>
      <c r="X181" t="s">
        <v>70</v>
      </c>
      <c r="Y181" t="str">
        <f>VLOOKUP(Conso_FCST[[#This Row],[Country]],'Country-Region'!A:D,4,0)</f>
        <v>DACH Region</v>
      </c>
      <c r="Z181" t="str">
        <f>VLOOKUP(Conso_FCST[[#This Row],[Country]],'Country-Region'!A:D,3,0)</f>
        <v>Germany</v>
      </c>
      <c r="AA181" t="str">
        <f>IFERROR(VLOOKUP(Conso_FCST[[#This Row],[Model name]],Prod_T6[[#All],[Model name]:[Product Conso]],2,0),"exclude")</f>
        <v>P7 COM S BF IT</v>
      </c>
    </row>
    <row r="182" spans="1:27" hidden="1">
      <c r="A182" t="s">
        <v>32</v>
      </c>
      <c r="B182" t="s">
        <v>287</v>
      </c>
      <c r="D182" t="s">
        <v>54</v>
      </c>
      <c r="E182" t="s">
        <v>126</v>
      </c>
      <c r="F182" t="s">
        <v>136</v>
      </c>
      <c r="G182" t="s">
        <v>288</v>
      </c>
      <c r="H182" s="184" t="s">
        <v>132</v>
      </c>
      <c r="N182">
        <v>4</v>
      </c>
      <c r="O182">
        <v>4</v>
      </c>
      <c r="P182">
        <v>4</v>
      </c>
      <c r="X182" t="s">
        <v>70</v>
      </c>
      <c r="Y182" t="str">
        <f>VLOOKUP(Conso_FCST[[#This Row],[Country]],'Country-Region'!A:D,4,0)</f>
        <v>DACH Region</v>
      </c>
      <c r="Z182" t="str">
        <f>VLOOKUP(Conso_FCST[[#This Row],[Country]],'Country-Region'!A:D,3,0)</f>
        <v>Germany</v>
      </c>
      <c r="AA182" t="str">
        <f>IFERROR(VLOOKUP(Conso_FCST[[#This Row],[Model name]],Prod_T6[[#All],[Model name]:[Product Conso]],2,0),"exclude")</f>
        <v>HSM-ND66-GK</v>
      </c>
    </row>
    <row r="183" spans="1:27" hidden="1">
      <c r="A183" t="s">
        <v>32</v>
      </c>
      <c r="B183" t="s">
        <v>287</v>
      </c>
      <c r="D183" t="s">
        <v>149</v>
      </c>
      <c r="E183" t="s">
        <v>289</v>
      </c>
      <c r="F183" t="s">
        <v>136</v>
      </c>
      <c r="G183" t="s">
        <v>290</v>
      </c>
      <c r="H183" s="184" t="s">
        <v>132</v>
      </c>
      <c r="N183">
        <v>20</v>
      </c>
      <c r="O183">
        <v>20</v>
      </c>
      <c r="P183">
        <v>20</v>
      </c>
      <c r="X183" t="s">
        <v>70</v>
      </c>
      <c r="Y183" t="str">
        <f>VLOOKUP(Conso_FCST[[#This Row],[Country]],'Country-Region'!A:D,4,0)</f>
        <v>DACH Region</v>
      </c>
      <c r="Z183" t="str">
        <f>VLOOKUP(Conso_FCST[[#This Row],[Country]],'Country-Region'!A:D,3,0)</f>
        <v>Germany</v>
      </c>
      <c r="AA183" t="str">
        <f>IFERROR(VLOOKUP(Conso_FCST[[#This Row],[Model name]],Prod_T6[[#All],[Model name]:[Product Conso]],2,0),"exclude")</f>
        <v>exclude</v>
      </c>
    </row>
    <row r="184" spans="1:27" hidden="1">
      <c r="A184" t="s">
        <v>32</v>
      </c>
      <c r="B184" t="s">
        <v>287</v>
      </c>
      <c r="D184" t="s">
        <v>134</v>
      </c>
      <c r="E184" t="s">
        <v>135</v>
      </c>
      <c r="F184" t="s">
        <v>136</v>
      </c>
      <c r="G184" t="s">
        <v>291</v>
      </c>
      <c r="H184" s="184" t="s">
        <v>132</v>
      </c>
      <c r="N184">
        <v>1</v>
      </c>
      <c r="O184">
        <v>1</v>
      </c>
      <c r="P184">
        <v>1</v>
      </c>
      <c r="X184" t="s">
        <v>70</v>
      </c>
      <c r="Y184" t="str">
        <f>VLOOKUP(Conso_FCST[[#This Row],[Country]],'Country-Region'!A:D,4,0)</f>
        <v>DACH Region</v>
      </c>
      <c r="Z184" t="str">
        <f>VLOOKUP(Conso_FCST[[#This Row],[Country]],'Country-Region'!A:D,3,0)</f>
        <v>Germany</v>
      </c>
      <c r="AA184" t="str">
        <f>IFERROR(VLOOKUP(Conso_FCST[[#This Row],[Model name]],Prod_T6[[#All],[Model name]:[Product Conso]],2,0),"exclude")</f>
        <v>SPR-BE54-HD</v>
      </c>
    </row>
    <row r="185" spans="1:27" hidden="1">
      <c r="A185" t="s">
        <v>32</v>
      </c>
      <c r="B185" t="s">
        <v>292</v>
      </c>
      <c r="C185" t="s">
        <v>293</v>
      </c>
      <c r="D185" t="s">
        <v>113</v>
      </c>
      <c r="E185" t="s">
        <v>153</v>
      </c>
      <c r="F185" t="s">
        <v>136</v>
      </c>
      <c r="G185" t="s">
        <v>293</v>
      </c>
      <c r="H185" s="184" t="s">
        <v>132</v>
      </c>
      <c r="N185">
        <v>0</v>
      </c>
      <c r="O185">
        <v>1</v>
      </c>
      <c r="P185">
        <v>3</v>
      </c>
      <c r="Q185">
        <v>3</v>
      </c>
      <c r="X185" t="s">
        <v>70</v>
      </c>
      <c r="Y185" t="str">
        <f>VLOOKUP(Conso_FCST[[#This Row],[Country]],'Country-Region'!A:D,4,0)</f>
        <v>DACH Region</v>
      </c>
      <c r="Z185" t="str">
        <f>VLOOKUP(Conso_FCST[[#This Row],[Country]],'Country-Region'!A:D,3,0)</f>
        <v>Germany</v>
      </c>
      <c r="AA185" t="str">
        <f>IFERROR(VLOOKUP(Conso_FCST[[#This Row],[Model name]],Prod_T6[[#All],[Model name]:[Product Conso]],2,0),"exclude")</f>
        <v>HSM-BE54-HD</v>
      </c>
    </row>
    <row r="186" spans="1:27" hidden="1">
      <c r="A186" t="s">
        <v>32</v>
      </c>
      <c r="B186" t="s">
        <v>292</v>
      </c>
      <c r="C186" t="s">
        <v>294</v>
      </c>
      <c r="D186" t="s">
        <v>113</v>
      </c>
      <c r="E186" t="s">
        <v>153</v>
      </c>
      <c r="F186" t="s">
        <v>136</v>
      </c>
      <c r="G186" t="s">
        <v>295</v>
      </c>
      <c r="H186" s="184" t="s">
        <v>117</v>
      </c>
      <c r="N186">
        <v>0</v>
      </c>
      <c r="O186">
        <v>1</v>
      </c>
      <c r="P186">
        <v>1</v>
      </c>
      <c r="Q186">
        <v>1</v>
      </c>
      <c r="X186" t="s">
        <v>70</v>
      </c>
      <c r="Y186" t="str">
        <f>VLOOKUP(Conso_FCST[[#This Row],[Country]],'Country-Region'!A:D,4,0)</f>
        <v>DACH Region</v>
      </c>
      <c r="Z186" t="str">
        <f>VLOOKUP(Conso_FCST[[#This Row],[Country]],'Country-Region'!A:D,3,0)</f>
        <v>Germany</v>
      </c>
      <c r="AA186" t="str">
        <f>IFERROR(VLOOKUP(Conso_FCST[[#This Row],[Model name]],Prod_T6[[#All],[Model name]:[Product Conso]],2,0),"exclude")</f>
        <v>HSM-BE54-HD</v>
      </c>
    </row>
    <row r="187" spans="1:27" hidden="1">
      <c r="A187" t="s">
        <v>32</v>
      </c>
      <c r="B187" t="s">
        <v>292</v>
      </c>
      <c r="C187" t="s">
        <v>294</v>
      </c>
      <c r="D187" t="s">
        <v>113</v>
      </c>
      <c r="E187" t="s">
        <v>182</v>
      </c>
      <c r="F187" t="s">
        <v>136</v>
      </c>
      <c r="G187" t="s">
        <v>296</v>
      </c>
      <c r="H187" s="184" t="s">
        <v>117</v>
      </c>
      <c r="N187">
        <v>2</v>
      </c>
      <c r="O187">
        <v>2</v>
      </c>
      <c r="P187">
        <v>2</v>
      </c>
      <c r="X187" t="s">
        <v>70</v>
      </c>
      <c r="Y187" t="str">
        <f>VLOOKUP(Conso_FCST[[#This Row],[Country]],'Country-Region'!A:D,4,0)</f>
        <v>DACH Region</v>
      </c>
      <c r="Z187" t="str">
        <f>VLOOKUP(Conso_FCST[[#This Row],[Country]],'Country-Region'!A:D,3,0)</f>
        <v>Germany</v>
      </c>
      <c r="AA187" t="str">
        <f>IFERROR(VLOOKUP(Conso_FCST[[#This Row],[Model name]],Prod_T6[[#All],[Model name]:[Product Conso]],2,0),"exclude")</f>
        <v xml:space="preserve">HSM-BE66-GD </v>
      </c>
    </row>
    <row r="188" spans="1:27" hidden="1">
      <c r="A188" t="s">
        <v>32</v>
      </c>
      <c r="B188" t="s">
        <v>292</v>
      </c>
      <c r="C188" t="s">
        <v>294</v>
      </c>
      <c r="D188" t="s">
        <v>54</v>
      </c>
      <c r="E188" t="s">
        <v>297</v>
      </c>
      <c r="F188" t="s">
        <v>136</v>
      </c>
      <c r="G188" t="s">
        <v>298</v>
      </c>
      <c r="H188" s="184" t="s">
        <v>117</v>
      </c>
      <c r="N188">
        <v>2</v>
      </c>
      <c r="O188">
        <v>2</v>
      </c>
      <c r="P188">
        <v>2</v>
      </c>
      <c r="X188" t="s">
        <v>70</v>
      </c>
      <c r="Y188" t="str">
        <f>VLOOKUP(Conso_FCST[[#This Row],[Country]],'Country-Region'!A:D,4,0)</f>
        <v>DACH Region</v>
      </c>
      <c r="Z188" t="str">
        <f>VLOOKUP(Conso_FCST[[#This Row],[Country]],'Country-Region'!A:D,3,0)</f>
        <v>Germany</v>
      </c>
      <c r="AA188" t="str">
        <f>IFERROR(VLOOKUP(Conso_FCST[[#This Row],[Model name]],Prod_T6[[#All],[Model name]:[Product Conso]],2,0),"exclude")</f>
        <v>HSM-ND66-GR</v>
      </c>
    </row>
    <row r="189" spans="1:27" hidden="1">
      <c r="A189" t="s">
        <v>32</v>
      </c>
      <c r="B189" t="s">
        <v>292</v>
      </c>
      <c r="C189" t="s">
        <v>294</v>
      </c>
      <c r="D189" t="s">
        <v>54</v>
      </c>
      <c r="E189" t="s">
        <v>299</v>
      </c>
      <c r="F189" t="s">
        <v>136</v>
      </c>
      <c r="G189" t="s">
        <v>288</v>
      </c>
      <c r="H189" s="184" t="s">
        <v>117</v>
      </c>
      <c r="N189">
        <v>2</v>
      </c>
      <c r="O189">
        <v>2</v>
      </c>
      <c r="P189">
        <v>2</v>
      </c>
      <c r="X189" t="s">
        <v>70</v>
      </c>
      <c r="Y189" t="str">
        <f>VLOOKUP(Conso_FCST[[#This Row],[Country]],'Country-Region'!A:D,4,0)</f>
        <v>DACH Region</v>
      </c>
      <c r="Z189" t="str">
        <f>VLOOKUP(Conso_FCST[[#This Row],[Country]],'Country-Region'!A:D,3,0)</f>
        <v>Germany</v>
      </c>
      <c r="AA189" t="str">
        <f>IFERROR(VLOOKUP(Conso_FCST[[#This Row],[Model name]],Prod_T6[[#All],[Model name]:[Product Conso]],2,0),"exclude")</f>
        <v>HSM-ND66-GK</v>
      </c>
    </row>
    <row r="190" spans="1:27" hidden="1">
      <c r="A190" t="s">
        <v>32</v>
      </c>
      <c r="B190" t="s">
        <v>300</v>
      </c>
      <c r="C190" t="s">
        <v>301</v>
      </c>
      <c r="D190" t="s">
        <v>113</v>
      </c>
      <c r="E190" t="s">
        <v>153</v>
      </c>
      <c r="F190" t="s">
        <v>136</v>
      </c>
      <c r="G190" t="s">
        <v>293</v>
      </c>
      <c r="H190" s="184" t="s">
        <v>117</v>
      </c>
      <c r="N190">
        <v>0</v>
      </c>
      <c r="O190">
        <v>2</v>
      </c>
      <c r="P190">
        <v>1</v>
      </c>
      <c r="Q190">
        <v>1</v>
      </c>
      <c r="X190" t="s">
        <v>70</v>
      </c>
      <c r="Y190" t="str">
        <f>VLOOKUP(Conso_FCST[[#This Row],[Country]],'Country-Region'!A:D,4,0)</f>
        <v>DACH Region</v>
      </c>
      <c r="Z190" t="str">
        <f>VLOOKUP(Conso_FCST[[#This Row],[Country]],'Country-Region'!A:D,3,0)</f>
        <v>Germany</v>
      </c>
      <c r="AA190" t="str">
        <f>IFERROR(VLOOKUP(Conso_FCST[[#This Row],[Model name]],Prod_T6[[#All],[Model name]:[Product Conso]],2,0),"exclude")</f>
        <v>HSM-BE54-HD</v>
      </c>
    </row>
    <row r="191" spans="1:27" hidden="1">
      <c r="A191" t="s">
        <v>32</v>
      </c>
      <c r="B191" t="s">
        <v>300</v>
      </c>
      <c r="C191" t="s">
        <v>301</v>
      </c>
      <c r="D191" t="s">
        <v>54</v>
      </c>
      <c r="E191" t="s">
        <v>297</v>
      </c>
      <c r="F191" t="s">
        <v>136</v>
      </c>
      <c r="G191" t="s">
        <v>298</v>
      </c>
      <c r="H191" s="184" t="s">
        <v>117</v>
      </c>
      <c r="N191">
        <v>1</v>
      </c>
      <c r="O191">
        <v>1</v>
      </c>
      <c r="P191">
        <v>1</v>
      </c>
      <c r="X191" t="s">
        <v>70</v>
      </c>
      <c r="Y191" t="str">
        <f>VLOOKUP(Conso_FCST[[#This Row],[Country]],'Country-Region'!A:D,4,0)</f>
        <v>DACH Region</v>
      </c>
      <c r="Z191" t="str">
        <f>VLOOKUP(Conso_FCST[[#This Row],[Country]],'Country-Region'!A:D,3,0)</f>
        <v>Germany</v>
      </c>
      <c r="AA191" t="str">
        <f>IFERROR(VLOOKUP(Conso_FCST[[#This Row],[Model name]],Prod_T6[[#All],[Model name]:[Product Conso]],2,0),"exclude")</f>
        <v>HSM-ND66-GR</v>
      </c>
    </row>
    <row r="192" spans="1:27" hidden="1">
      <c r="A192" t="s">
        <v>32</v>
      </c>
      <c r="B192" t="s">
        <v>300</v>
      </c>
      <c r="C192" t="s">
        <v>301</v>
      </c>
      <c r="D192" t="s">
        <v>54</v>
      </c>
      <c r="E192" t="s">
        <v>299</v>
      </c>
      <c r="F192" t="s">
        <v>136</v>
      </c>
      <c r="G192" t="s">
        <v>288</v>
      </c>
      <c r="H192" s="184" t="s">
        <v>117</v>
      </c>
      <c r="N192">
        <v>1</v>
      </c>
      <c r="O192">
        <v>1</v>
      </c>
      <c r="P192">
        <v>1</v>
      </c>
      <c r="X192" t="s">
        <v>70</v>
      </c>
      <c r="Y192" t="str">
        <f>VLOOKUP(Conso_FCST[[#This Row],[Country]],'Country-Region'!A:D,4,0)</f>
        <v>DACH Region</v>
      </c>
      <c r="Z192" t="str">
        <f>VLOOKUP(Conso_FCST[[#This Row],[Country]],'Country-Region'!A:D,3,0)</f>
        <v>Germany</v>
      </c>
      <c r="AA192" t="str">
        <f>IFERROR(VLOOKUP(Conso_FCST[[#This Row],[Model name]],Prod_T6[[#All],[Model name]:[Product Conso]],2,0),"exclude")</f>
        <v>HSM-ND66-GK</v>
      </c>
    </row>
    <row r="193" spans="1:27" hidden="1">
      <c r="A193" t="s">
        <v>32</v>
      </c>
      <c r="B193" t="s">
        <v>302</v>
      </c>
      <c r="D193" t="s">
        <v>54</v>
      </c>
      <c r="E193" t="s">
        <v>129</v>
      </c>
      <c r="F193" t="s">
        <v>115</v>
      </c>
      <c r="H193" s="184" t="s">
        <v>117</v>
      </c>
      <c r="N193">
        <v>10</v>
      </c>
      <c r="O193">
        <v>10</v>
      </c>
      <c r="P193">
        <v>10</v>
      </c>
      <c r="Q193">
        <v>20</v>
      </c>
      <c r="X193" t="s">
        <v>70</v>
      </c>
      <c r="Y193" t="str">
        <f>VLOOKUP(Conso_FCST[[#This Row],[Country]],'Country-Region'!A:D,4,0)</f>
        <v>DACH Region</v>
      </c>
      <c r="Z193" t="str">
        <f>VLOOKUP(Conso_FCST[[#This Row],[Country]],'Country-Region'!A:D,3,0)</f>
        <v>Germany</v>
      </c>
      <c r="AA193" t="str">
        <f>IFERROR(VLOOKUP(Conso_FCST[[#This Row],[Model name]],Prod_T6[[#All],[Model name]:[Product Conso]],2,0),"exclude")</f>
        <v>HSM-ND48-DR</v>
      </c>
    </row>
    <row r="194" spans="1:27" hidden="1">
      <c r="A194" t="s">
        <v>32</v>
      </c>
      <c r="B194" t="s">
        <v>302</v>
      </c>
      <c r="D194" t="s">
        <v>54</v>
      </c>
      <c r="E194" t="s">
        <v>121</v>
      </c>
      <c r="F194" t="s">
        <v>115</v>
      </c>
      <c r="H194" s="184" t="s">
        <v>117</v>
      </c>
      <c r="N194">
        <v>10</v>
      </c>
      <c r="O194">
        <v>10</v>
      </c>
      <c r="P194">
        <v>10</v>
      </c>
      <c r="Q194">
        <v>70</v>
      </c>
      <c r="X194" t="s">
        <v>70</v>
      </c>
      <c r="Y194" t="str">
        <f>VLOOKUP(Conso_FCST[[#This Row],[Country]],'Country-Region'!A:D,4,0)</f>
        <v>DACH Region</v>
      </c>
      <c r="Z194" t="str">
        <f>VLOOKUP(Conso_FCST[[#This Row],[Country]],'Country-Region'!A:D,3,0)</f>
        <v>Germany</v>
      </c>
      <c r="AA194" t="str">
        <f>IFERROR(VLOOKUP(Conso_FCST[[#This Row],[Model name]],Prod_T6[[#All],[Model name]:[Product Conso]],2,0),"exclude")</f>
        <v>HSM-ND54-DR</v>
      </c>
    </row>
    <row r="195" spans="1:27" hidden="1">
      <c r="A195" t="s">
        <v>32</v>
      </c>
      <c r="B195" t="s">
        <v>303</v>
      </c>
      <c r="D195" t="s">
        <v>54</v>
      </c>
      <c r="E195" t="s">
        <v>166</v>
      </c>
      <c r="F195" t="s">
        <v>115</v>
      </c>
      <c r="H195" s="184" t="s">
        <v>117</v>
      </c>
      <c r="X195" t="s">
        <v>70</v>
      </c>
      <c r="Y195" t="str">
        <f>VLOOKUP(Conso_FCST[[#This Row],[Country]],'Country-Region'!A:D,4,0)</f>
        <v>DACH Region</v>
      </c>
      <c r="Z195" t="str">
        <f>VLOOKUP(Conso_FCST[[#This Row],[Country]],'Country-Region'!A:D,3,0)</f>
        <v>Germany</v>
      </c>
      <c r="AA195" t="str">
        <f>IFERROR(VLOOKUP(Conso_FCST[[#This Row],[Model name]],Prod_T6[[#All],[Model name]:[Product Conso]],2,0),"exclude")</f>
        <v>HSM-ND66-GR</v>
      </c>
    </row>
    <row r="196" spans="1:27" hidden="1">
      <c r="A196" t="s">
        <v>32</v>
      </c>
      <c r="B196" t="s">
        <v>304</v>
      </c>
      <c r="D196" t="s">
        <v>54</v>
      </c>
      <c r="E196" t="s">
        <v>126</v>
      </c>
      <c r="F196" t="s">
        <v>136</v>
      </c>
      <c r="H196" s="184" t="s">
        <v>117</v>
      </c>
      <c r="X196" t="s">
        <v>70</v>
      </c>
      <c r="Y196" t="str">
        <f>VLOOKUP(Conso_FCST[[#This Row],[Country]],'Country-Region'!A:D,4,0)</f>
        <v>DACH Region</v>
      </c>
      <c r="Z196" t="str">
        <f>VLOOKUP(Conso_FCST[[#This Row],[Country]],'Country-Region'!A:D,3,0)</f>
        <v>Germany</v>
      </c>
      <c r="AA196" t="str">
        <f>IFERROR(VLOOKUP(Conso_FCST[[#This Row],[Model name]],Prod_T6[[#All],[Model name]:[Product Conso]],2,0),"exclude")</f>
        <v>HSM-ND66-GK</v>
      </c>
    </row>
    <row r="197" spans="1:27" hidden="1">
      <c r="A197" t="s">
        <v>32</v>
      </c>
      <c r="B197" t="s">
        <v>287</v>
      </c>
      <c r="D197" t="s">
        <v>54</v>
      </c>
      <c r="E197" t="s">
        <v>297</v>
      </c>
      <c r="F197" t="s">
        <v>136</v>
      </c>
      <c r="G197" t="s">
        <v>298</v>
      </c>
      <c r="H197" s="184" t="s">
        <v>132</v>
      </c>
      <c r="N197">
        <v>4</v>
      </c>
      <c r="O197">
        <v>4</v>
      </c>
      <c r="P197">
        <v>4</v>
      </c>
      <c r="X197" t="s">
        <v>70</v>
      </c>
      <c r="Y197" t="str">
        <f>VLOOKUP(Conso_FCST[[#This Row],[Country]],'Country-Region'!A:D,4,0)</f>
        <v>DACH Region</v>
      </c>
      <c r="Z197" t="str">
        <f>VLOOKUP(Conso_FCST[[#This Row],[Country]],'Country-Region'!A:D,3,0)</f>
        <v>Germany</v>
      </c>
      <c r="AA197" t="str">
        <f>IFERROR(VLOOKUP(Conso_FCST[[#This Row],[Model name]],Prod_T6[[#All],[Model name]:[Product Conso]],2,0),"exclude")</f>
        <v>HSM-ND66-GR</v>
      </c>
    </row>
    <row r="198" spans="1:27" hidden="1">
      <c r="A198" t="s">
        <v>32</v>
      </c>
      <c r="B198" t="s">
        <v>287</v>
      </c>
      <c r="D198" t="s">
        <v>113</v>
      </c>
      <c r="E198" t="s">
        <v>182</v>
      </c>
      <c r="F198" t="s">
        <v>136</v>
      </c>
      <c r="G198" t="s">
        <v>296</v>
      </c>
      <c r="H198" s="184" t="s">
        <v>132</v>
      </c>
      <c r="N198">
        <v>3</v>
      </c>
      <c r="O198">
        <v>3</v>
      </c>
      <c r="P198">
        <v>3</v>
      </c>
      <c r="X198" t="s">
        <v>70</v>
      </c>
      <c r="Y198" t="str">
        <f>VLOOKUP(Conso_FCST[[#This Row],[Country]],'Country-Region'!A:D,4,0)</f>
        <v>DACH Region</v>
      </c>
      <c r="Z198" t="str">
        <f>VLOOKUP(Conso_FCST[[#This Row],[Country]],'Country-Region'!A:D,3,0)</f>
        <v>Germany</v>
      </c>
      <c r="AA198" t="str">
        <f>IFERROR(VLOOKUP(Conso_FCST[[#This Row],[Model name]],Prod_T6[[#All],[Model name]:[Product Conso]],2,0),"exclude")</f>
        <v xml:space="preserve">HSM-BE66-GD </v>
      </c>
    </row>
    <row r="199" spans="1:27" hidden="1">
      <c r="A199" t="s">
        <v>32</v>
      </c>
      <c r="B199" t="s">
        <v>287</v>
      </c>
      <c r="C199" t="s">
        <v>293</v>
      </c>
      <c r="D199" t="s">
        <v>113</v>
      </c>
      <c r="E199" t="s">
        <v>153</v>
      </c>
      <c r="F199" t="s">
        <v>136</v>
      </c>
      <c r="G199" t="s">
        <v>293</v>
      </c>
      <c r="H199" s="184" t="s">
        <v>132</v>
      </c>
      <c r="N199">
        <v>1</v>
      </c>
      <c r="O199">
        <v>3</v>
      </c>
      <c r="P199">
        <v>5</v>
      </c>
      <c r="Q199">
        <v>5</v>
      </c>
      <c r="X199" t="s">
        <v>70</v>
      </c>
      <c r="Y199" t="str">
        <f>VLOOKUP(Conso_FCST[[#This Row],[Country]],'Country-Region'!A:D,4,0)</f>
        <v>DACH Region</v>
      </c>
      <c r="Z199" t="str">
        <f>VLOOKUP(Conso_FCST[[#This Row],[Country]],'Country-Region'!A:D,3,0)</f>
        <v>Germany</v>
      </c>
      <c r="AA199" t="str">
        <f>IFERROR(VLOOKUP(Conso_FCST[[#This Row],[Model name]],Prod_T6[[#All],[Model name]:[Product Conso]],2,0),"exclude")</f>
        <v>HSM-BE54-HD</v>
      </c>
    </row>
    <row r="200" spans="1:27" hidden="1">
      <c r="A200" t="s">
        <v>32</v>
      </c>
      <c r="B200" t="s">
        <v>287</v>
      </c>
      <c r="C200" t="s">
        <v>295</v>
      </c>
      <c r="D200" t="s">
        <v>113</v>
      </c>
      <c r="E200" t="s">
        <v>153</v>
      </c>
      <c r="F200" t="s">
        <v>136</v>
      </c>
      <c r="G200" t="s">
        <v>295</v>
      </c>
      <c r="H200" s="184" t="s">
        <v>132</v>
      </c>
      <c r="N200">
        <v>1</v>
      </c>
      <c r="O200">
        <v>3</v>
      </c>
      <c r="P200">
        <v>10</v>
      </c>
      <c r="Q200">
        <v>10</v>
      </c>
      <c r="X200" t="s">
        <v>70</v>
      </c>
      <c r="Y200" t="str">
        <f>VLOOKUP(Conso_FCST[[#This Row],[Country]],'Country-Region'!A:D,4,0)</f>
        <v>DACH Region</v>
      </c>
      <c r="Z200" t="str">
        <f>VLOOKUP(Conso_FCST[[#This Row],[Country]],'Country-Region'!A:D,3,0)</f>
        <v>Germany</v>
      </c>
      <c r="AA200" t="str">
        <f>IFERROR(VLOOKUP(Conso_FCST[[#This Row],[Model name]],Prod_T6[[#All],[Model name]:[Product Conso]],2,0),"exclude")</f>
        <v>HSM-BE54-HD</v>
      </c>
    </row>
    <row r="201" spans="1:27" hidden="1">
      <c r="A201" t="s">
        <v>32</v>
      </c>
      <c r="B201" t="s">
        <v>305</v>
      </c>
      <c r="C201" t="s">
        <v>268</v>
      </c>
      <c r="D201" t="s">
        <v>118</v>
      </c>
      <c r="E201" t="s">
        <v>145</v>
      </c>
      <c r="F201" t="s">
        <v>120</v>
      </c>
      <c r="H201" s="184" t="s">
        <v>117</v>
      </c>
      <c r="K201">
        <v>0.13100000000000001</v>
      </c>
      <c r="X201" t="s">
        <v>70</v>
      </c>
      <c r="Y201" t="str">
        <f>VLOOKUP(Conso_FCST[[#This Row],[Country]],'Country-Region'!A:D,4,0)</f>
        <v>DACH Region</v>
      </c>
      <c r="Z201" t="str">
        <f>VLOOKUP(Conso_FCST[[#This Row],[Country]],'Country-Region'!A:D,3,0)</f>
        <v>Germany</v>
      </c>
      <c r="AA201" t="str">
        <f>IFERROR(VLOOKUP(Conso_FCST[[#This Row],[Model name]],Prod_T6[[#All],[Model name]:[Product Conso]],2,0),"exclude")</f>
        <v>P7 RES BLK 2.0</v>
      </c>
    </row>
    <row r="202" spans="1:27" hidden="1">
      <c r="A202" t="s">
        <v>32</v>
      </c>
      <c r="B202" t="s">
        <v>305</v>
      </c>
      <c r="C202" t="s">
        <v>268</v>
      </c>
      <c r="D202" t="s">
        <v>118</v>
      </c>
      <c r="E202" t="s">
        <v>119</v>
      </c>
      <c r="F202" t="s">
        <v>120</v>
      </c>
      <c r="H202" s="184" t="s">
        <v>117</v>
      </c>
      <c r="M202">
        <v>0.13248000000000001</v>
      </c>
      <c r="O202">
        <v>0.13248000000000001</v>
      </c>
      <c r="X202" t="s">
        <v>70</v>
      </c>
      <c r="Y202" t="str">
        <f>VLOOKUP(Conso_FCST[[#This Row],[Country]],'Country-Region'!A:D,4,0)</f>
        <v>DACH Region</v>
      </c>
      <c r="Z202" t="str">
        <f>VLOOKUP(Conso_FCST[[#This Row],[Country]],'Country-Region'!A:D,3,0)</f>
        <v>Germany</v>
      </c>
      <c r="AA202" t="str">
        <f>IFERROR(VLOOKUP(Conso_FCST[[#This Row],[Model name]],Prod_T6[[#All],[Model name]:[Product Conso]],2,0),"exclude")</f>
        <v>P7 RES BLK 2.0</v>
      </c>
    </row>
    <row r="203" spans="1:27" hidden="1">
      <c r="A203" t="s">
        <v>32</v>
      </c>
      <c r="B203" t="s">
        <v>306</v>
      </c>
      <c r="C203" t="s">
        <v>268</v>
      </c>
      <c r="D203" t="s">
        <v>118</v>
      </c>
      <c r="E203" t="s">
        <v>119</v>
      </c>
      <c r="F203" t="s">
        <v>120</v>
      </c>
      <c r="G203" t="s">
        <v>307</v>
      </c>
      <c r="H203" s="184" t="s">
        <v>117</v>
      </c>
      <c r="J203">
        <v>0.43056</v>
      </c>
      <c r="N203">
        <v>0.43099999999999999</v>
      </c>
      <c r="X203" t="s">
        <v>70</v>
      </c>
      <c r="Y203" t="str">
        <f>VLOOKUP(Conso_FCST[[#This Row],[Country]],'Country-Region'!A:D,4,0)</f>
        <v>DACH Region</v>
      </c>
      <c r="Z203" t="str">
        <f>VLOOKUP(Conso_FCST[[#This Row],[Country]],'Country-Region'!A:D,3,0)</f>
        <v>Germany</v>
      </c>
      <c r="AA203" t="str">
        <f>IFERROR(VLOOKUP(Conso_FCST[[#This Row],[Model name]],Prod_T6[[#All],[Model name]:[Product Conso]],2,0),"exclude")</f>
        <v>P7 RES BLK 2.0</v>
      </c>
    </row>
    <row r="204" spans="1:27" hidden="1">
      <c r="A204" t="s">
        <v>32</v>
      </c>
      <c r="B204" t="s">
        <v>308</v>
      </c>
      <c r="C204" t="s">
        <v>268</v>
      </c>
      <c r="D204" t="s">
        <v>197</v>
      </c>
      <c r="E204" t="s">
        <v>62</v>
      </c>
      <c r="F204" t="s">
        <v>120</v>
      </c>
      <c r="H204" s="184" t="s">
        <v>117</v>
      </c>
      <c r="M204">
        <v>2</v>
      </c>
      <c r="N204">
        <v>2</v>
      </c>
      <c r="O204">
        <v>2</v>
      </c>
      <c r="P204">
        <v>2</v>
      </c>
      <c r="Q204">
        <v>2</v>
      </c>
      <c r="X204" t="s">
        <v>27</v>
      </c>
      <c r="Y204" t="str">
        <f>VLOOKUP(Conso_FCST[[#This Row],[Country]],'Country-Region'!A:D,4,0)</f>
        <v>DACH Region</v>
      </c>
      <c r="Z204" t="str">
        <f>VLOOKUP(Conso_FCST[[#This Row],[Country]],'Country-Region'!A:D,3,0)</f>
        <v>Germany</v>
      </c>
      <c r="AA204" t="str">
        <f>IFERROR(VLOOKUP(Conso_FCST[[#This Row],[Model name]],Prod_T6[[#All],[Model name]:[Product Conso]],2,0),"exclude")</f>
        <v>Gen2 3P 13kw</v>
      </c>
    </row>
    <row r="205" spans="1:27" hidden="1">
      <c r="A205" t="s">
        <v>32</v>
      </c>
      <c r="B205" t="s">
        <v>309</v>
      </c>
      <c r="C205" t="s">
        <v>268</v>
      </c>
      <c r="D205" t="s">
        <v>118</v>
      </c>
      <c r="E205" t="s">
        <v>119</v>
      </c>
      <c r="F205" t="s">
        <v>120</v>
      </c>
      <c r="G205" t="s">
        <v>307</v>
      </c>
      <c r="H205" s="184" t="s">
        <v>117</v>
      </c>
      <c r="I205" s="286"/>
      <c r="J205" s="286"/>
      <c r="K205" s="286">
        <v>0.4</v>
      </c>
      <c r="N205">
        <v>0.43</v>
      </c>
      <c r="X205" t="s">
        <v>70</v>
      </c>
      <c r="Y205" t="str">
        <f>VLOOKUP(Conso_FCST[[#This Row],[Country]],'Country-Region'!A:D,4,0)</f>
        <v>DACH Region</v>
      </c>
      <c r="Z205" t="str">
        <f>VLOOKUP(Conso_FCST[[#This Row],[Country]],'Country-Region'!A:D,3,0)</f>
        <v>Germany</v>
      </c>
      <c r="AA205" t="str">
        <f>IFERROR(VLOOKUP(Conso_FCST[[#This Row],[Model name]],Prod_T6[[#All],[Model name]:[Product Conso]],2,0),"exclude")</f>
        <v>P7 RES BLK 2.0</v>
      </c>
    </row>
    <row r="206" spans="1:27" hidden="1">
      <c r="A206" t="s">
        <v>32</v>
      </c>
      <c r="B206" t="s">
        <v>310</v>
      </c>
      <c r="C206" t="s">
        <v>268</v>
      </c>
      <c r="D206" t="s">
        <v>197</v>
      </c>
      <c r="E206" t="s">
        <v>62</v>
      </c>
      <c r="F206" t="s">
        <v>120</v>
      </c>
      <c r="G206" t="s">
        <v>311</v>
      </c>
      <c r="H206" s="184" t="s">
        <v>117</v>
      </c>
      <c r="M206">
        <v>2</v>
      </c>
      <c r="N206">
        <v>2</v>
      </c>
      <c r="O206">
        <v>2</v>
      </c>
      <c r="P206">
        <v>2</v>
      </c>
      <c r="Q206">
        <v>2</v>
      </c>
      <c r="X206" t="s">
        <v>27</v>
      </c>
      <c r="Y206" t="str">
        <f>VLOOKUP(Conso_FCST[[#This Row],[Country]],'Country-Region'!A:D,4,0)</f>
        <v>DACH Region</v>
      </c>
      <c r="Z206" t="str">
        <f>VLOOKUP(Conso_FCST[[#This Row],[Country]],'Country-Region'!A:D,3,0)</f>
        <v>Germany</v>
      </c>
      <c r="AA206" t="str">
        <f>IFERROR(VLOOKUP(Conso_FCST[[#This Row],[Model name]],Prod_T6[[#All],[Model name]:[Product Conso]],2,0),"exclude")</f>
        <v>Gen2 3P 13kw</v>
      </c>
    </row>
    <row r="207" spans="1:27" hidden="1">
      <c r="A207" t="s">
        <v>32</v>
      </c>
      <c r="B207" t="s">
        <v>310</v>
      </c>
      <c r="C207" t="s">
        <v>268</v>
      </c>
      <c r="D207" t="s">
        <v>118</v>
      </c>
      <c r="E207" t="s">
        <v>119</v>
      </c>
      <c r="F207" t="s">
        <v>120</v>
      </c>
      <c r="H207" s="184" t="s">
        <v>117</v>
      </c>
      <c r="J207">
        <v>0.13</v>
      </c>
      <c r="L207">
        <v>0.13</v>
      </c>
      <c r="N207">
        <v>0.13</v>
      </c>
      <c r="X207" t="s">
        <v>70</v>
      </c>
      <c r="Y207" t="str">
        <f>VLOOKUP(Conso_FCST[[#This Row],[Country]],'Country-Region'!A:D,4,0)</f>
        <v>DACH Region</v>
      </c>
      <c r="Z207" t="str">
        <f>VLOOKUP(Conso_FCST[[#This Row],[Country]],'Country-Region'!A:D,3,0)</f>
        <v>Germany</v>
      </c>
      <c r="AA207" t="str">
        <f>IFERROR(VLOOKUP(Conso_FCST[[#This Row],[Model name]],Prod_T6[[#All],[Model name]:[Product Conso]],2,0),"exclude")</f>
        <v>P7 RES BLK 2.0</v>
      </c>
    </row>
    <row r="208" spans="1:27" hidden="1">
      <c r="A208" t="s">
        <v>32</v>
      </c>
      <c r="B208" t="s">
        <v>272</v>
      </c>
      <c r="C208" t="s">
        <v>259</v>
      </c>
      <c r="D208" t="s">
        <v>118</v>
      </c>
      <c r="E208" t="s">
        <v>255</v>
      </c>
      <c r="F208" t="s">
        <v>120</v>
      </c>
      <c r="H208" s="184" t="s">
        <v>117</v>
      </c>
      <c r="J208">
        <v>0.2</v>
      </c>
      <c r="M208">
        <v>0.14652000000000001</v>
      </c>
      <c r="P208">
        <v>0.14652000000000001</v>
      </c>
      <c r="X208" t="s">
        <v>70</v>
      </c>
      <c r="Y208" t="str">
        <f>VLOOKUP(Conso_FCST[[#This Row],[Country]],'Country-Region'!A:D,4,0)</f>
        <v>DACH Region</v>
      </c>
      <c r="Z208" t="str">
        <f>VLOOKUP(Conso_FCST[[#This Row],[Country]],'Country-Region'!A:D,3,0)</f>
        <v>Germany</v>
      </c>
      <c r="AA208" t="str">
        <f>IFERROR(VLOOKUP(Conso_FCST[[#This Row],[Model name]],Prod_T6[[#All],[Model name]:[Product Conso]],2,0),"exclude")</f>
        <v>P7 COM S BF IT</v>
      </c>
    </row>
    <row r="209" spans="1:27" hidden="1">
      <c r="A209" t="s">
        <v>32</v>
      </c>
      <c r="B209" t="s">
        <v>310</v>
      </c>
      <c r="C209" t="s">
        <v>268</v>
      </c>
      <c r="D209" t="s">
        <v>134</v>
      </c>
      <c r="E209" t="s">
        <v>135</v>
      </c>
      <c r="F209" t="s">
        <v>120</v>
      </c>
      <c r="H209" s="184" t="s">
        <v>117</v>
      </c>
      <c r="P209">
        <v>0.14255999999999999</v>
      </c>
      <c r="X209" t="s">
        <v>70</v>
      </c>
      <c r="Y209" t="str">
        <f>VLOOKUP(Conso_FCST[[#This Row],[Country]],'Country-Region'!A:D,4,0)</f>
        <v>DACH Region</v>
      </c>
      <c r="Z209" t="str">
        <f>VLOOKUP(Conso_FCST[[#This Row],[Country]],'Country-Region'!A:D,3,0)</f>
        <v>Germany</v>
      </c>
      <c r="AA209" t="str">
        <f>IFERROR(VLOOKUP(Conso_FCST[[#This Row],[Model name]],Prod_T6[[#All],[Model name]:[Product Conso]],2,0),"exclude")</f>
        <v>SPR-BE54-HD</v>
      </c>
    </row>
    <row r="210" spans="1:27" hidden="1">
      <c r="A210" t="s">
        <v>32</v>
      </c>
      <c r="B210" t="s">
        <v>287</v>
      </c>
      <c r="D210" t="s">
        <v>54</v>
      </c>
      <c r="E210" t="s">
        <v>159</v>
      </c>
      <c r="F210" t="s">
        <v>136</v>
      </c>
      <c r="H210" s="184" t="s">
        <v>117</v>
      </c>
      <c r="I210">
        <v>2</v>
      </c>
      <c r="J210">
        <v>5</v>
      </c>
      <c r="K210">
        <v>5</v>
      </c>
      <c r="X210" t="s">
        <v>70</v>
      </c>
      <c r="Y210" t="str">
        <f>VLOOKUP(Conso_FCST[[#This Row],[Country]],'Country-Region'!A:D,4,0)</f>
        <v>DACH Region</v>
      </c>
      <c r="Z210" t="str">
        <f>VLOOKUP(Conso_FCST[[#This Row],[Country]],'Country-Region'!A:D,3,0)</f>
        <v>Germany</v>
      </c>
      <c r="AA210" t="str">
        <f>IFERROR(VLOOKUP(Conso_FCST[[#This Row],[Model name]],Prod_T6[[#All],[Model name]:[Product Conso]],2,0),"exclude")</f>
        <v>HSM-ND48-DR</v>
      </c>
    </row>
    <row r="211" spans="1:27" hidden="1">
      <c r="A211" t="s">
        <v>32</v>
      </c>
      <c r="B211" t="s">
        <v>287</v>
      </c>
      <c r="D211" t="s">
        <v>149</v>
      </c>
      <c r="E211" t="s">
        <v>312</v>
      </c>
      <c r="F211" t="s">
        <v>136</v>
      </c>
      <c r="G211">
        <v>475</v>
      </c>
      <c r="H211" s="184" t="s">
        <v>117</v>
      </c>
      <c r="I211">
        <v>2</v>
      </c>
      <c r="J211">
        <v>5</v>
      </c>
      <c r="K211">
        <v>5</v>
      </c>
      <c r="X211" t="s">
        <v>70</v>
      </c>
      <c r="Y211" t="str">
        <f>VLOOKUP(Conso_FCST[[#This Row],[Country]],'Country-Region'!A:D,4,0)</f>
        <v>DACH Region</v>
      </c>
      <c r="Z211" t="str">
        <f>VLOOKUP(Conso_FCST[[#This Row],[Country]],'Country-Region'!A:D,3,0)</f>
        <v>Germany</v>
      </c>
      <c r="AA211" t="str">
        <f>IFERROR(VLOOKUP(Conso_FCST[[#This Row],[Model name]],Prod_T6[[#All],[Model name]:[Product Conso]],2,0),"exclude")</f>
        <v>exclude</v>
      </c>
    </row>
    <row r="212" spans="1:27" hidden="1">
      <c r="A212" t="s">
        <v>32</v>
      </c>
      <c r="B212" t="s">
        <v>313</v>
      </c>
      <c r="D212" t="s">
        <v>149</v>
      </c>
      <c r="E212" t="s">
        <v>289</v>
      </c>
      <c r="F212" t="s">
        <v>136</v>
      </c>
      <c r="G212">
        <v>465</v>
      </c>
      <c r="H212" s="184" t="s">
        <v>132</v>
      </c>
      <c r="I212">
        <v>3</v>
      </c>
      <c r="J212">
        <v>6</v>
      </c>
      <c r="K212">
        <v>6</v>
      </c>
      <c r="X212" t="s">
        <v>70</v>
      </c>
      <c r="Y212" t="str">
        <f>VLOOKUP(Conso_FCST[[#This Row],[Country]],'Country-Region'!A:D,4,0)</f>
        <v>DACH Region</v>
      </c>
      <c r="Z212" t="str">
        <f>VLOOKUP(Conso_FCST[[#This Row],[Country]],'Country-Region'!A:D,3,0)</f>
        <v>Germany</v>
      </c>
      <c r="AA212" t="str">
        <f>IFERROR(VLOOKUP(Conso_FCST[[#This Row],[Model name]],Prod_T6[[#All],[Model name]:[Product Conso]],2,0),"exclude")</f>
        <v>exclude</v>
      </c>
    </row>
    <row r="213" spans="1:27" hidden="1">
      <c r="A213" t="s">
        <v>32</v>
      </c>
      <c r="B213" t="s">
        <v>313</v>
      </c>
      <c r="D213" s="68" t="s">
        <v>314</v>
      </c>
      <c r="E213" t="s">
        <v>315</v>
      </c>
      <c r="F213" t="s">
        <v>136</v>
      </c>
      <c r="G213" t="s">
        <v>316</v>
      </c>
      <c r="H213" s="184" t="s">
        <v>132</v>
      </c>
      <c r="I213">
        <v>30</v>
      </c>
      <c r="X213" t="s">
        <v>70</v>
      </c>
      <c r="Y213" t="str">
        <f>VLOOKUP(Conso_FCST[[#This Row],[Country]],'Country-Region'!A:D,4,0)</f>
        <v>DACH Region</v>
      </c>
      <c r="Z213" t="str">
        <f>VLOOKUP(Conso_FCST[[#This Row],[Country]],'Country-Region'!A:D,3,0)</f>
        <v>Germany</v>
      </c>
      <c r="AA213" t="str">
        <f>IFERROR(VLOOKUP(Conso_FCST[[#This Row],[Model name]],Prod_T6[[#All],[Model name]:[Product Conso]],2,0),"exclude")</f>
        <v>TCL-MR470DT182-58NS</v>
      </c>
    </row>
    <row r="214" spans="1:27" hidden="1">
      <c r="A214" t="s">
        <v>32</v>
      </c>
      <c r="B214" t="s">
        <v>313</v>
      </c>
      <c r="D214" t="s">
        <v>54</v>
      </c>
      <c r="E214" t="s">
        <v>166</v>
      </c>
      <c r="F214" t="s">
        <v>156</v>
      </c>
      <c r="H214" s="184" t="s">
        <v>132</v>
      </c>
      <c r="L214">
        <v>9</v>
      </c>
      <c r="X214" t="s">
        <v>70</v>
      </c>
      <c r="Y214" t="str">
        <f>VLOOKUP(Conso_FCST[[#This Row],[Country]],'Country-Region'!A:D,4,0)</f>
        <v>DACH Region</v>
      </c>
      <c r="Z214" t="str">
        <f>VLOOKUP(Conso_FCST[[#This Row],[Country]],'Country-Region'!A:D,3,0)</f>
        <v>Germany</v>
      </c>
      <c r="AA214" t="str">
        <f>IFERROR(VLOOKUP(Conso_FCST[[#This Row],[Model name]],Prod_T6[[#All],[Model name]:[Product Conso]],2,0),"exclude")</f>
        <v>HSM-ND66-GR</v>
      </c>
    </row>
    <row r="215" spans="1:27" hidden="1">
      <c r="A215" t="s">
        <v>32</v>
      </c>
      <c r="B215" t="s">
        <v>313</v>
      </c>
      <c r="D215" t="s">
        <v>54</v>
      </c>
      <c r="E215" t="s">
        <v>166</v>
      </c>
      <c r="F215" t="s">
        <v>136</v>
      </c>
      <c r="H215" s="184" t="s">
        <v>132</v>
      </c>
      <c r="L215">
        <v>4</v>
      </c>
      <c r="X215" t="s">
        <v>70</v>
      </c>
      <c r="Y215" t="str">
        <f>VLOOKUP(Conso_FCST[[#This Row],[Country]],'Country-Region'!A:D,4,0)</f>
        <v>DACH Region</v>
      </c>
      <c r="Z215" t="str">
        <f>VLOOKUP(Conso_FCST[[#This Row],[Country]],'Country-Region'!A:D,3,0)</f>
        <v>Germany</v>
      </c>
      <c r="AA215" t="str">
        <f>IFERROR(VLOOKUP(Conso_FCST[[#This Row],[Model name]],Prod_T6[[#All],[Model name]:[Product Conso]],2,0),"exclude")</f>
        <v>HSM-ND66-GR</v>
      </c>
    </row>
    <row r="216" spans="1:27" hidden="1">
      <c r="A216" t="s">
        <v>32</v>
      </c>
      <c r="B216" t="s">
        <v>313</v>
      </c>
      <c r="D216" t="s">
        <v>54</v>
      </c>
      <c r="E216" t="s">
        <v>297</v>
      </c>
      <c r="F216" t="s">
        <v>136</v>
      </c>
      <c r="H216" s="184" t="s">
        <v>132</v>
      </c>
      <c r="L216">
        <v>6</v>
      </c>
      <c r="X216" t="s">
        <v>70</v>
      </c>
      <c r="Y216" t="str">
        <f>VLOOKUP(Conso_FCST[[#This Row],[Country]],'Country-Region'!A:D,4,0)</f>
        <v>DACH Region</v>
      </c>
      <c r="Z216" t="str">
        <f>VLOOKUP(Conso_FCST[[#This Row],[Country]],'Country-Region'!A:D,3,0)</f>
        <v>Germany</v>
      </c>
      <c r="AA216" t="str">
        <f>IFERROR(VLOOKUP(Conso_FCST[[#This Row],[Model name]],Prod_T6[[#All],[Model name]:[Product Conso]],2,0),"exclude")</f>
        <v>HSM-ND66-GR</v>
      </c>
    </row>
    <row r="217" spans="1:27" hidden="1">
      <c r="A217" t="s">
        <v>32</v>
      </c>
      <c r="B217" t="s">
        <v>287</v>
      </c>
      <c r="D217" t="s">
        <v>317</v>
      </c>
      <c r="E217" t="s">
        <v>318</v>
      </c>
      <c r="F217" t="s">
        <v>136</v>
      </c>
      <c r="H217" s="184" t="s">
        <v>117</v>
      </c>
      <c r="I217">
        <v>2</v>
      </c>
      <c r="J217">
        <v>5</v>
      </c>
      <c r="K217">
        <v>5</v>
      </c>
      <c r="X217" t="s">
        <v>70</v>
      </c>
      <c r="Y217" t="str">
        <f>VLOOKUP(Conso_FCST[[#This Row],[Country]],'Country-Region'!A:D,4,0)</f>
        <v>DACH Region</v>
      </c>
      <c r="Z217" t="str">
        <f>VLOOKUP(Conso_FCST[[#This Row],[Country]],'Country-Region'!A:D,3,0)</f>
        <v>Germany</v>
      </c>
      <c r="AA217" t="str">
        <f>IFERROR(VLOOKUP(Conso_FCST[[#This Row],[Model name]],Prod_T6[[#All],[Model name]:[Product Conso]],2,0),"exclude")</f>
        <v>HSM-BD54-DA</v>
      </c>
    </row>
    <row r="218" spans="1:27" hidden="1">
      <c r="A218" t="s">
        <v>32</v>
      </c>
      <c r="B218" t="s">
        <v>319</v>
      </c>
      <c r="C218" t="s">
        <v>259</v>
      </c>
      <c r="D218" t="s">
        <v>134</v>
      </c>
      <c r="E218" t="s">
        <v>263</v>
      </c>
      <c r="F218" t="s">
        <v>120</v>
      </c>
      <c r="H218" s="184" t="s">
        <v>117</v>
      </c>
      <c r="O218">
        <v>4.3200000000000002E-2</v>
      </c>
      <c r="X218" t="s">
        <v>70</v>
      </c>
      <c r="Y218" t="str">
        <f>VLOOKUP(Conso_FCST[[#This Row],[Country]],'Country-Region'!A:D,4,0)</f>
        <v>DACH Region</v>
      </c>
      <c r="Z218" t="str">
        <f>VLOOKUP(Conso_FCST[[#This Row],[Country]],'Country-Region'!A:D,3,0)</f>
        <v>Germany</v>
      </c>
      <c r="AA218" t="str">
        <f>IFERROR(VLOOKUP(Conso_FCST[[#This Row],[Model name]],Prod_T6[[#All],[Model name]:[Product Conso]],2,0),"exclude")</f>
        <v>SPR-BE66-GD</v>
      </c>
    </row>
    <row r="219" spans="1:27" hidden="1">
      <c r="A219" t="s">
        <v>32</v>
      </c>
      <c r="B219" t="s">
        <v>319</v>
      </c>
      <c r="C219" t="s">
        <v>259</v>
      </c>
      <c r="D219" t="s">
        <v>118</v>
      </c>
      <c r="E219" t="s">
        <v>255</v>
      </c>
      <c r="F219" t="s">
        <v>120</v>
      </c>
      <c r="H219" s="184" t="s">
        <v>117</v>
      </c>
      <c r="O219">
        <v>0.14652000000000001</v>
      </c>
      <c r="X219" t="s">
        <v>70</v>
      </c>
      <c r="Y219" t="str">
        <f>VLOOKUP(Conso_FCST[[#This Row],[Country]],'Country-Region'!A:D,4,0)</f>
        <v>DACH Region</v>
      </c>
      <c r="Z219" t="str">
        <f>VLOOKUP(Conso_FCST[[#This Row],[Country]],'Country-Region'!A:D,3,0)</f>
        <v>Germany</v>
      </c>
      <c r="AA219" t="str">
        <f>IFERROR(VLOOKUP(Conso_FCST[[#This Row],[Model name]],Prod_T6[[#All],[Model name]:[Product Conso]],2,0),"exclude")</f>
        <v>P7 COM S BF IT</v>
      </c>
    </row>
    <row r="220" spans="1:27" hidden="1">
      <c r="A220" t="s">
        <v>32</v>
      </c>
      <c r="B220" t="s">
        <v>319</v>
      </c>
      <c r="C220" t="s">
        <v>259</v>
      </c>
      <c r="D220" t="s">
        <v>118</v>
      </c>
      <c r="E220" t="s">
        <v>180</v>
      </c>
      <c r="F220" t="s">
        <v>120</v>
      </c>
      <c r="H220" s="184" t="s">
        <v>117</v>
      </c>
      <c r="O220">
        <v>3.3989999999999999E-2</v>
      </c>
      <c r="X220" t="s">
        <v>70</v>
      </c>
      <c r="Y220" t="str">
        <f>VLOOKUP(Conso_FCST[[#This Row],[Country]],'Country-Region'!A:D,4,0)</f>
        <v>DACH Region</v>
      </c>
      <c r="Z220" t="str">
        <f>VLOOKUP(Conso_FCST[[#This Row],[Country]],'Country-Region'!A:D,3,0)</f>
        <v>Germany</v>
      </c>
      <c r="AA220" t="str">
        <f>IFERROR(VLOOKUP(Conso_FCST[[#This Row],[Model name]],Prod_T6[[#All],[Model name]:[Product Conso]],2,0),"exclude")</f>
        <v>P7 RES BLK-P</v>
      </c>
    </row>
    <row r="221" spans="1:27" hidden="1">
      <c r="A221" t="s">
        <v>32</v>
      </c>
      <c r="B221" t="s">
        <v>320</v>
      </c>
      <c r="C221" t="s">
        <v>321</v>
      </c>
      <c r="D221" t="s">
        <v>276</v>
      </c>
      <c r="E221" t="s">
        <v>322</v>
      </c>
      <c r="F221" t="s">
        <v>136</v>
      </c>
      <c r="H221" s="184" t="s">
        <v>117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0.1</v>
      </c>
      <c r="Q221">
        <v>0</v>
      </c>
      <c r="X221" t="s">
        <v>70</v>
      </c>
      <c r="Y221" t="str">
        <f>VLOOKUP(Conso_FCST[[#This Row],[Country]],'Country-Region'!A:D,4,0)</f>
        <v>DACH Region</v>
      </c>
      <c r="Z221" t="str">
        <f>VLOOKUP(Conso_FCST[[#This Row],[Country]],'Country-Region'!A:D,3,0)</f>
        <v>Germany</v>
      </c>
      <c r="AA221" t="str">
        <f>IFERROR(VLOOKUP(Conso_FCST[[#This Row],[Model name]],Prod_T6[[#All],[Model name]:[Product Conso]],2,0),"exclude")</f>
        <v>SPR-BE54-DC</v>
      </c>
    </row>
    <row r="222" spans="1:27" hidden="1">
      <c r="A222" t="s">
        <v>32</v>
      </c>
      <c r="B222" t="s">
        <v>320</v>
      </c>
      <c r="C222" t="s">
        <v>321</v>
      </c>
      <c r="D222" t="s">
        <v>323</v>
      </c>
      <c r="E222" t="s">
        <v>324</v>
      </c>
      <c r="F222" t="s">
        <v>136</v>
      </c>
      <c r="H222" s="184" t="s">
        <v>117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X222" t="s">
        <v>70</v>
      </c>
      <c r="Y222" t="str">
        <f>VLOOKUP(Conso_FCST[[#This Row],[Country]],'Country-Region'!A:D,4,0)</f>
        <v>DACH Region</v>
      </c>
      <c r="Z222" t="str">
        <f>VLOOKUP(Conso_FCST[[#This Row],[Country]],'Country-Region'!A:D,3,0)</f>
        <v>Germany</v>
      </c>
      <c r="AA222" t="str">
        <f>IFERROR(VLOOKUP(Conso_FCST[[#This Row],[Model name]],Prod_T6[[#All],[Model name]:[Product Conso]],2,0),"exclude")</f>
        <v>exclude</v>
      </c>
    </row>
    <row r="223" spans="1:27" hidden="1">
      <c r="A223" t="s">
        <v>32</v>
      </c>
      <c r="B223" t="s">
        <v>325</v>
      </c>
      <c r="C223" t="s">
        <v>321</v>
      </c>
      <c r="D223" t="s">
        <v>118</v>
      </c>
      <c r="E223" t="s">
        <v>145</v>
      </c>
      <c r="F223" t="s">
        <v>120</v>
      </c>
      <c r="H223" s="184" t="s">
        <v>117</v>
      </c>
      <c r="I223">
        <v>4</v>
      </c>
      <c r="J223">
        <v>2</v>
      </c>
      <c r="K223">
        <v>2</v>
      </c>
      <c r="L223">
        <v>0</v>
      </c>
      <c r="M223">
        <v>0</v>
      </c>
      <c r="N223">
        <v>1.5</v>
      </c>
      <c r="O223">
        <v>0</v>
      </c>
      <c r="P223">
        <v>1.5</v>
      </c>
      <c r="Q223">
        <v>0</v>
      </c>
      <c r="X223" t="s">
        <v>70</v>
      </c>
      <c r="Y223" t="str">
        <f>VLOOKUP(Conso_FCST[[#This Row],[Country]],'Country-Region'!A:D,4,0)</f>
        <v>DACH Region</v>
      </c>
      <c r="Z223" t="str">
        <f>VLOOKUP(Conso_FCST[[#This Row],[Country]],'Country-Region'!A:D,3,0)</f>
        <v>Germany</v>
      </c>
      <c r="AA223" t="str">
        <f>IFERROR(VLOOKUP(Conso_FCST[[#This Row],[Model name]],Prod_T6[[#All],[Model name]:[Product Conso]],2,0),"exclude")</f>
        <v>P7 RES BLK 2.0</v>
      </c>
    </row>
    <row r="224" spans="1:27" hidden="1">
      <c r="A224" t="s">
        <v>32</v>
      </c>
      <c r="B224" t="s">
        <v>325</v>
      </c>
      <c r="C224" t="s">
        <v>321</v>
      </c>
      <c r="D224" t="s">
        <v>276</v>
      </c>
      <c r="E224" t="s">
        <v>322</v>
      </c>
      <c r="F224" t="s">
        <v>136</v>
      </c>
      <c r="H224" s="184" t="s">
        <v>117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1</v>
      </c>
      <c r="P224">
        <v>1</v>
      </c>
      <c r="Q224">
        <v>1</v>
      </c>
      <c r="X224" t="s">
        <v>70</v>
      </c>
      <c r="Y224" t="str">
        <f>VLOOKUP(Conso_FCST[[#This Row],[Country]],'Country-Region'!A:D,4,0)</f>
        <v>DACH Region</v>
      </c>
      <c r="Z224" t="str">
        <f>VLOOKUP(Conso_FCST[[#This Row],[Country]],'Country-Region'!A:D,3,0)</f>
        <v>Germany</v>
      </c>
      <c r="AA224" t="str">
        <f>IFERROR(VLOOKUP(Conso_FCST[[#This Row],[Model name]],Prod_T6[[#All],[Model name]:[Product Conso]],2,0),"exclude")</f>
        <v>SPR-BE54-DC</v>
      </c>
    </row>
    <row r="225" spans="1:27" hidden="1">
      <c r="A225" t="s">
        <v>32</v>
      </c>
      <c r="B225" t="s">
        <v>325</v>
      </c>
      <c r="C225" t="s">
        <v>321</v>
      </c>
      <c r="D225" t="s">
        <v>323</v>
      </c>
      <c r="E225" t="s">
        <v>324</v>
      </c>
      <c r="F225" t="s">
        <v>136</v>
      </c>
      <c r="H225" s="184" t="s">
        <v>117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X225" t="s">
        <v>70</v>
      </c>
      <c r="Y225" t="str">
        <f>VLOOKUP(Conso_FCST[[#This Row],[Country]],'Country-Region'!A:D,4,0)</f>
        <v>DACH Region</v>
      </c>
      <c r="Z225" t="str">
        <f>VLOOKUP(Conso_FCST[[#This Row],[Country]],'Country-Region'!A:D,3,0)</f>
        <v>Germany</v>
      </c>
      <c r="AA225" t="str">
        <f>IFERROR(VLOOKUP(Conso_FCST[[#This Row],[Model name]],Prod_T6[[#All],[Model name]:[Product Conso]],2,0),"exclude")</f>
        <v>exclude</v>
      </c>
    </row>
    <row r="226" spans="1:27" hidden="1">
      <c r="A226" t="s">
        <v>32</v>
      </c>
      <c r="B226" t="s">
        <v>326</v>
      </c>
      <c r="C226" t="s">
        <v>321</v>
      </c>
      <c r="D226" t="s">
        <v>276</v>
      </c>
      <c r="E226" t="s">
        <v>322</v>
      </c>
      <c r="F226" t="s">
        <v>136</v>
      </c>
      <c r="H226" s="184" t="s">
        <v>117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0.05</v>
      </c>
      <c r="P226">
        <v>0.05</v>
      </c>
      <c r="Q226">
        <v>0.1</v>
      </c>
      <c r="X226" t="s">
        <v>70</v>
      </c>
      <c r="Y226" t="str">
        <f>VLOOKUP(Conso_FCST[[#This Row],[Country]],'Country-Region'!A:D,4,0)</f>
        <v>DACH Region</v>
      </c>
      <c r="Z226" t="str">
        <f>VLOOKUP(Conso_FCST[[#This Row],[Country]],'Country-Region'!A:D,3,0)</f>
        <v>Germany</v>
      </c>
      <c r="AA226" t="str">
        <f>IFERROR(VLOOKUP(Conso_FCST[[#This Row],[Model name]],Prod_T6[[#All],[Model name]:[Product Conso]],2,0),"exclude")</f>
        <v>SPR-BE54-DC</v>
      </c>
    </row>
    <row r="227" spans="1:27" hidden="1">
      <c r="A227" t="s">
        <v>32</v>
      </c>
      <c r="B227" t="s">
        <v>326</v>
      </c>
      <c r="C227" t="s">
        <v>321</v>
      </c>
      <c r="D227" t="s">
        <v>323</v>
      </c>
      <c r="E227" t="s">
        <v>324</v>
      </c>
      <c r="F227" t="s">
        <v>136</v>
      </c>
      <c r="H227" s="184" t="s">
        <v>117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X227" t="s">
        <v>70</v>
      </c>
      <c r="Y227" t="str">
        <f>VLOOKUP(Conso_FCST[[#This Row],[Country]],'Country-Region'!A:D,4,0)</f>
        <v>DACH Region</v>
      </c>
      <c r="Z227" t="str">
        <f>VLOOKUP(Conso_FCST[[#This Row],[Country]],'Country-Region'!A:D,3,0)</f>
        <v>Germany</v>
      </c>
      <c r="AA227" t="str">
        <f>IFERROR(VLOOKUP(Conso_FCST[[#This Row],[Model name]],Prod_T6[[#All],[Model name]:[Product Conso]],2,0),"exclude")</f>
        <v>exclude</v>
      </c>
    </row>
    <row r="228" spans="1:27" hidden="1">
      <c r="A228" t="s">
        <v>32</v>
      </c>
      <c r="B228" t="s">
        <v>327</v>
      </c>
      <c r="C228" t="s">
        <v>321</v>
      </c>
      <c r="D228" t="s">
        <v>197</v>
      </c>
      <c r="E228" t="s">
        <v>62</v>
      </c>
      <c r="F228" t="s">
        <v>120</v>
      </c>
      <c r="H228" s="184" t="s">
        <v>117</v>
      </c>
      <c r="I228">
        <v>10</v>
      </c>
      <c r="J228">
        <v>10</v>
      </c>
      <c r="K228">
        <v>10</v>
      </c>
      <c r="L228">
        <v>5</v>
      </c>
      <c r="M228">
        <v>5</v>
      </c>
      <c r="N228">
        <v>10</v>
      </c>
      <c r="O228">
        <v>5</v>
      </c>
      <c r="P228">
        <v>10</v>
      </c>
      <c r="Q228">
        <v>5</v>
      </c>
      <c r="X228" t="s">
        <v>27</v>
      </c>
      <c r="Y228" t="str">
        <f>VLOOKUP(Conso_FCST[[#This Row],[Country]],'Country-Region'!A:D,4,0)</f>
        <v>DACH Region</v>
      </c>
      <c r="Z228" t="str">
        <f>VLOOKUP(Conso_FCST[[#This Row],[Country]],'Country-Region'!A:D,3,0)</f>
        <v>Germany</v>
      </c>
      <c r="AA228" t="str">
        <f>IFERROR(VLOOKUP(Conso_FCST[[#This Row],[Model name]],Prod_T6[[#All],[Model name]:[Product Conso]],2,0),"exclude")</f>
        <v>Gen2 3P 13kw</v>
      </c>
    </row>
    <row r="229" spans="1:27" hidden="1">
      <c r="A229" t="s">
        <v>32</v>
      </c>
      <c r="B229" t="s">
        <v>327</v>
      </c>
      <c r="C229" t="s">
        <v>321</v>
      </c>
      <c r="D229" t="s">
        <v>149</v>
      </c>
      <c r="E229" t="s">
        <v>289</v>
      </c>
      <c r="F229" t="s">
        <v>136</v>
      </c>
      <c r="H229" s="184" t="s">
        <v>117</v>
      </c>
      <c r="I229">
        <v>0</v>
      </c>
      <c r="J229">
        <v>0</v>
      </c>
      <c r="K229">
        <v>0</v>
      </c>
      <c r="L229">
        <v>0</v>
      </c>
      <c r="M229">
        <v>0.45</v>
      </c>
      <c r="N229">
        <v>0</v>
      </c>
      <c r="O229">
        <v>0.45</v>
      </c>
      <c r="P229">
        <v>0</v>
      </c>
      <c r="Q229">
        <v>0.45</v>
      </c>
      <c r="X229" t="s">
        <v>70</v>
      </c>
      <c r="Y229" t="str">
        <f>VLOOKUP(Conso_FCST[[#This Row],[Country]],'Country-Region'!A:D,4,0)</f>
        <v>DACH Region</v>
      </c>
      <c r="Z229" t="str">
        <f>VLOOKUP(Conso_FCST[[#This Row],[Country]],'Country-Region'!A:D,3,0)</f>
        <v>Germany</v>
      </c>
      <c r="AA229" t="str">
        <f>IFERROR(VLOOKUP(Conso_FCST[[#This Row],[Model name]],Prod_T6[[#All],[Model name]:[Product Conso]],2,0),"exclude")</f>
        <v>exclude</v>
      </c>
    </row>
    <row r="230" spans="1:27" hidden="1">
      <c r="A230" t="s">
        <v>32</v>
      </c>
      <c r="B230" t="s">
        <v>328</v>
      </c>
      <c r="C230" t="s">
        <v>321</v>
      </c>
      <c r="D230" t="s">
        <v>118</v>
      </c>
      <c r="E230" t="s">
        <v>119</v>
      </c>
      <c r="F230" t="s">
        <v>136</v>
      </c>
      <c r="H230" s="184" t="s">
        <v>117</v>
      </c>
      <c r="I230">
        <v>0</v>
      </c>
      <c r="J230">
        <v>0.45</v>
      </c>
      <c r="K230">
        <v>0</v>
      </c>
      <c r="L230">
        <v>0</v>
      </c>
      <c r="M230">
        <v>0.45</v>
      </c>
      <c r="N230">
        <v>0</v>
      </c>
      <c r="O230">
        <v>0</v>
      </c>
      <c r="P230">
        <v>0.45</v>
      </c>
      <c r="Q230">
        <v>0</v>
      </c>
      <c r="X230" t="s">
        <v>70</v>
      </c>
      <c r="Y230" t="str">
        <f>VLOOKUP(Conso_FCST[[#This Row],[Country]],'Country-Region'!A:D,4,0)</f>
        <v>DACH Region</v>
      </c>
      <c r="Z230" t="str">
        <f>VLOOKUP(Conso_FCST[[#This Row],[Country]],'Country-Region'!A:D,3,0)</f>
        <v>Germany</v>
      </c>
      <c r="AA230" t="str">
        <f>IFERROR(VLOOKUP(Conso_FCST[[#This Row],[Model name]],Prod_T6[[#All],[Model name]:[Product Conso]],2,0),"exclude")</f>
        <v>P7 RES BLK 2.0</v>
      </c>
    </row>
    <row r="231" spans="1:27" hidden="1">
      <c r="A231" t="s">
        <v>32</v>
      </c>
      <c r="B231" t="s">
        <v>329</v>
      </c>
      <c r="C231" t="s">
        <v>321</v>
      </c>
      <c r="D231" t="s">
        <v>149</v>
      </c>
      <c r="E231" t="s">
        <v>289</v>
      </c>
      <c r="F231" t="s">
        <v>136</v>
      </c>
      <c r="H231" s="184" t="s">
        <v>117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0.45</v>
      </c>
      <c r="O231">
        <v>0</v>
      </c>
      <c r="P231">
        <v>0</v>
      </c>
      <c r="Q231">
        <v>0.45</v>
      </c>
      <c r="X231" t="s">
        <v>70</v>
      </c>
      <c r="Y231" t="str">
        <f>VLOOKUP(Conso_FCST[[#This Row],[Country]],'Country-Region'!A:D,4,0)</f>
        <v>DACH Region</v>
      </c>
      <c r="Z231" t="str">
        <f>VLOOKUP(Conso_FCST[[#This Row],[Country]],'Country-Region'!A:D,3,0)</f>
        <v>Germany</v>
      </c>
      <c r="AA231" t="str">
        <f>IFERROR(VLOOKUP(Conso_FCST[[#This Row],[Model name]],Prod_T6[[#All],[Model name]:[Product Conso]],2,0),"exclude")</f>
        <v>exclude</v>
      </c>
    </row>
    <row r="232" spans="1:27" hidden="1">
      <c r="A232" t="s">
        <v>32</v>
      </c>
      <c r="B232" t="s">
        <v>329</v>
      </c>
      <c r="C232" t="s">
        <v>321</v>
      </c>
      <c r="D232" t="s">
        <v>118</v>
      </c>
      <c r="E232" t="s">
        <v>255</v>
      </c>
      <c r="F232" t="s">
        <v>136</v>
      </c>
      <c r="H232" s="184" t="s">
        <v>117</v>
      </c>
      <c r="I232">
        <v>0</v>
      </c>
      <c r="J232">
        <v>0</v>
      </c>
      <c r="K232">
        <v>0</v>
      </c>
      <c r="L232">
        <v>0</v>
      </c>
      <c r="M232">
        <v>0.2</v>
      </c>
      <c r="N232">
        <v>0</v>
      </c>
      <c r="O232">
        <v>0</v>
      </c>
      <c r="P232">
        <v>0</v>
      </c>
      <c r="Q232">
        <v>0</v>
      </c>
      <c r="X232" t="s">
        <v>70</v>
      </c>
      <c r="Y232" t="str">
        <f>VLOOKUP(Conso_FCST[[#This Row],[Country]],'Country-Region'!A:D,4,0)</f>
        <v>DACH Region</v>
      </c>
      <c r="Z232" t="str">
        <f>VLOOKUP(Conso_FCST[[#This Row],[Country]],'Country-Region'!A:D,3,0)</f>
        <v>Germany</v>
      </c>
      <c r="AA232" t="str">
        <f>IFERROR(VLOOKUP(Conso_FCST[[#This Row],[Model name]],Prod_T6[[#All],[Model name]:[Product Conso]],2,0),"exclude")</f>
        <v>P7 COM S BF IT</v>
      </c>
    </row>
    <row r="233" spans="1:27" hidden="1">
      <c r="A233" t="s">
        <v>32</v>
      </c>
      <c r="B233" t="s">
        <v>329</v>
      </c>
      <c r="C233" t="s">
        <v>321</v>
      </c>
      <c r="D233" t="s">
        <v>276</v>
      </c>
      <c r="E233" t="s">
        <v>322</v>
      </c>
      <c r="F233" t="s">
        <v>136</v>
      </c>
      <c r="H233" s="184" t="s">
        <v>117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0.2</v>
      </c>
      <c r="P233">
        <v>0</v>
      </c>
      <c r="Q233">
        <v>0.2</v>
      </c>
      <c r="X233" t="s">
        <v>70</v>
      </c>
      <c r="Y233" t="str">
        <f>VLOOKUP(Conso_FCST[[#This Row],[Country]],'Country-Region'!A:D,4,0)</f>
        <v>DACH Region</v>
      </c>
      <c r="Z233" t="str">
        <f>VLOOKUP(Conso_FCST[[#This Row],[Country]],'Country-Region'!A:D,3,0)</f>
        <v>Germany</v>
      </c>
      <c r="AA233" t="str">
        <f>IFERROR(VLOOKUP(Conso_FCST[[#This Row],[Model name]],Prod_T6[[#All],[Model name]:[Product Conso]],2,0),"exclude")</f>
        <v>SPR-BE54-DC</v>
      </c>
    </row>
    <row r="234" spans="1:27" hidden="1">
      <c r="A234" t="s">
        <v>32</v>
      </c>
      <c r="B234" t="s">
        <v>329</v>
      </c>
      <c r="C234" t="s">
        <v>321</v>
      </c>
      <c r="D234" t="s">
        <v>323</v>
      </c>
      <c r="E234" t="s">
        <v>324</v>
      </c>
      <c r="F234" t="s">
        <v>136</v>
      </c>
      <c r="H234" s="184" t="s">
        <v>117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X234" t="s">
        <v>70</v>
      </c>
      <c r="Y234" t="str">
        <f>VLOOKUP(Conso_FCST[[#This Row],[Country]],'Country-Region'!A:D,4,0)</f>
        <v>DACH Region</v>
      </c>
      <c r="Z234" t="str">
        <f>VLOOKUP(Conso_FCST[[#This Row],[Country]],'Country-Region'!A:D,3,0)</f>
        <v>Germany</v>
      </c>
      <c r="AA234" t="str">
        <f>IFERROR(VLOOKUP(Conso_FCST[[#This Row],[Model name]],Prod_T6[[#All],[Model name]:[Product Conso]],2,0),"exclude")</f>
        <v>exclude</v>
      </c>
    </row>
    <row r="235" spans="1:27" hidden="1">
      <c r="A235" t="s">
        <v>32</v>
      </c>
      <c r="B235" t="s">
        <v>330</v>
      </c>
      <c r="C235" t="s">
        <v>321</v>
      </c>
      <c r="D235" t="s">
        <v>54</v>
      </c>
      <c r="E235" t="s">
        <v>159</v>
      </c>
      <c r="F235" t="s">
        <v>136</v>
      </c>
      <c r="H235" s="184" t="s">
        <v>117</v>
      </c>
      <c r="I235">
        <v>0</v>
      </c>
      <c r="J235">
        <v>0</v>
      </c>
      <c r="K235">
        <v>0</v>
      </c>
      <c r="L235">
        <v>0.2</v>
      </c>
      <c r="M235">
        <v>0</v>
      </c>
      <c r="N235">
        <v>0</v>
      </c>
      <c r="O235">
        <v>0</v>
      </c>
      <c r="P235">
        <v>0.3</v>
      </c>
      <c r="Q235">
        <v>0</v>
      </c>
      <c r="X235" t="s">
        <v>70</v>
      </c>
      <c r="Y235" t="str">
        <f>VLOOKUP(Conso_FCST[[#This Row],[Country]],'Country-Region'!A:D,4,0)</f>
        <v>DACH Region</v>
      </c>
      <c r="Z235" t="str">
        <f>VLOOKUP(Conso_FCST[[#This Row],[Country]],'Country-Region'!A:D,3,0)</f>
        <v>Germany</v>
      </c>
      <c r="AA235" t="str">
        <f>IFERROR(VLOOKUP(Conso_FCST[[#This Row],[Model name]],Prod_T6[[#All],[Model name]:[Product Conso]],2,0),"exclude")</f>
        <v>HSM-ND48-DR</v>
      </c>
    </row>
    <row r="236" spans="1:27" hidden="1">
      <c r="A236" t="s">
        <v>32</v>
      </c>
      <c r="B236" t="s">
        <v>320</v>
      </c>
      <c r="C236" t="s">
        <v>321</v>
      </c>
      <c r="D236" t="s">
        <v>276</v>
      </c>
      <c r="E236" t="s">
        <v>277</v>
      </c>
      <c r="F236" t="s">
        <v>120</v>
      </c>
      <c r="H236" s="184" t="s">
        <v>117</v>
      </c>
      <c r="I236">
        <v>0</v>
      </c>
      <c r="J236">
        <v>0</v>
      </c>
      <c r="K236">
        <v>0.02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X236" t="s">
        <v>70</v>
      </c>
      <c r="Y236" t="str">
        <f>VLOOKUP(Conso_FCST[[#This Row],[Country]],'Country-Region'!A:D,4,0)</f>
        <v>DACH Region</v>
      </c>
      <c r="Z236" t="str">
        <f>VLOOKUP(Conso_FCST[[#This Row],[Country]],'Country-Region'!A:D,3,0)</f>
        <v>Germany</v>
      </c>
      <c r="AA236" t="str">
        <f>IFERROR(VLOOKUP(Conso_FCST[[#This Row],[Model name]],Prod_T6[[#All],[Model name]:[Product Conso]],2,0),"exclude")</f>
        <v>exclude</v>
      </c>
    </row>
    <row r="237" spans="1:27" hidden="1">
      <c r="A237" t="s">
        <v>32</v>
      </c>
      <c r="B237" t="s">
        <v>320</v>
      </c>
      <c r="C237" t="s">
        <v>321</v>
      </c>
      <c r="D237" t="s">
        <v>118</v>
      </c>
      <c r="E237" t="s">
        <v>119</v>
      </c>
      <c r="F237" t="s">
        <v>120</v>
      </c>
      <c r="H237" s="184" t="s">
        <v>117</v>
      </c>
      <c r="I237">
        <v>0.05</v>
      </c>
      <c r="J237">
        <v>0</v>
      </c>
      <c r="K237">
        <v>0</v>
      </c>
      <c r="L237">
        <v>0.1</v>
      </c>
      <c r="M237">
        <v>0</v>
      </c>
      <c r="N237">
        <v>0</v>
      </c>
      <c r="O237">
        <v>0.1</v>
      </c>
      <c r="P237">
        <v>0</v>
      </c>
      <c r="Q237">
        <v>0</v>
      </c>
      <c r="X237" t="s">
        <v>70</v>
      </c>
      <c r="Y237" t="str">
        <f>VLOOKUP(Conso_FCST[[#This Row],[Country]],'Country-Region'!A:D,4,0)</f>
        <v>DACH Region</v>
      </c>
      <c r="Z237" t="str">
        <f>VLOOKUP(Conso_FCST[[#This Row],[Country]],'Country-Region'!A:D,3,0)</f>
        <v>Germany</v>
      </c>
      <c r="AA237" t="str">
        <f>IFERROR(VLOOKUP(Conso_FCST[[#This Row],[Model name]],Prod_T6[[#All],[Model name]:[Product Conso]],2,0),"exclude")</f>
        <v>P7 RES BLK 2.0</v>
      </c>
    </row>
    <row r="238" spans="1:27" hidden="1">
      <c r="A238" t="s">
        <v>32</v>
      </c>
      <c r="B238" t="s">
        <v>331</v>
      </c>
      <c r="C238" t="s">
        <v>321</v>
      </c>
      <c r="D238" t="s">
        <v>118</v>
      </c>
      <c r="E238" t="s">
        <v>255</v>
      </c>
      <c r="F238" t="s">
        <v>120</v>
      </c>
      <c r="H238" s="184" t="s">
        <v>117</v>
      </c>
      <c r="I238">
        <v>0</v>
      </c>
      <c r="J238">
        <v>0</v>
      </c>
      <c r="K238">
        <v>0.4</v>
      </c>
      <c r="L238">
        <v>0</v>
      </c>
      <c r="M238">
        <v>0</v>
      </c>
      <c r="N238">
        <v>0.4</v>
      </c>
      <c r="O238">
        <v>0</v>
      </c>
      <c r="P238">
        <v>0</v>
      </c>
      <c r="Q238">
        <v>0</v>
      </c>
      <c r="X238" t="s">
        <v>70</v>
      </c>
      <c r="Y238" t="str">
        <f>VLOOKUP(Conso_FCST[[#This Row],[Country]],'Country-Region'!A:D,4,0)</f>
        <v>DACH Region</v>
      </c>
      <c r="Z238" t="str">
        <f>VLOOKUP(Conso_FCST[[#This Row],[Country]],'Country-Region'!A:D,3,0)</f>
        <v>Germany</v>
      </c>
      <c r="AA238" t="str">
        <f>IFERROR(VLOOKUP(Conso_FCST[[#This Row],[Model name]],Prod_T6[[#All],[Model name]:[Product Conso]],2,0),"exclude")</f>
        <v>P7 COM S BF IT</v>
      </c>
    </row>
    <row r="239" spans="1:27" hidden="1">
      <c r="A239" t="s">
        <v>32</v>
      </c>
      <c r="B239" t="s">
        <v>332</v>
      </c>
      <c r="C239" t="s">
        <v>321</v>
      </c>
      <c r="D239" t="s">
        <v>323</v>
      </c>
      <c r="E239" t="s">
        <v>324</v>
      </c>
      <c r="F239" t="s">
        <v>136</v>
      </c>
      <c r="H239" s="184" t="s">
        <v>117</v>
      </c>
      <c r="I239">
        <v>0</v>
      </c>
      <c r="J239">
        <v>0</v>
      </c>
      <c r="K239">
        <v>0.1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X239" t="s">
        <v>70</v>
      </c>
      <c r="Y239" t="str">
        <f>VLOOKUP(Conso_FCST[[#This Row],[Country]],'Country-Region'!A:D,4,0)</f>
        <v>DACH Region</v>
      </c>
      <c r="Z239" t="str">
        <f>VLOOKUP(Conso_FCST[[#This Row],[Country]],'Country-Region'!A:D,3,0)</f>
        <v>Germany</v>
      </c>
      <c r="AA239" t="str">
        <f>IFERROR(VLOOKUP(Conso_FCST[[#This Row],[Model name]],Prod_T6[[#All],[Model name]:[Product Conso]],2,0),"exclude")</f>
        <v>exclude</v>
      </c>
    </row>
    <row r="240" spans="1:27" hidden="1">
      <c r="A240" t="s">
        <v>32</v>
      </c>
      <c r="B240" t="s">
        <v>333</v>
      </c>
      <c r="C240" t="s">
        <v>321</v>
      </c>
      <c r="D240" t="s">
        <v>118</v>
      </c>
      <c r="E240" t="s">
        <v>255</v>
      </c>
      <c r="F240" t="s">
        <v>120</v>
      </c>
      <c r="H240" s="184" t="s">
        <v>117</v>
      </c>
      <c r="I240">
        <v>0</v>
      </c>
      <c r="J240">
        <v>0</v>
      </c>
      <c r="K240">
        <v>0.1</v>
      </c>
      <c r="L240">
        <v>0</v>
      </c>
      <c r="M240">
        <v>0</v>
      </c>
      <c r="N240">
        <v>0</v>
      </c>
      <c r="O240">
        <v>0</v>
      </c>
      <c r="P240">
        <v>0.3</v>
      </c>
      <c r="Q240">
        <v>0</v>
      </c>
      <c r="X240" t="s">
        <v>70</v>
      </c>
      <c r="Y240" t="str">
        <f>VLOOKUP(Conso_FCST[[#This Row],[Country]],'Country-Region'!A:D,4,0)</f>
        <v>DACH Region</v>
      </c>
      <c r="Z240" t="str">
        <f>VLOOKUP(Conso_FCST[[#This Row],[Country]],'Country-Region'!A:D,3,0)</f>
        <v>Germany</v>
      </c>
      <c r="AA240" t="str">
        <f>IFERROR(VLOOKUP(Conso_FCST[[#This Row],[Model name]],Prod_T6[[#All],[Model name]:[Product Conso]],2,0),"exclude")</f>
        <v>P7 COM S BF IT</v>
      </c>
    </row>
    <row r="241" spans="1:27" hidden="1">
      <c r="A241" t="s">
        <v>32</v>
      </c>
      <c r="B241" t="s">
        <v>333</v>
      </c>
      <c r="C241" t="s">
        <v>321</v>
      </c>
      <c r="D241" t="s">
        <v>276</v>
      </c>
      <c r="E241" t="s">
        <v>322</v>
      </c>
      <c r="F241" t="s">
        <v>136</v>
      </c>
      <c r="H241" s="184" t="s">
        <v>117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0.1</v>
      </c>
      <c r="P241">
        <v>0</v>
      </c>
      <c r="Q241">
        <v>0.1</v>
      </c>
      <c r="X241" t="s">
        <v>70</v>
      </c>
      <c r="Y241" t="str">
        <f>VLOOKUP(Conso_FCST[[#This Row],[Country]],'Country-Region'!A:D,4,0)</f>
        <v>DACH Region</v>
      </c>
      <c r="Z241" t="str">
        <f>VLOOKUP(Conso_FCST[[#This Row],[Country]],'Country-Region'!A:D,3,0)</f>
        <v>Germany</v>
      </c>
      <c r="AA241" t="str">
        <f>IFERROR(VLOOKUP(Conso_FCST[[#This Row],[Model name]],Prod_T6[[#All],[Model name]:[Product Conso]],2,0),"exclude")</f>
        <v>SPR-BE54-DC</v>
      </c>
    </row>
    <row r="242" spans="1:27" hidden="1">
      <c r="A242" t="s">
        <v>32</v>
      </c>
      <c r="B242" t="s">
        <v>333</v>
      </c>
      <c r="C242" t="s">
        <v>321</v>
      </c>
      <c r="D242" t="s">
        <v>323</v>
      </c>
      <c r="E242" t="s">
        <v>324</v>
      </c>
      <c r="F242" t="s">
        <v>136</v>
      </c>
      <c r="H242" s="184" t="s">
        <v>117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X242" t="s">
        <v>70</v>
      </c>
      <c r="Y242" t="str">
        <f>VLOOKUP(Conso_FCST[[#This Row],[Country]],'Country-Region'!A:D,4,0)</f>
        <v>DACH Region</v>
      </c>
      <c r="Z242" t="str">
        <f>VLOOKUP(Conso_FCST[[#This Row],[Country]],'Country-Region'!A:D,3,0)</f>
        <v>Germany</v>
      </c>
      <c r="AA242" t="str">
        <f>IFERROR(VLOOKUP(Conso_FCST[[#This Row],[Model name]],Prod_T6[[#All],[Model name]:[Product Conso]],2,0),"exclude")</f>
        <v>exclude</v>
      </c>
    </row>
    <row r="243" spans="1:27" hidden="1">
      <c r="A243" t="s">
        <v>32</v>
      </c>
      <c r="B243" t="s">
        <v>334</v>
      </c>
      <c r="C243" t="s">
        <v>321</v>
      </c>
      <c r="D243" t="s">
        <v>118</v>
      </c>
      <c r="E243" t="s">
        <v>255</v>
      </c>
      <c r="F243" t="s">
        <v>120</v>
      </c>
      <c r="H243" s="184" t="s">
        <v>117</v>
      </c>
      <c r="I243">
        <v>0</v>
      </c>
      <c r="J243">
        <v>0</v>
      </c>
      <c r="K243">
        <v>0.4</v>
      </c>
      <c r="L243">
        <v>0</v>
      </c>
      <c r="M243">
        <v>0.3</v>
      </c>
      <c r="N243">
        <v>0</v>
      </c>
      <c r="O243">
        <v>0</v>
      </c>
      <c r="P243">
        <v>0.3</v>
      </c>
      <c r="Q243">
        <v>0</v>
      </c>
      <c r="X243" t="s">
        <v>70</v>
      </c>
      <c r="Y243" t="str">
        <f>VLOOKUP(Conso_FCST[[#This Row],[Country]],'Country-Region'!A:D,4,0)</f>
        <v>DACH Region</v>
      </c>
      <c r="Z243" t="str">
        <f>VLOOKUP(Conso_FCST[[#This Row],[Country]],'Country-Region'!A:D,3,0)</f>
        <v>Germany</v>
      </c>
      <c r="AA243" t="str">
        <f>IFERROR(VLOOKUP(Conso_FCST[[#This Row],[Model name]],Prod_T6[[#All],[Model name]:[Product Conso]],2,0),"exclude")</f>
        <v>P7 COM S BF IT</v>
      </c>
    </row>
    <row r="244" spans="1:27" hidden="1">
      <c r="A244" t="s">
        <v>32</v>
      </c>
      <c r="B244" t="s">
        <v>334</v>
      </c>
      <c r="C244" t="s">
        <v>321</v>
      </c>
      <c r="D244" t="s">
        <v>276</v>
      </c>
      <c r="E244" t="s">
        <v>277</v>
      </c>
      <c r="F244" t="s">
        <v>120</v>
      </c>
      <c r="H244" s="184" t="s">
        <v>117</v>
      </c>
      <c r="I244">
        <v>0.4</v>
      </c>
      <c r="J244">
        <v>0</v>
      </c>
      <c r="K244">
        <v>0</v>
      </c>
      <c r="L244">
        <v>0</v>
      </c>
      <c r="M244">
        <v>0.1</v>
      </c>
      <c r="N244">
        <v>0</v>
      </c>
      <c r="O244">
        <v>0</v>
      </c>
      <c r="P244">
        <v>0</v>
      </c>
      <c r="Q244">
        <v>0</v>
      </c>
      <c r="X244" t="s">
        <v>70</v>
      </c>
      <c r="Y244" t="str">
        <f>VLOOKUP(Conso_FCST[[#This Row],[Country]],'Country-Region'!A:D,4,0)</f>
        <v>DACH Region</v>
      </c>
      <c r="Z244" t="str">
        <f>VLOOKUP(Conso_FCST[[#This Row],[Country]],'Country-Region'!A:D,3,0)</f>
        <v>Germany</v>
      </c>
      <c r="AA244" t="str">
        <f>IFERROR(VLOOKUP(Conso_FCST[[#This Row],[Model name]],Prod_T6[[#All],[Model name]:[Product Conso]],2,0),"exclude")</f>
        <v>exclude</v>
      </c>
    </row>
    <row r="245" spans="1:27" hidden="1">
      <c r="A245" t="s">
        <v>32</v>
      </c>
      <c r="B245" t="s">
        <v>334</v>
      </c>
      <c r="C245" t="s">
        <v>321</v>
      </c>
      <c r="D245" t="s">
        <v>276</v>
      </c>
      <c r="E245" t="s">
        <v>322</v>
      </c>
      <c r="F245" t="s">
        <v>136</v>
      </c>
      <c r="H245" s="184" t="s">
        <v>117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0.1</v>
      </c>
      <c r="P245">
        <v>0.1</v>
      </c>
      <c r="Q245">
        <v>0.1</v>
      </c>
      <c r="X245" t="s">
        <v>70</v>
      </c>
      <c r="Y245" t="str">
        <f>VLOOKUP(Conso_FCST[[#This Row],[Country]],'Country-Region'!A:D,4,0)</f>
        <v>DACH Region</v>
      </c>
      <c r="Z245" t="str">
        <f>VLOOKUP(Conso_FCST[[#This Row],[Country]],'Country-Region'!A:D,3,0)</f>
        <v>Germany</v>
      </c>
      <c r="AA245" t="str">
        <f>IFERROR(VLOOKUP(Conso_FCST[[#This Row],[Model name]],Prod_T6[[#All],[Model name]:[Product Conso]],2,0),"exclude")</f>
        <v>SPR-BE54-DC</v>
      </c>
    </row>
    <row r="246" spans="1:27" hidden="1">
      <c r="A246" t="s">
        <v>32</v>
      </c>
      <c r="B246" t="s">
        <v>334</v>
      </c>
      <c r="C246" t="s">
        <v>321</v>
      </c>
      <c r="D246" t="s">
        <v>323</v>
      </c>
      <c r="E246" t="s">
        <v>324</v>
      </c>
      <c r="F246" t="s">
        <v>136</v>
      </c>
      <c r="H246" s="184" t="s">
        <v>117</v>
      </c>
      <c r="I246">
        <v>0</v>
      </c>
      <c r="J246">
        <v>0</v>
      </c>
      <c r="K246">
        <v>0.4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X246" t="s">
        <v>70</v>
      </c>
      <c r="Y246" t="str">
        <f>VLOOKUP(Conso_FCST[[#This Row],[Country]],'Country-Region'!A:D,4,0)</f>
        <v>DACH Region</v>
      </c>
      <c r="Z246" t="str">
        <f>VLOOKUP(Conso_FCST[[#This Row],[Country]],'Country-Region'!A:D,3,0)</f>
        <v>Germany</v>
      </c>
      <c r="AA246" t="str">
        <f>IFERROR(VLOOKUP(Conso_FCST[[#This Row],[Model name]],Prod_T6[[#All],[Model name]:[Product Conso]],2,0),"exclude")</f>
        <v>exclude</v>
      </c>
    </row>
    <row r="247" spans="1:27" hidden="1">
      <c r="A247" t="s">
        <v>32</v>
      </c>
      <c r="B247" t="s">
        <v>330</v>
      </c>
      <c r="C247" t="s">
        <v>321</v>
      </c>
      <c r="D247" t="s">
        <v>276</v>
      </c>
      <c r="E247" t="s">
        <v>322</v>
      </c>
      <c r="F247" t="s">
        <v>136</v>
      </c>
      <c r="H247" s="184" t="s">
        <v>117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0.1</v>
      </c>
      <c r="Q247">
        <v>0</v>
      </c>
      <c r="X247" t="s">
        <v>70</v>
      </c>
      <c r="Y247" t="str">
        <f>VLOOKUP(Conso_FCST[[#This Row],[Country]],'Country-Region'!A:D,4,0)</f>
        <v>DACH Region</v>
      </c>
      <c r="Z247" t="str">
        <f>VLOOKUP(Conso_FCST[[#This Row],[Country]],'Country-Region'!A:D,3,0)</f>
        <v>Germany</v>
      </c>
      <c r="AA247" t="str">
        <f>IFERROR(VLOOKUP(Conso_FCST[[#This Row],[Model name]],Prod_T6[[#All],[Model name]:[Product Conso]],2,0),"exclude")</f>
        <v>SPR-BE54-DC</v>
      </c>
    </row>
    <row r="248" spans="1:27" hidden="1">
      <c r="A248" t="s">
        <v>32</v>
      </c>
      <c r="B248" t="s">
        <v>335</v>
      </c>
      <c r="C248" t="s">
        <v>321</v>
      </c>
      <c r="D248" t="s">
        <v>118</v>
      </c>
      <c r="E248" t="s">
        <v>119</v>
      </c>
      <c r="F248" t="s">
        <v>120</v>
      </c>
      <c r="H248" s="184" t="s">
        <v>117</v>
      </c>
      <c r="I248">
        <v>0</v>
      </c>
      <c r="J248">
        <v>0.05</v>
      </c>
      <c r="K248">
        <v>0</v>
      </c>
      <c r="L248">
        <v>0</v>
      </c>
      <c r="M248">
        <v>0</v>
      </c>
      <c r="N248">
        <v>0.1</v>
      </c>
      <c r="O248">
        <v>0</v>
      </c>
      <c r="P248">
        <v>0</v>
      </c>
      <c r="Q248">
        <v>0</v>
      </c>
      <c r="X248" t="s">
        <v>70</v>
      </c>
      <c r="Y248" t="str">
        <f>VLOOKUP(Conso_FCST[[#This Row],[Country]],'Country-Region'!A:D,4,0)</f>
        <v>DACH Region</v>
      </c>
      <c r="Z248" t="str">
        <f>VLOOKUP(Conso_FCST[[#This Row],[Country]],'Country-Region'!A:D,3,0)</f>
        <v>Germany</v>
      </c>
      <c r="AA248" t="str">
        <f>IFERROR(VLOOKUP(Conso_FCST[[#This Row],[Model name]],Prod_T6[[#All],[Model name]:[Product Conso]],2,0),"exclude")</f>
        <v>P7 RES BLK 2.0</v>
      </c>
    </row>
    <row r="249" spans="1:27" hidden="1">
      <c r="A249" t="s">
        <v>32</v>
      </c>
      <c r="B249" t="s">
        <v>335</v>
      </c>
      <c r="C249" t="s">
        <v>321</v>
      </c>
      <c r="D249" t="s">
        <v>276</v>
      </c>
      <c r="E249" t="s">
        <v>322</v>
      </c>
      <c r="F249" t="s">
        <v>136</v>
      </c>
      <c r="H249" s="184" t="s">
        <v>117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0.1</v>
      </c>
      <c r="P249">
        <v>0</v>
      </c>
      <c r="Q249">
        <v>0.1</v>
      </c>
      <c r="X249" t="s">
        <v>70</v>
      </c>
      <c r="Y249" t="str">
        <f>VLOOKUP(Conso_FCST[[#This Row],[Country]],'Country-Region'!A:D,4,0)</f>
        <v>DACH Region</v>
      </c>
      <c r="Z249" t="str">
        <f>VLOOKUP(Conso_FCST[[#This Row],[Country]],'Country-Region'!A:D,3,0)</f>
        <v>Germany</v>
      </c>
      <c r="AA249" t="str">
        <f>IFERROR(VLOOKUP(Conso_FCST[[#This Row],[Model name]],Prod_T6[[#All],[Model name]:[Product Conso]],2,0),"exclude")</f>
        <v>SPR-BE54-DC</v>
      </c>
    </row>
    <row r="250" spans="1:27" hidden="1">
      <c r="A250" t="s">
        <v>32</v>
      </c>
      <c r="B250" t="s">
        <v>335</v>
      </c>
      <c r="C250" t="s">
        <v>321</v>
      </c>
      <c r="D250" t="s">
        <v>323</v>
      </c>
      <c r="E250" t="s">
        <v>324</v>
      </c>
      <c r="F250" t="s">
        <v>136</v>
      </c>
      <c r="H250" s="184" t="s">
        <v>117</v>
      </c>
      <c r="I250">
        <v>0</v>
      </c>
      <c r="J250">
        <v>0</v>
      </c>
      <c r="K250">
        <v>0.05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X250" t="s">
        <v>70</v>
      </c>
      <c r="Y250" t="str">
        <f>VLOOKUP(Conso_FCST[[#This Row],[Country]],'Country-Region'!A:D,4,0)</f>
        <v>DACH Region</v>
      </c>
      <c r="Z250" t="str">
        <f>VLOOKUP(Conso_FCST[[#This Row],[Country]],'Country-Region'!A:D,3,0)</f>
        <v>Germany</v>
      </c>
      <c r="AA250" t="str">
        <f>IFERROR(VLOOKUP(Conso_FCST[[#This Row],[Model name]],Prod_T6[[#All],[Model name]:[Product Conso]],2,0),"exclude")</f>
        <v>exclude</v>
      </c>
    </row>
    <row r="251" spans="1:27" hidden="1">
      <c r="A251" t="s">
        <v>32</v>
      </c>
      <c r="B251" t="s">
        <v>336</v>
      </c>
      <c r="C251" t="s">
        <v>321</v>
      </c>
      <c r="D251" t="s">
        <v>149</v>
      </c>
      <c r="E251" t="s">
        <v>289</v>
      </c>
      <c r="F251" t="s">
        <v>156</v>
      </c>
      <c r="H251" s="184" t="s">
        <v>117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1</v>
      </c>
      <c r="Q251">
        <v>0</v>
      </c>
      <c r="X251" t="s">
        <v>70</v>
      </c>
      <c r="Y251" t="str">
        <f>VLOOKUP(Conso_FCST[[#This Row],[Country]],'Country-Region'!A:D,4,0)</f>
        <v>DACH Region</v>
      </c>
      <c r="Z251" t="str">
        <f>VLOOKUP(Conso_FCST[[#This Row],[Country]],'Country-Region'!A:D,3,0)</f>
        <v>Germany</v>
      </c>
      <c r="AA251" t="str">
        <f>IFERROR(VLOOKUP(Conso_FCST[[#This Row],[Model name]],Prod_T6[[#All],[Model name]:[Product Conso]],2,0),"exclude")</f>
        <v>exclude</v>
      </c>
    </row>
    <row r="252" spans="1:27" hidden="1">
      <c r="A252" t="s">
        <v>32</v>
      </c>
      <c r="B252" t="s">
        <v>336</v>
      </c>
      <c r="C252" t="s">
        <v>321</v>
      </c>
      <c r="D252" t="s">
        <v>314</v>
      </c>
      <c r="E252" t="s">
        <v>315</v>
      </c>
      <c r="F252" t="s">
        <v>136</v>
      </c>
      <c r="H252" s="184" t="s">
        <v>117</v>
      </c>
      <c r="I252">
        <v>0</v>
      </c>
      <c r="J252">
        <v>0.4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X252" t="s">
        <v>70</v>
      </c>
      <c r="Y252" t="str">
        <f>VLOOKUP(Conso_FCST[[#This Row],[Country]],'Country-Region'!A:D,4,0)</f>
        <v>DACH Region</v>
      </c>
      <c r="Z252" t="str">
        <f>VLOOKUP(Conso_FCST[[#This Row],[Country]],'Country-Region'!A:D,3,0)</f>
        <v>Germany</v>
      </c>
      <c r="AA252" t="str">
        <f>IFERROR(VLOOKUP(Conso_FCST[[#This Row],[Model name]],Prod_T6[[#All],[Model name]:[Product Conso]],2,0),"exclude")</f>
        <v>TCL-MR470DT182-58NS</v>
      </c>
    </row>
    <row r="253" spans="1:27" hidden="1">
      <c r="A253" t="s">
        <v>32</v>
      </c>
      <c r="B253" t="s">
        <v>337</v>
      </c>
      <c r="C253" t="s">
        <v>321</v>
      </c>
      <c r="D253" t="s">
        <v>276</v>
      </c>
      <c r="E253" t="s">
        <v>277</v>
      </c>
      <c r="F253" t="s">
        <v>120</v>
      </c>
      <c r="H253" s="184" t="s">
        <v>117</v>
      </c>
      <c r="I253">
        <v>0.01</v>
      </c>
      <c r="J253">
        <v>0</v>
      </c>
      <c r="K253">
        <v>0.02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X253" t="s">
        <v>70</v>
      </c>
      <c r="Y253" t="str">
        <f>VLOOKUP(Conso_FCST[[#This Row],[Country]],'Country-Region'!A:D,4,0)</f>
        <v>DACH Region</v>
      </c>
      <c r="Z253" t="str">
        <f>VLOOKUP(Conso_FCST[[#This Row],[Country]],'Country-Region'!A:D,3,0)</f>
        <v>Germany</v>
      </c>
      <c r="AA253" t="str">
        <f>IFERROR(VLOOKUP(Conso_FCST[[#This Row],[Model name]],Prod_T6[[#All],[Model name]:[Product Conso]],2,0),"exclude")</f>
        <v>exclude</v>
      </c>
    </row>
    <row r="254" spans="1:27" hidden="1">
      <c r="A254" t="s">
        <v>32</v>
      </c>
      <c r="B254" t="s">
        <v>337</v>
      </c>
      <c r="C254" t="s">
        <v>321</v>
      </c>
      <c r="D254" t="s">
        <v>276</v>
      </c>
      <c r="E254" t="s">
        <v>322</v>
      </c>
      <c r="F254" t="s">
        <v>136</v>
      </c>
      <c r="H254" s="184" t="s">
        <v>117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0.05</v>
      </c>
      <c r="P254">
        <v>0</v>
      </c>
      <c r="Q254">
        <v>0.05</v>
      </c>
      <c r="X254" t="s">
        <v>70</v>
      </c>
      <c r="Y254" t="str">
        <f>VLOOKUP(Conso_FCST[[#This Row],[Country]],'Country-Region'!A:D,4,0)</f>
        <v>DACH Region</v>
      </c>
      <c r="Z254" t="str">
        <f>VLOOKUP(Conso_FCST[[#This Row],[Country]],'Country-Region'!A:D,3,0)</f>
        <v>Germany</v>
      </c>
      <c r="AA254" t="str">
        <f>IFERROR(VLOOKUP(Conso_FCST[[#This Row],[Model name]],Prod_T6[[#All],[Model name]:[Product Conso]],2,0),"exclude")</f>
        <v>SPR-BE54-DC</v>
      </c>
    </row>
    <row r="255" spans="1:27" hidden="1">
      <c r="A255" t="s">
        <v>32</v>
      </c>
      <c r="B255" t="s">
        <v>332</v>
      </c>
      <c r="C255" t="s">
        <v>321</v>
      </c>
      <c r="D255" t="s">
        <v>276</v>
      </c>
      <c r="E255" t="s">
        <v>322</v>
      </c>
      <c r="F255" t="s">
        <v>136</v>
      </c>
      <c r="H255" s="184" t="s">
        <v>117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0.1</v>
      </c>
      <c r="P255">
        <v>0</v>
      </c>
      <c r="Q255">
        <v>0.1</v>
      </c>
      <c r="X255" t="s">
        <v>70</v>
      </c>
      <c r="Y255" t="str">
        <f>VLOOKUP(Conso_FCST[[#This Row],[Country]],'Country-Region'!A:D,4,0)</f>
        <v>DACH Region</v>
      </c>
      <c r="Z255" t="str">
        <f>VLOOKUP(Conso_FCST[[#This Row],[Country]],'Country-Region'!A:D,3,0)</f>
        <v>Germany</v>
      </c>
      <c r="AA255" t="str">
        <f>IFERROR(VLOOKUP(Conso_FCST[[#This Row],[Model name]],Prod_T6[[#All],[Model name]:[Product Conso]],2,0),"exclude")</f>
        <v>SPR-BE54-DC</v>
      </c>
    </row>
    <row r="256" spans="1:27" hidden="1">
      <c r="A256" t="s">
        <v>32</v>
      </c>
      <c r="B256" t="s">
        <v>335</v>
      </c>
      <c r="C256" t="s">
        <v>321</v>
      </c>
      <c r="D256" t="s">
        <v>276</v>
      </c>
      <c r="E256" t="s">
        <v>277</v>
      </c>
      <c r="F256" t="s">
        <v>120</v>
      </c>
      <c r="H256" s="184" t="s">
        <v>117</v>
      </c>
      <c r="I256">
        <v>0.02</v>
      </c>
      <c r="J256">
        <v>0</v>
      </c>
      <c r="K256">
        <v>0.02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X256" t="s">
        <v>70</v>
      </c>
      <c r="Y256" t="str">
        <f>VLOOKUP(Conso_FCST[[#This Row],[Country]],'Country-Region'!A:D,4,0)</f>
        <v>DACH Region</v>
      </c>
      <c r="Z256" t="str">
        <f>VLOOKUP(Conso_FCST[[#This Row],[Country]],'Country-Region'!A:D,3,0)</f>
        <v>Germany</v>
      </c>
      <c r="AA256" t="str">
        <f>IFERROR(VLOOKUP(Conso_FCST[[#This Row],[Model name]],Prod_T6[[#All],[Model name]:[Product Conso]],2,0),"exclude")</f>
        <v>exclude</v>
      </c>
    </row>
    <row r="257" spans="1:27" hidden="1">
      <c r="A257" t="s">
        <v>32</v>
      </c>
      <c r="B257" t="s">
        <v>338</v>
      </c>
      <c r="D257" t="s">
        <v>54</v>
      </c>
      <c r="E257" t="s">
        <v>339</v>
      </c>
      <c r="F257" t="s">
        <v>115</v>
      </c>
      <c r="H257" s="184" t="s">
        <v>117</v>
      </c>
      <c r="X257" t="s">
        <v>70</v>
      </c>
      <c r="Y257" t="str">
        <f>VLOOKUP(Conso_FCST[[#This Row],[Country]],'Country-Region'!A:D,4,0)</f>
        <v>DACH Region</v>
      </c>
      <c r="Z257" t="str">
        <f>VLOOKUP(Conso_FCST[[#This Row],[Country]],'Country-Region'!A:D,3,0)</f>
        <v>Germany</v>
      </c>
      <c r="AA257" t="str">
        <f>IFERROR(VLOOKUP(Conso_FCST[[#This Row],[Model name]],Prod_T6[[#All],[Model name]:[Product Conso]],2,0),"exclude")</f>
        <v>HSM-ND48-DR</v>
      </c>
    </row>
    <row r="258" spans="1:27" hidden="1">
      <c r="A258" t="s">
        <v>32</v>
      </c>
      <c r="B258" t="s">
        <v>340</v>
      </c>
      <c r="C258" t="s">
        <v>321</v>
      </c>
      <c r="D258" t="s">
        <v>149</v>
      </c>
      <c r="E258" t="s">
        <v>289</v>
      </c>
      <c r="F258" t="s">
        <v>136</v>
      </c>
      <c r="H258" s="184" t="s">
        <v>117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1</v>
      </c>
      <c r="Q258">
        <v>0</v>
      </c>
      <c r="X258" t="s">
        <v>70</v>
      </c>
      <c r="Y258" t="str">
        <f>VLOOKUP(Conso_FCST[[#This Row],[Country]],'Country-Region'!A:D,4,0)</f>
        <v>DACH Region</v>
      </c>
      <c r="Z258" t="str">
        <f>VLOOKUP(Conso_FCST[[#This Row],[Country]],'Country-Region'!A:D,3,0)</f>
        <v>Germany</v>
      </c>
      <c r="AA258" t="str">
        <f>IFERROR(VLOOKUP(Conso_FCST[[#This Row],[Model name]],Prod_T6[[#All],[Model name]:[Product Conso]],2,0),"exclude")</f>
        <v>exclude</v>
      </c>
    </row>
    <row r="259" spans="1:27" hidden="1">
      <c r="A259" t="s">
        <v>32</v>
      </c>
      <c r="B259" t="s">
        <v>341</v>
      </c>
      <c r="C259" t="s">
        <v>321</v>
      </c>
      <c r="D259" t="s">
        <v>276</v>
      </c>
      <c r="E259" t="s">
        <v>322</v>
      </c>
      <c r="F259" t="s">
        <v>136</v>
      </c>
      <c r="H259" s="184" t="s">
        <v>117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0.05</v>
      </c>
      <c r="Q259">
        <v>0</v>
      </c>
      <c r="X259" t="s">
        <v>70</v>
      </c>
      <c r="Y259" t="str">
        <f>VLOOKUP(Conso_FCST[[#This Row],[Country]],'Country-Region'!A:D,4,0)</f>
        <v>DACH Region</v>
      </c>
      <c r="Z259" t="str">
        <f>VLOOKUP(Conso_FCST[[#This Row],[Country]],'Country-Region'!A:D,3,0)</f>
        <v>Germany</v>
      </c>
      <c r="AA259" t="str">
        <f>IFERROR(VLOOKUP(Conso_FCST[[#This Row],[Model name]],Prod_T6[[#All],[Model name]:[Product Conso]],2,0),"exclude")</f>
        <v>SPR-BE54-DC</v>
      </c>
    </row>
    <row r="260" spans="1:27" hidden="1">
      <c r="A260" t="s">
        <v>32</v>
      </c>
      <c r="B260" t="s">
        <v>342</v>
      </c>
      <c r="C260" t="s">
        <v>259</v>
      </c>
      <c r="D260" t="s">
        <v>118</v>
      </c>
      <c r="E260" t="s">
        <v>180</v>
      </c>
      <c r="F260" t="s">
        <v>120</v>
      </c>
      <c r="H260" s="184" t="s">
        <v>117</v>
      </c>
      <c r="I260">
        <v>5.5620000000000003E-2</v>
      </c>
      <c r="K260">
        <v>5.5620000000000003E-2</v>
      </c>
      <c r="M260">
        <v>7.4160000000000004E-2</v>
      </c>
      <c r="P260">
        <v>7.4160000000000004E-2</v>
      </c>
      <c r="X260" t="s">
        <v>70</v>
      </c>
      <c r="Y260" t="str">
        <f>VLOOKUP(Conso_FCST[[#This Row],[Country]],'Country-Region'!A:D,4,0)</f>
        <v>DACH Region</v>
      </c>
      <c r="Z260" t="str">
        <f>VLOOKUP(Conso_FCST[[#This Row],[Country]],'Country-Region'!A:D,3,0)</f>
        <v>Germany</v>
      </c>
      <c r="AA260" t="str">
        <f>IFERROR(VLOOKUP(Conso_FCST[[#This Row],[Model name]],Prod_T6[[#All],[Model name]:[Product Conso]],2,0),"exclude")</f>
        <v>P7 RES BLK-P</v>
      </c>
    </row>
    <row r="261" spans="1:27" hidden="1">
      <c r="A261" t="s">
        <v>32</v>
      </c>
      <c r="B261" t="s">
        <v>342</v>
      </c>
      <c r="C261" t="s">
        <v>259</v>
      </c>
      <c r="D261" t="s">
        <v>118</v>
      </c>
      <c r="E261" t="s">
        <v>255</v>
      </c>
      <c r="F261" t="s">
        <v>120</v>
      </c>
      <c r="H261" s="184" t="s">
        <v>117</v>
      </c>
      <c r="L261">
        <v>0.10989</v>
      </c>
      <c r="O261">
        <v>0.10989</v>
      </c>
      <c r="X261" t="s">
        <v>70</v>
      </c>
      <c r="Y261" t="str">
        <f>VLOOKUP(Conso_FCST[[#This Row],[Country]],'Country-Region'!A:D,4,0)</f>
        <v>DACH Region</v>
      </c>
      <c r="Z261" t="str">
        <f>VLOOKUP(Conso_FCST[[#This Row],[Country]],'Country-Region'!A:D,3,0)</f>
        <v>Germany</v>
      </c>
      <c r="AA261" t="str">
        <f>IFERROR(VLOOKUP(Conso_FCST[[#This Row],[Model name]],Prod_T6[[#All],[Model name]:[Product Conso]],2,0),"exclude")</f>
        <v>P7 COM S BF IT</v>
      </c>
    </row>
    <row r="262" spans="1:27" hidden="1">
      <c r="A262" t="s">
        <v>32</v>
      </c>
      <c r="B262" t="s">
        <v>342</v>
      </c>
      <c r="C262" t="s">
        <v>259</v>
      </c>
      <c r="D262" t="s">
        <v>134</v>
      </c>
      <c r="E262" t="s">
        <v>135</v>
      </c>
      <c r="F262" t="s">
        <v>120</v>
      </c>
      <c r="H262" s="184" t="s">
        <v>117</v>
      </c>
      <c r="M262">
        <v>3.5639999999999998E-2</v>
      </c>
      <c r="P262">
        <v>3.5639999999999998E-2</v>
      </c>
      <c r="X262" t="s">
        <v>70</v>
      </c>
      <c r="Y262" t="str">
        <f>VLOOKUP(Conso_FCST[[#This Row],[Country]],'Country-Region'!A:D,4,0)</f>
        <v>DACH Region</v>
      </c>
      <c r="Z262" t="str">
        <f>VLOOKUP(Conso_FCST[[#This Row],[Country]],'Country-Region'!A:D,3,0)</f>
        <v>Germany</v>
      </c>
      <c r="AA262" t="str">
        <f>IFERROR(VLOOKUP(Conso_FCST[[#This Row],[Model name]],Prod_T6[[#All],[Model name]:[Product Conso]],2,0),"exclude")</f>
        <v>SPR-BE54-HD</v>
      </c>
    </row>
    <row r="263" spans="1:27" hidden="1">
      <c r="A263" t="s">
        <v>32</v>
      </c>
      <c r="B263" t="s">
        <v>342</v>
      </c>
      <c r="C263" t="s">
        <v>259</v>
      </c>
      <c r="D263" t="s">
        <v>134</v>
      </c>
      <c r="E263" t="s">
        <v>263</v>
      </c>
      <c r="F263" t="s">
        <v>120</v>
      </c>
      <c r="H263" s="184" t="s">
        <v>117</v>
      </c>
      <c r="X263" t="s">
        <v>70</v>
      </c>
      <c r="Y263" t="str">
        <f>VLOOKUP(Conso_FCST[[#This Row],[Country]],'Country-Region'!A:D,4,0)</f>
        <v>DACH Region</v>
      </c>
      <c r="Z263" t="str">
        <f>VLOOKUP(Conso_FCST[[#This Row],[Country]],'Country-Region'!A:D,3,0)</f>
        <v>Germany</v>
      </c>
      <c r="AA263" t="str">
        <f>IFERROR(VLOOKUP(Conso_FCST[[#This Row],[Model name]],Prod_T6[[#All],[Model name]:[Product Conso]],2,0),"exclude")</f>
        <v>SPR-BE66-GD</v>
      </c>
    </row>
    <row r="264" spans="1:27" hidden="1">
      <c r="A264" t="s">
        <v>32</v>
      </c>
      <c r="B264" t="s">
        <v>343</v>
      </c>
      <c r="C264" t="s">
        <v>259</v>
      </c>
      <c r="D264" t="s">
        <v>323</v>
      </c>
      <c r="E264" t="s">
        <v>344</v>
      </c>
      <c r="F264" t="s">
        <v>120</v>
      </c>
      <c r="H264" s="184" t="s">
        <v>117</v>
      </c>
      <c r="I264">
        <v>0.19139999999999999</v>
      </c>
      <c r="X264" t="s">
        <v>70</v>
      </c>
      <c r="Y264" t="str">
        <f>VLOOKUP(Conso_FCST[[#This Row],[Country]],'Country-Region'!A:D,4,0)</f>
        <v>DACH Region</v>
      </c>
      <c r="Z264" t="str">
        <f>VLOOKUP(Conso_FCST[[#This Row],[Country]],'Country-Region'!A:D,3,0)</f>
        <v>Germany</v>
      </c>
      <c r="AA264" t="str">
        <f>IFERROR(VLOOKUP(Conso_FCST[[#This Row],[Model name]],Prod_T6[[#All],[Model name]:[Product Conso]],2,0),"exclude")</f>
        <v>exclude</v>
      </c>
    </row>
    <row r="265" spans="1:27" hidden="1">
      <c r="A265" t="s">
        <v>32</v>
      </c>
      <c r="B265" t="s">
        <v>345</v>
      </c>
      <c r="C265" t="s">
        <v>259</v>
      </c>
      <c r="D265" t="s">
        <v>118</v>
      </c>
      <c r="E265" t="s">
        <v>119</v>
      </c>
      <c r="F265" t="s">
        <v>120</v>
      </c>
      <c r="H265" s="184" t="s">
        <v>117</v>
      </c>
      <c r="J265">
        <v>0.13247999999999999</v>
      </c>
      <c r="L265">
        <v>0.13247999999999999</v>
      </c>
      <c r="O265">
        <v>0.13247999999999999</v>
      </c>
      <c r="X265" t="s">
        <v>70</v>
      </c>
      <c r="Y265" t="str">
        <f>VLOOKUP(Conso_FCST[[#This Row],[Country]],'Country-Region'!A:D,4,0)</f>
        <v>DACH Region</v>
      </c>
      <c r="Z265" t="str">
        <f>VLOOKUP(Conso_FCST[[#This Row],[Country]],'Country-Region'!A:D,3,0)</f>
        <v>Germany</v>
      </c>
      <c r="AA265" t="str">
        <f>IFERROR(VLOOKUP(Conso_FCST[[#This Row],[Model name]],Prod_T6[[#All],[Model name]:[Product Conso]],2,0),"exclude")</f>
        <v>P7 RES BLK 2.0</v>
      </c>
    </row>
    <row r="266" spans="1:27" hidden="1">
      <c r="A266" t="s">
        <v>32</v>
      </c>
      <c r="B266" t="s">
        <v>345</v>
      </c>
      <c r="C266" t="s">
        <v>259</v>
      </c>
      <c r="D266" t="s">
        <v>118</v>
      </c>
      <c r="E266" t="s">
        <v>180</v>
      </c>
      <c r="F266" t="s">
        <v>120</v>
      </c>
      <c r="H266" s="184" t="s">
        <v>117</v>
      </c>
      <c r="L266">
        <v>3.7080000000000002E-2</v>
      </c>
      <c r="O266">
        <v>3.7080000000000002E-2</v>
      </c>
      <c r="X266" t="s">
        <v>70</v>
      </c>
      <c r="Y266" t="str">
        <f>VLOOKUP(Conso_FCST[[#This Row],[Country]],'Country-Region'!A:D,4,0)</f>
        <v>DACH Region</v>
      </c>
      <c r="Z266" t="str">
        <f>VLOOKUP(Conso_FCST[[#This Row],[Country]],'Country-Region'!A:D,3,0)</f>
        <v>Germany</v>
      </c>
      <c r="AA266" t="str">
        <f>IFERROR(VLOOKUP(Conso_FCST[[#This Row],[Model name]],Prod_T6[[#All],[Model name]:[Product Conso]],2,0),"exclude")</f>
        <v>P7 RES BLK-P</v>
      </c>
    </row>
    <row r="267" spans="1:27" hidden="1">
      <c r="A267" t="s">
        <v>32</v>
      </c>
      <c r="B267" t="s">
        <v>345</v>
      </c>
      <c r="C267" t="s">
        <v>259</v>
      </c>
      <c r="D267" t="s">
        <v>118</v>
      </c>
      <c r="E267" t="s">
        <v>255</v>
      </c>
      <c r="F267" t="s">
        <v>120</v>
      </c>
      <c r="H267" s="184" t="s">
        <v>117</v>
      </c>
      <c r="K267">
        <v>0.10989</v>
      </c>
      <c r="N267">
        <v>0.10989</v>
      </c>
      <c r="X267" t="s">
        <v>70</v>
      </c>
      <c r="Y267" t="str">
        <f>VLOOKUP(Conso_FCST[[#This Row],[Country]],'Country-Region'!A:D,4,0)</f>
        <v>DACH Region</v>
      </c>
      <c r="Z267" t="str">
        <f>VLOOKUP(Conso_FCST[[#This Row],[Country]],'Country-Region'!A:D,3,0)</f>
        <v>Germany</v>
      </c>
      <c r="AA267" t="str">
        <f>IFERROR(VLOOKUP(Conso_FCST[[#This Row],[Model name]],Prod_T6[[#All],[Model name]:[Product Conso]],2,0),"exclude")</f>
        <v>P7 COM S BF IT</v>
      </c>
    </row>
    <row r="268" spans="1:27" hidden="1">
      <c r="A268" t="s">
        <v>32</v>
      </c>
      <c r="B268" t="s">
        <v>345</v>
      </c>
      <c r="C268" t="s">
        <v>259</v>
      </c>
      <c r="D268" t="s">
        <v>134</v>
      </c>
      <c r="E268" t="s">
        <v>135</v>
      </c>
      <c r="F268" t="s">
        <v>120</v>
      </c>
      <c r="H268" s="184" t="s">
        <v>117</v>
      </c>
      <c r="X268" t="s">
        <v>70</v>
      </c>
      <c r="Y268" t="str">
        <f>VLOOKUP(Conso_FCST[[#This Row],[Country]],'Country-Region'!A:D,4,0)</f>
        <v>DACH Region</v>
      </c>
      <c r="Z268" t="str">
        <f>VLOOKUP(Conso_FCST[[#This Row],[Country]],'Country-Region'!A:D,3,0)</f>
        <v>Germany</v>
      </c>
      <c r="AA268" t="str">
        <f>IFERROR(VLOOKUP(Conso_FCST[[#This Row],[Model name]],Prod_T6[[#All],[Model name]:[Product Conso]],2,0),"exclude")</f>
        <v>SPR-BE54-HD</v>
      </c>
    </row>
    <row r="269" spans="1:27" hidden="1">
      <c r="A269" t="s">
        <v>32</v>
      </c>
      <c r="B269" t="s">
        <v>346</v>
      </c>
      <c r="C269" t="s">
        <v>259</v>
      </c>
      <c r="D269" t="s">
        <v>118</v>
      </c>
      <c r="E269" t="s">
        <v>119</v>
      </c>
      <c r="F269" t="s">
        <v>120</v>
      </c>
      <c r="H269" s="184" t="s">
        <v>117</v>
      </c>
      <c r="K269">
        <v>0.13247999999999999</v>
      </c>
      <c r="M269">
        <v>0.13247999999999999</v>
      </c>
      <c r="P269">
        <v>6.6239999999999993E-2</v>
      </c>
      <c r="X269" t="s">
        <v>70</v>
      </c>
      <c r="Y269" t="str">
        <f>VLOOKUP(Conso_FCST[[#This Row],[Country]],'Country-Region'!A:D,4,0)</f>
        <v>DACH Region</v>
      </c>
      <c r="Z269" t="str">
        <f>VLOOKUP(Conso_FCST[[#This Row],[Country]],'Country-Region'!A:D,3,0)</f>
        <v>Germany</v>
      </c>
      <c r="AA269" t="str">
        <f>IFERROR(VLOOKUP(Conso_FCST[[#This Row],[Model name]],Prod_T6[[#All],[Model name]:[Product Conso]],2,0),"exclude")</f>
        <v>P7 RES BLK 2.0</v>
      </c>
    </row>
    <row r="270" spans="1:27" hidden="1">
      <c r="A270" t="s">
        <v>32</v>
      </c>
      <c r="B270" t="s">
        <v>346</v>
      </c>
      <c r="C270" t="s">
        <v>259</v>
      </c>
      <c r="D270" t="s">
        <v>118</v>
      </c>
      <c r="E270" t="s">
        <v>180</v>
      </c>
      <c r="F270" t="s">
        <v>120</v>
      </c>
      <c r="H270" s="184" t="s">
        <v>117</v>
      </c>
      <c r="K270">
        <v>3.7080000000000002E-2</v>
      </c>
      <c r="M270">
        <v>3.7080000000000002E-2</v>
      </c>
      <c r="P270">
        <v>3.7080000000000002E-2</v>
      </c>
      <c r="X270" t="s">
        <v>70</v>
      </c>
      <c r="Y270" t="str">
        <f>VLOOKUP(Conso_FCST[[#This Row],[Country]],'Country-Region'!A:D,4,0)</f>
        <v>DACH Region</v>
      </c>
      <c r="Z270" t="str">
        <f>VLOOKUP(Conso_FCST[[#This Row],[Country]],'Country-Region'!A:D,3,0)</f>
        <v>Germany</v>
      </c>
      <c r="AA270" t="str">
        <f>IFERROR(VLOOKUP(Conso_FCST[[#This Row],[Model name]],Prod_T6[[#All],[Model name]:[Product Conso]],2,0),"exclude")</f>
        <v>P7 RES BLK-P</v>
      </c>
    </row>
    <row r="271" spans="1:27" hidden="1">
      <c r="A271" t="s">
        <v>32</v>
      </c>
      <c r="B271" t="s">
        <v>346</v>
      </c>
      <c r="C271" t="s">
        <v>259</v>
      </c>
      <c r="D271" t="s">
        <v>118</v>
      </c>
      <c r="E271" t="s">
        <v>255</v>
      </c>
      <c r="F271" t="s">
        <v>120</v>
      </c>
      <c r="H271" s="184" t="s">
        <v>117</v>
      </c>
      <c r="K271">
        <v>3.6630000000000003E-2</v>
      </c>
      <c r="M271">
        <v>3.6630000000000003E-2</v>
      </c>
      <c r="P271">
        <v>3.6630000000000003E-2</v>
      </c>
      <c r="X271" t="s">
        <v>70</v>
      </c>
      <c r="Y271" t="str">
        <f>VLOOKUP(Conso_FCST[[#This Row],[Country]],'Country-Region'!A:D,4,0)</f>
        <v>DACH Region</v>
      </c>
      <c r="Z271" t="str">
        <f>VLOOKUP(Conso_FCST[[#This Row],[Country]],'Country-Region'!A:D,3,0)</f>
        <v>Germany</v>
      </c>
      <c r="AA271" t="str">
        <f>IFERROR(VLOOKUP(Conso_FCST[[#This Row],[Model name]],Prod_T6[[#All],[Model name]:[Product Conso]],2,0),"exclude")</f>
        <v>P7 COM S BF IT</v>
      </c>
    </row>
    <row r="272" spans="1:27" hidden="1">
      <c r="A272" t="s">
        <v>32</v>
      </c>
      <c r="B272" t="s">
        <v>346</v>
      </c>
      <c r="C272" t="s">
        <v>259</v>
      </c>
      <c r="D272" t="s">
        <v>134</v>
      </c>
      <c r="E272" t="s">
        <v>135</v>
      </c>
      <c r="F272" t="s">
        <v>120</v>
      </c>
      <c r="H272" s="184" t="s">
        <v>117</v>
      </c>
      <c r="M272">
        <v>3.5639999999999998E-2</v>
      </c>
      <c r="P272">
        <v>3.5639999999999998E-2</v>
      </c>
      <c r="X272" t="s">
        <v>70</v>
      </c>
      <c r="Y272" t="str">
        <f>VLOOKUP(Conso_FCST[[#This Row],[Country]],'Country-Region'!A:D,4,0)</f>
        <v>DACH Region</v>
      </c>
      <c r="Z272" t="str">
        <f>VLOOKUP(Conso_FCST[[#This Row],[Country]],'Country-Region'!A:D,3,0)</f>
        <v>Germany</v>
      </c>
      <c r="AA272" t="str">
        <f>IFERROR(VLOOKUP(Conso_FCST[[#This Row],[Model name]],Prod_T6[[#All],[Model name]:[Product Conso]],2,0),"exclude")</f>
        <v>SPR-BE54-HD</v>
      </c>
    </row>
    <row r="273" spans="1:27" hidden="1">
      <c r="A273" t="s">
        <v>32</v>
      </c>
      <c r="B273" t="s">
        <v>346</v>
      </c>
      <c r="C273" t="s">
        <v>259</v>
      </c>
      <c r="D273" t="s">
        <v>134</v>
      </c>
      <c r="E273" t="s">
        <v>263</v>
      </c>
      <c r="F273" t="s">
        <v>120</v>
      </c>
      <c r="H273" s="184" t="s">
        <v>117</v>
      </c>
      <c r="M273">
        <v>4.3200000000000002E-2</v>
      </c>
      <c r="X273" t="s">
        <v>70</v>
      </c>
      <c r="Y273" t="str">
        <f>VLOOKUP(Conso_FCST[[#This Row],[Country]],'Country-Region'!A:D,4,0)</f>
        <v>DACH Region</v>
      </c>
      <c r="Z273" t="str">
        <f>VLOOKUP(Conso_FCST[[#This Row],[Country]],'Country-Region'!A:D,3,0)</f>
        <v>Germany</v>
      </c>
      <c r="AA273" t="str">
        <f>IFERROR(VLOOKUP(Conso_FCST[[#This Row],[Model name]],Prod_T6[[#All],[Model name]:[Product Conso]],2,0),"exclude")</f>
        <v>SPR-BE66-GD</v>
      </c>
    </row>
    <row r="274" spans="1:27" hidden="1">
      <c r="A274" t="s">
        <v>32</v>
      </c>
      <c r="B274" t="s">
        <v>347</v>
      </c>
      <c r="C274" t="s">
        <v>259</v>
      </c>
      <c r="D274" t="s">
        <v>118</v>
      </c>
      <c r="E274" t="s">
        <v>119</v>
      </c>
      <c r="F274" t="s">
        <v>120</v>
      </c>
      <c r="H274" s="184" t="s">
        <v>117</v>
      </c>
      <c r="N274">
        <v>3.3119999999999997E-2</v>
      </c>
      <c r="X274" t="s">
        <v>70</v>
      </c>
      <c r="Y274" t="str">
        <f>VLOOKUP(Conso_FCST[[#This Row],[Country]],'Country-Region'!A:D,4,0)</f>
        <v>DACH Region</v>
      </c>
      <c r="Z274" t="str">
        <f>VLOOKUP(Conso_FCST[[#This Row],[Country]],'Country-Region'!A:D,3,0)</f>
        <v>Germany</v>
      </c>
      <c r="AA274" t="str">
        <f>IFERROR(VLOOKUP(Conso_FCST[[#This Row],[Model name]],Prod_T6[[#All],[Model name]:[Product Conso]],2,0),"exclude")</f>
        <v>P7 RES BLK 2.0</v>
      </c>
    </row>
    <row r="275" spans="1:27" hidden="1">
      <c r="A275" t="s">
        <v>32</v>
      </c>
      <c r="B275" t="s">
        <v>342</v>
      </c>
      <c r="C275" t="s">
        <v>259</v>
      </c>
      <c r="D275" t="s">
        <v>118</v>
      </c>
      <c r="E275" t="s">
        <v>119</v>
      </c>
      <c r="F275" t="s">
        <v>120</v>
      </c>
      <c r="H275" s="184" t="s">
        <v>117</v>
      </c>
      <c r="K275">
        <v>6.6239999999999993E-2</v>
      </c>
      <c r="M275">
        <v>6.6239999999999993E-2</v>
      </c>
      <c r="P275">
        <v>6.6239999999999993E-2</v>
      </c>
      <c r="X275" t="s">
        <v>70</v>
      </c>
      <c r="Y275" t="str">
        <f>VLOOKUP(Conso_FCST[[#This Row],[Country]],'Country-Region'!A:D,4,0)</f>
        <v>DACH Region</v>
      </c>
      <c r="Z275" t="str">
        <f>VLOOKUP(Conso_FCST[[#This Row],[Country]],'Country-Region'!A:D,3,0)</f>
        <v>Germany</v>
      </c>
      <c r="AA275" t="str">
        <f>IFERROR(VLOOKUP(Conso_FCST[[#This Row],[Model name]],Prod_T6[[#All],[Model name]:[Product Conso]],2,0),"exclude")</f>
        <v>P7 RES BLK 2.0</v>
      </c>
    </row>
    <row r="276" spans="1:27" hidden="1">
      <c r="A276" t="s">
        <v>32</v>
      </c>
      <c r="B276" t="s">
        <v>348</v>
      </c>
      <c r="C276" t="s">
        <v>259</v>
      </c>
      <c r="D276" t="s">
        <v>134</v>
      </c>
      <c r="E276" t="s">
        <v>135</v>
      </c>
      <c r="F276" t="s">
        <v>120</v>
      </c>
      <c r="H276" s="184" t="s">
        <v>117</v>
      </c>
      <c r="M276">
        <v>3.5639999999999998E-2</v>
      </c>
      <c r="P276">
        <v>3.5639999999999998E-2</v>
      </c>
      <c r="X276" t="s">
        <v>70</v>
      </c>
      <c r="Y276" t="str">
        <f>VLOOKUP(Conso_FCST[[#This Row],[Country]],'Country-Region'!A:D,4,0)</f>
        <v>DACH Region</v>
      </c>
      <c r="Z276" t="str">
        <f>VLOOKUP(Conso_FCST[[#This Row],[Country]],'Country-Region'!A:D,3,0)</f>
        <v>Germany</v>
      </c>
      <c r="AA276" t="str">
        <f>IFERROR(VLOOKUP(Conso_FCST[[#This Row],[Model name]],Prod_T6[[#All],[Model name]:[Product Conso]],2,0),"exclude")</f>
        <v>SPR-BE54-HD</v>
      </c>
    </row>
    <row r="277" spans="1:27" hidden="1">
      <c r="A277" t="s">
        <v>32</v>
      </c>
      <c r="B277" t="s">
        <v>348</v>
      </c>
      <c r="C277" t="s">
        <v>259</v>
      </c>
      <c r="D277" t="s">
        <v>118</v>
      </c>
      <c r="E277" t="s">
        <v>180</v>
      </c>
      <c r="F277" t="s">
        <v>120</v>
      </c>
      <c r="H277" s="184" t="s">
        <v>117</v>
      </c>
      <c r="J277">
        <v>7.4160000000000004E-2</v>
      </c>
      <c r="M277">
        <v>7.4160000000000004E-2</v>
      </c>
      <c r="P277">
        <v>7.4160000000000004E-2</v>
      </c>
      <c r="X277" t="s">
        <v>70</v>
      </c>
      <c r="Y277" t="str">
        <f>VLOOKUP(Conso_FCST[[#This Row],[Country]],'Country-Region'!A:D,4,0)</f>
        <v>DACH Region</v>
      </c>
      <c r="Z277" t="str">
        <f>VLOOKUP(Conso_FCST[[#This Row],[Country]],'Country-Region'!A:D,3,0)</f>
        <v>Germany</v>
      </c>
      <c r="AA277" t="str">
        <f>IFERROR(VLOOKUP(Conso_FCST[[#This Row],[Model name]],Prod_T6[[#All],[Model name]:[Product Conso]],2,0),"exclude")</f>
        <v>P7 RES BLK-P</v>
      </c>
    </row>
    <row r="278" spans="1:27" hidden="1">
      <c r="A278" t="s">
        <v>32</v>
      </c>
      <c r="B278" t="s">
        <v>348</v>
      </c>
      <c r="C278" t="s">
        <v>259</v>
      </c>
      <c r="D278" t="s">
        <v>118</v>
      </c>
      <c r="E278" t="s">
        <v>119</v>
      </c>
      <c r="F278" t="s">
        <v>120</v>
      </c>
      <c r="H278" s="184" t="s">
        <v>117</v>
      </c>
      <c r="J278">
        <v>6.6239999999999993E-2</v>
      </c>
      <c r="M278">
        <v>6.6239999999999993E-2</v>
      </c>
      <c r="P278">
        <v>6.6239999999999993E-2</v>
      </c>
      <c r="X278" t="s">
        <v>70</v>
      </c>
      <c r="Y278" t="str">
        <f>VLOOKUP(Conso_FCST[[#This Row],[Country]],'Country-Region'!A:D,4,0)</f>
        <v>DACH Region</v>
      </c>
      <c r="Z278" t="str">
        <f>VLOOKUP(Conso_FCST[[#This Row],[Country]],'Country-Region'!A:D,3,0)</f>
        <v>Germany</v>
      </c>
      <c r="AA278" t="str">
        <f>IFERROR(VLOOKUP(Conso_FCST[[#This Row],[Model name]],Prod_T6[[#All],[Model name]:[Product Conso]],2,0),"exclude")</f>
        <v>P7 RES BLK 2.0</v>
      </c>
    </row>
    <row r="279" spans="1:27" hidden="1">
      <c r="A279" t="s">
        <v>32</v>
      </c>
      <c r="B279" t="s">
        <v>349</v>
      </c>
      <c r="C279" t="s">
        <v>321</v>
      </c>
      <c r="D279" t="s">
        <v>149</v>
      </c>
      <c r="E279" t="s">
        <v>289</v>
      </c>
      <c r="F279" t="s">
        <v>136</v>
      </c>
      <c r="H279" s="184" t="s">
        <v>117</v>
      </c>
      <c r="I279">
        <v>0</v>
      </c>
      <c r="J279">
        <v>0</v>
      </c>
      <c r="K279">
        <v>0</v>
      </c>
      <c r="L279">
        <v>0</v>
      </c>
      <c r="M279">
        <v>0.45</v>
      </c>
      <c r="N279">
        <v>0</v>
      </c>
      <c r="O279">
        <v>0</v>
      </c>
      <c r="P279">
        <v>0.45</v>
      </c>
      <c r="Q279">
        <v>0</v>
      </c>
      <c r="X279" t="s">
        <v>70</v>
      </c>
      <c r="Y279" t="str">
        <f>VLOOKUP(Conso_FCST[[#This Row],[Country]],'Country-Region'!A:D,4,0)</f>
        <v>DACH Region</v>
      </c>
      <c r="Z279" t="str">
        <f>VLOOKUP(Conso_FCST[[#This Row],[Country]],'Country-Region'!A:D,3,0)</f>
        <v>Germany</v>
      </c>
      <c r="AA279" t="str">
        <f>IFERROR(VLOOKUP(Conso_FCST[[#This Row],[Model name]],Prod_T6[[#All],[Model name]:[Product Conso]],2,0),"exclude")</f>
        <v>exclude</v>
      </c>
    </row>
    <row r="280" spans="1:27" hidden="1">
      <c r="A280" t="s">
        <v>32</v>
      </c>
      <c r="B280" t="s">
        <v>349</v>
      </c>
      <c r="C280" t="s">
        <v>321</v>
      </c>
      <c r="D280" t="s">
        <v>276</v>
      </c>
      <c r="E280" t="s">
        <v>322</v>
      </c>
      <c r="F280" t="s">
        <v>136</v>
      </c>
      <c r="H280" s="184" t="s">
        <v>117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0.1</v>
      </c>
      <c r="P280">
        <v>0</v>
      </c>
      <c r="Q280">
        <v>0.1</v>
      </c>
      <c r="X280" t="s">
        <v>70</v>
      </c>
      <c r="Y280" t="str">
        <f>VLOOKUP(Conso_FCST[[#This Row],[Country]],'Country-Region'!A:D,4,0)</f>
        <v>DACH Region</v>
      </c>
      <c r="Z280" t="str">
        <f>VLOOKUP(Conso_FCST[[#This Row],[Country]],'Country-Region'!A:D,3,0)</f>
        <v>Germany</v>
      </c>
      <c r="AA280" t="str">
        <f>IFERROR(VLOOKUP(Conso_FCST[[#This Row],[Model name]],Prod_T6[[#All],[Model name]:[Product Conso]],2,0),"exclude")</f>
        <v>SPR-BE54-DC</v>
      </c>
    </row>
    <row r="281" spans="1:27" hidden="1">
      <c r="A281" t="s">
        <v>32</v>
      </c>
      <c r="B281" t="s">
        <v>350</v>
      </c>
      <c r="C281" t="s">
        <v>321</v>
      </c>
      <c r="D281" t="s">
        <v>149</v>
      </c>
      <c r="E281" t="s">
        <v>289</v>
      </c>
      <c r="F281" t="s">
        <v>136</v>
      </c>
      <c r="H281" s="184" t="s">
        <v>117</v>
      </c>
      <c r="I281">
        <v>0</v>
      </c>
      <c r="J281">
        <v>0</v>
      </c>
      <c r="K281">
        <v>0</v>
      </c>
      <c r="L281">
        <v>0</v>
      </c>
      <c r="M281">
        <v>0.45</v>
      </c>
      <c r="N281">
        <v>0</v>
      </c>
      <c r="O281">
        <v>0.45</v>
      </c>
      <c r="P281">
        <v>0</v>
      </c>
      <c r="Q281">
        <v>0.45</v>
      </c>
      <c r="X281" t="s">
        <v>70</v>
      </c>
      <c r="Y281" t="str">
        <f>VLOOKUP(Conso_FCST[[#This Row],[Country]],'Country-Region'!A:D,4,0)</f>
        <v>DACH Region</v>
      </c>
      <c r="Z281" t="str">
        <f>VLOOKUP(Conso_FCST[[#This Row],[Country]],'Country-Region'!A:D,3,0)</f>
        <v>Germany</v>
      </c>
      <c r="AA281" t="str">
        <f>IFERROR(VLOOKUP(Conso_FCST[[#This Row],[Model name]],Prod_T6[[#All],[Model name]:[Product Conso]],2,0),"exclude")</f>
        <v>exclude</v>
      </c>
    </row>
    <row r="282" spans="1:27" hidden="1">
      <c r="A282" t="s">
        <v>32</v>
      </c>
      <c r="B282" t="s">
        <v>351</v>
      </c>
      <c r="C282" t="s">
        <v>321</v>
      </c>
      <c r="D282" t="s">
        <v>54</v>
      </c>
      <c r="E282" t="s">
        <v>170</v>
      </c>
      <c r="F282" t="s">
        <v>136</v>
      </c>
      <c r="H282" s="184" t="s">
        <v>117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0.7</v>
      </c>
      <c r="O282">
        <v>0</v>
      </c>
      <c r="P282">
        <v>0</v>
      </c>
      <c r="Q282">
        <v>0</v>
      </c>
      <c r="X282" t="s">
        <v>70</v>
      </c>
      <c r="Y282" t="str">
        <f>VLOOKUP(Conso_FCST[[#This Row],[Country]],'Country-Region'!A:D,4,0)</f>
        <v>DACH Region</v>
      </c>
      <c r="Z282" t="str">
        <f>VLOOKUP(Conso_FCST[[#This Row],[Country]],'Country-Region'!A:D,3,0)</f>
        <v>Germany</v>
      </c>
      <c r="AA282" t="str">
        <f>IFERROR(VLOOKUP(Conso_FCST[[#This Row],[Model name]],Prod_T6[[#All],[Model name]:[Product Conso]],2,0),"exclude")</f>
        <v>HSM-ND66-GR</v>
      </c>
    </row>
    <row r="283" spans="1:27" hidden="1">
      <c r="A283" t="s">
        <v>32</v>
      </c>
      <c r="B283" t="s">
        <v>351</v>
      </c>
      <c r="C283" t="s">
        <v>321</v>
      </c>
      <c r="D283" t="s">
        <v>276</v>
      </c>
      <c r="E283" t="s">
        <v>322</v>
      </c>
      <c r="F283" t="s">
        <v>136</v>
      </c>
      <c r="H283" s="184" t="s">
        <v>117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0.1</v>
      </c>
      <c r="P283">
        <v>0</v>
      </c>
      <c r="Q283">
        <v>0.1</v>
      </c>
      <c r="X283" t="s">
        <v>70</v>
      </c>
      <c r="Y283" t="str">
        <f>VLOOKUP(Conso_FCST[[#This Row],[Country]],'Country-Region'!A:D,4,0)</f>
        <v>DACH Region</v>
      </c>
      <c r="Z283" t="str">
        <f>VLOOKUP(Conso_FCST[[#This Row],[Country]],'Country-Region'!A:D,3,0)</f>
        <v>Germany</v>
      </c>
      <c r="AA283" t="str">
        <f>IFERROR(VLOOKUP(Conso_FCST[[#This Row],[Model name]],Prod_T6[[#All],[Model name]:[Product Conso]],2,0),"exclude")</f>
        <v>SPR-BE54-DC</v>
      </c>
    </row>
    <row r="284" spans="1:27" hidden="1">
      <c r="A284" t="s">
        <v>32</v>
      </c>
      <c r="B284" t="s">
        <v>352</v>
      </c>
      <c r="C284" t="s">
        <v>321</v>
      </c>
      <c r="D284" t="s">
        <v>118</v>
      </c>
      <c r="E284" t="s">
        <v>119</v>
      </c>
      <c r="F284" t="s">
        <v>136</v>
      </c>
      <c r="H284" s="184" t="s">
        <v>117</v>
      </c>
      <c r="I284">
        <v>0</v>
      </c>
      <c r="J284">
        <v>0.02</v>
      </c>
      <c r="K284">
        <v>0</v>
      </c>
      <c r="L284">
        <v>0</v>
      </c>
      <c r="M284">
        <v>0</v>
      </c>
      <c r="N284">
        <v>0.03</v>
      </c>
      <c r="O284">
        <v>0</v>
      </c>
      <c r="P284">
        <v>0</v>
      </c>
      <c r="Q284">
        <v>0</v>
      </c>
      <c r="X284" t="s">
        <v>70</v>
      </c>
      <c r="Y284" t="str">
        <f>VLOOKUP(Conso_FCST[[#This Row],[Country]],'Country-Region'!A:D,4,0)</f>
        <v>DACH Region</v>
      </c>
      <c r="Z284" t="str">
        <f>VLOOKUP(Conso_FCST[[#This Row],[Country]],'Country-Region'!A:D,3,0)</f>
        <v>Germany</v>
      </c>
      <c r="AA284" t="str">
        <f>IFERROR(VLOOKUP(Conso_FCST[[#This Row],[Model name]],Prod_T6[[#All],[Model name]:[Product Conso]],2,0),"exclude")</f>
        <v>P7 RES BLK 2.0</v>
      </c>
    </row>
    <row r="285" spans="1:27" hidden="1">
      <c r="A285" t="s">
        <v>32</v>
      </c>
      <c r="B285" t="s">
        <v>352</v>
      </c>
      <c r="C285" t="s">
        <v>321</v>
      </c>
      <c r="D285" t="s">
        <v>276</v>
      </c>
      <c r="E285" t="s">
        <v>322</v>
      </c>
      <c r="F285" t="s">
        <v>136</v>
      </c>
      <c r="H285" s="184" t="s">
        <v>117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0.05</v>
      </c>
      <c r="P285">
        <v>0</v>
      </c>
      <c r="Q285">
        <v>0.05</v>
      </c>
      <c r="X285" t="s">
        <v>70</v>
      </c>
      <c r="Y285" t="str">
        <f>VLOOKUP(Conso_FCST[[#This Row],[Country]],'Country-Region'!A:D,4,0)</f>
        <v>DACH Region</v>
      </c>
      <c r="Z285" t="str">
        <f>VLOOKUP(Conso_FCST[[#This Row],[Country]],'Country-Region'!A:D,3,0)</f>
        <v>Germany</v>
      </c>
      <c r="AA285" t="str">
        <f>IFERROR(VLOOKUP(Conso_FCST[[#This Row],[Model name]],Prod_T6[[#All],[Model name]:[Product Conso]],2,0),"exclude")</f>
        <v>SPR-BE54-DC</v>
      </c>
    </row>
    <row r="286" spans="1:27" hidden="1">
      <c r="A286" t="s">
        <v>32</v>
      </c>
      <c r="B286" t="s">
        <v>341</v>
      </c>
      <c r="C286" t="s">
        <v>321</v>
      </c>
      <c r="D286" t="s">
        <v>197</v>
      </c>
      <c r="E286" t="s">
        <v>62</v>
      </c>
      <c r="F286" t="s">
        <v>136</v>
      </c>
      <c r="H286" s="184" t="s">
        <v>117</v>
      </c>
      <c r="I286">
        <v>0</v>
      </c>
      <c r="J286">
        <v>1</v>
      </c>
      <c r="K286">
        <v>1</v>
      </c>
      <c r="L286">
        <v>0</v>
      </c>
      <c r="M286">
        <v>1</v>
      </c>
      <c r="N286">
        <v>0</v>
      </c>
      <c r="O286">
        <v>0</v>
      </c>
      <c r="P286">
        <v>1</v>
      </c>
      <c r="Q286">
        <v>0</v>
      </c>
      <c r="X286" t="s">
        <v>27</v>
      </c>
      <c r="Y286" t="str">
        <f>VLOOKUP(Conso_FCST[[#This Row],[Country]],'Country-Region'!A:D,4,0)</f>
        <v>DACH Region</v>
      </c>
      <c r="Z286" t="str">
        <f>VLOOKUP(Conso_FCST[[#This Row],[Country]],'Country-Region'!A:D,3,0)</f>
        <v>Germany</v>
      </c>
      <c r="AA286" t="str">
        <f>IFERROR(VLOOKUP(Conso_FCST[[#This Row],[Model name]],Prod_T6[[#All],[Model name]:[Product Conso]],2,0),"exclude")</f>
        <v>Gen2 3P 13kw</v>
      </c>
    </row>
    <row r="287" spans="1:27" hidden="1">
      <c r="A287" t="s">
        <v>32</v>
      </c>
      <c r="B287" t="s">
        <v>353</v>
      </c>
      <c r="C287" t="s">
        <v>321</v>
      </c>
      <c r="D287" t="s">
        <v>118</v>
      </c>
      <c r="E287" t="s">
        <v>119</v>
      </c>
      <c r="F287" t="s">
        <v>136</v>
      </c>
      <c r="H287" s="184" t="s">
        <v>117</v>
      </c>
      <c r="I287">
        <v>0</v>
      </c>
      <c r="J287">
        <v>0.03</v>
      </c>
      <c r="K287">
        <v>0</v>
      </c>
      <c r="L287">
        <v>0</v>
      </c>
      <c r="M287">
        <v>0.03</v>
      </c>
      <c r="N287">
        <v>0</v>
      </c>
      <c r="O287">
        <v>0</v>
      </c>
      <c r="P287">
        <v>0</v>
      </c>
      <c r="Q287">
        <v>0</v>
      </c>
      <c r="X287" t="s">
        <v>70</v>
      </c>
      <c r="Y287" t="str">
        <f>VLOOKUP(Conso_FCST[[#This Row],[Country]],'Country-Region'!A:D,4,0)</f>
        <v>DACH Region</v>
      </c>
      <c r="Z287" t="str">
        <f>VLOOKUP(Conso_FCST[[#This Row],[Country]],'Country-Region'!A:D,3,0)</f>
        <v>Germany</v>
      </c>
      <c r="AA287" t="str">
        <f>IFERROR(VLOOKUP(Conso_FCST[[#This Row],[Model name]],Prod_T6[[#All],[Model name]:[Product Conso]],2,0),"exclude")</f>
        <v>P7 RES BLK 2.0</v>
      </c>
    </row>
    <row r="288" spans="1:27" hidden="1">
      <c r="A288" t="s">
        <v>32</v>
      </c>
      <c r="B288" t="s">
        <v>354</v>
      </c>
      <c r="C288" t="s">
        <v>321</v>
      </c>
      <c r="D288" t="s">
        <v>149</v>
      </c>
      <c r="E288" t="s">
        <v>289</v>
      </c>
      <c r="F288" t="s">
        <v>136</v>
      </c>
      <c r="H288" s="184" t="s">
        <v>117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0.45</v>
      </c>
      <c r="O288">
        <v>0</v>
      </c>
      <c r="P288">
        <v>0</v>
      </c>
      <c r="Q288">
        <v>0</v>
      </c>
      <c r="X288" t="s">
        <v>70</v>
      </c>
      <c r="Y288" t="str">
        <f>VLOOKUP(Conso_FCST[[#This Row],[Country]],'Country-Region'!A:D,4,0)</f>
        <v>DACH Region</v>
      </c>
      <c r="Z288" t="str">
        <f>VLOOKUP(Conso_FCST[[#This Row],[Country]],'Country-Region'!A:D,3,0)</f>
        <v>Germany</v>
      </c>
      <c r="AA288" t="str">
        <f>IFERROR(VLOOKUP(Conso_FCST[[#This Row],[Model name]],Prod_T6[[#All],[Model name]:[Product Conso]],2,0),"exclude")</f>
        <v>exclude</v>
      </c>
    </row>
    <row r="289" spans="1:27" hidden="1">
      <c r="A289" t="s">
        <v>32</v>
      </c>
      <c r="B289" t="s">
        <v>354</v>
      </c>
      <c r="C289" t="s">
        <v>321</v>
      </c>
      <c r="D289" t="s">
        <v>276</v>
      </c>
      <c r="E289" t="s">
        <v>322</v>
      </c>
      <c r="F289" t="s">
        <v>136</v>
      </c>
      <c r="H289" s="184" t="s">
        <v>117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0.1</v>
      </c>
      <c r="P289">
        <v>0.1</v>
      </c>
      <c r="Q289">
        <v>0.1</v>
      </c>
      <c r="X289" t="s">
        <v>70</v>
      </c>
      <c r="Y289" t="str">
        <f>VLOOKUP(Conso_FCST[[#This Row],[Country]],'Country-Region'!A:D,4,0)</f>
        <v>DACH Region</v>
      </c>
      <c r="Z289" t="str">
        <f>VLOOKUP(Conso_FCST[[#This Row],[Country]],'Country-Region'!A:D,3,0)</f>
        <v>Germany</v>
      </c>
      <c r="AA289" t="str">
        <f>IFERROR(VLOOKUP(Conso_FCST[[#This Row],[Model name]],Prod_T6[[#All],[Model name]:[Product Conso]],2,0),"exclude")</f>
        <v>SPR-BE54-DC</v>
      </c>
    </row>
    <row r="290" spans="1:27" hidden="1">
      <c r="A290" t="s">
        <v>32</v>
      </c>
      <c r="B290" t="s">
        <v>355</v>
      </c>
      <c r="C290" t="s">
        <v>259</v>
      </c>
      <c r="D290" t="s">
        <v>118</v>
      </c>
      <c r="E290" t="s">
        <v>119</v>
      </c>
      <c r="F290" t="s">
        <v>120</v>
      </c>
      <c r="H290" s="184" t="s">
        <v>117</v>
      </c>
      <c r="I290">
        <v>4.9680000000000002E-2</v>
      </c>
      <c r="L290">
        <v>6.6239999999999993E-2</v>
      </c>
      <c r="N290">
        <v>6.6239999999999993E-2</v>
      </c>
      <c r="P290">
        <v>6.6239999999999993E-2</v>
      </c>
      <c r="X290" t="s">
        <v>70</v>
      </c>
      <c r="Y290" t="str">
        <f>VLOOKUP(Conso_FCST[[#This Row],[Country]],'Country-Region'!A:D,4,0)</f>
        <v>DACH Region</v>
      </c>
      <c r="Z290" t="str">
        <f>VLOOKUP(Conso_FCST[[#This Row],[Country]],'Country-Region'!A:D,3,0)</f>
        <v>Germany</v>
      </c>
      <c r="AA290" t="str">
        <f>IFERROR(VLOOKUP(Conso_FCST[[#This Row],[Model name]],Prod_T6[[#All],[Model name]:[Product Conso]],2,0),"exclude")</f>
        <v>P7 RES BLK 2.0</v>
      </c>
    </row>
    <row r="291" spans="1:27" hidden="1">
      <c r="A291" t="s">
        <v>32</v>
      </c>
      <c r="B291" t="s">
        <v>355</v>
      </c>
      <c r="C291" t="s">
        <v>259</v>
      </c>
      <c r="D291" t="s">
        <v>118</v>
      </c>
      <c r="E291" t="s">
        <v>180</v>
      </c>
      <c r="F291" t="s">
        <v>120</v>
      </c>
      <c r="H291" s="184" t="s">
        <v>117</v>
      </c>
      <c r="I291">
        <v>5.5620000000000003E-2</v>
      </c>
      <c r="K291">
        <v>5.5620000000000003E-2</v>
      </c>
      <c r="L291">
        <v>7.4160000000000004E-2</v>
      </c>
      <c r="N291">
        <v>7.4160000000000004E-2</v>
      </c>
      <c r="P291">
        <v>7.4160000000000004E-2</v>
      </c>
      <c r="X291" t="s">
        <v>70</v>
      </c>
      <c r="Y291" t="str">
        <f>VLOOKUP(Conso_FCST[[#This Row],[Country]],'Country-Region'!A:D,4,0)</f>
        <v>DACH Region</v>
      </c>
      <c r="Z291" t="str">
        <f>VLOOKUP(Conso_FCST[[#This Row],[Country]],'Country-Region'!A:D,3,0)</f>
        <v>Germany</v>
      </c>
      <c r="AA291" t="str">
        <f>IFERROR(VLOOKUP(Conso_FCST[[#This Row],[Model name]],Prod_T6[[#All],[Model name]:[Product Conso]],2,0),"exclude")</f>
        <v>P7 RES BLK-P</v>
      </c>
    </row>
    <row r="292" spans="1:27" hidden="1">
      <c r="A292" t="s">
        <v>32</v>
      </c>
      <c r="B292" t="s">
        <v>355</v>
      </c>
      <c r="C292" t="s">
        <v>259</v>
      </c>
      <c r="D292" t="s">
        <v>118</v>
      </c>
      <c r="E292" t="s">
        <v>255</v>
      </c>
      <c r="F292" t="s">
        <v>120</v>
      </c>
      <c r="H292" s="184" t="s">
        <v>117</v>
      </c>
      <c r="I292">
        <v>0.25</v>
      </c>
      <c r="M292">
        <v>0.14652000000000001</v>
      </c>
      <c r="O292">
        <v>0.14652000000000001</v>
      </c>
      <c r="Q292">
        <v>0.14652000000000001</v>
      </c>
      <c r="X292" t="s">
        <v>70</v>
      </c>
      <c r="Y292" t="str">
        <f>VLOOKUP(Conso_FCST[[#This Row],[Country]],'Country-Region'!A:D,4,0)</f>
        <v>DACH Region</v>
      </c>
      <c r="Z292" t="str">
        <f>VLOOKUP(Conso_FCST[[#This Row],[Country]],'Country-Region'!A:D,3,0)</f>
        <v>Germany</v>
      </c>
      <c r="AA292" t="str">
        <f>IFERROR(VLOOKUP(Conso_FCST[[#This Row],[Model name]],Prod_T6[[#All],[Model name]:[Product Conso]],2,0),"exclude")</f>
        <v>P7 COM S BF IT</v>
      </c>
    </row>
    <row r="293" spans="1:27" hidden="1">
      <c r="A293" t="s">
        <v>32</v>
      </c>
      <c r="B293" t="s">
        <v>355</v>
      </c>
      <c r="C293" t="s">
        <v>259</v>
      </c>
      <c r="D293" t="s">
        <v>134</v>
      </c>
      <c r="E293" t="s">
        <v>263</v>
      </c>
      <c r="F293" t="s">
        <v>120</v>
      </c>
      <c r="H293" s="184" t="s">
        <v>117</v>
      </c>
      <c r="L293">
        <v>7.1279999999999996E-2</v>
      </c>
      <c r="N293">
        <v>7.1279999999999996E-2</v>
      </c>
      <c r="P293">
        <v>7.1279999999999996E-2</v>
      </c>
      <c r="X293" t="s">
        <v>70</v>
      </c>
      <c r="Y293" t="str">
        <f>VLOOKUP(Conso_FCST[[#This Row],[Country]],'Country-Region'!A:D,4,0)</f>
        <v>DACH Region</v>
      </c>
      <c r="Z293" t="str">
        <f>VLOOKUP(Conso_FCST[[#This Row],[Country]],'Country-Region'!A:D,3,0)</f>
        <v>Germany</v>
      </c>
      <c r="AA293" t="str">
        <f>IFERROR(VLOOKUP(Conso_FCST[[#This Row],[Model name]],Prod_T6[[#All],[Model name]:[Product Conso]],2,0),"exclude")</f>
        <v>SPR-BE66-GD</v>
      </c>
    </row>
    <row r="294" spans="1:27" hidden="1">
      <c r="A294" t="s">
        <v>32</v>
      </c>
      <c r="B294" t="s">
        <v>355</v>
      </c>
      <c r="C294" t="s">
        <v>259</v>
      </c>
      <c r="D294" t="s">
        <v>134</v>
      </c>
      <c r="E294" t="s">
        <v>263</v>
      </c>
      <c r="F294" t="s">
        <v>120</v>
      </c>
      <c r="H294" s="184" t="s">
        <v>117</v>
      </c>
      <c r="X294" t="s">
        <v>70</v>
      </c>
      <c r="Y294" t="str">
        <f>VLOOKUP(Conso_FCST[[#This Row],[Country]],'Country-Region'!A:D,4,0)</f>
        <v>DACH Region</v>
      </c>
      <c r="Z294" t="str">
        <f>VLOOKUP(Conso_FCST[[#This Row],[Country]],'Country-Region'!A:D,3,0)</f>
        <v>Germany</v>
      </c>
      <c r="AA294" t="str">
        <f>IFERROR(VLOOKUP(Conso_FCST[[#This Row],[Model name]],Prod_T6[[#All],[Model name]:[Product Conso]],2,0),"exclude")</f>
        <v>SPR-BE66-GD</v>
      </c>
    </row>
    <row r="295" spans="1:27" hidden="1">
      <c r="A295" t="s">
        <v>32</v>
      </c>
      <c r="B295" t="s">
        <v>353</v>
      </c>
      <c r="C295" t="s">
        <v>321</v>
      </c>
      <c r="D295" t="s">
        <v>276</v>
      </c>
      <c r="E295" t="s">
        <v>322</v>
      </c>
      <c r="F295" t="s">
        <v>136</v>
      </c>
      <c r="H295" s="184" t="s">
        <v>117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0.05</v>
      </c>
      <c r="P295">
        <v>0</v>
      </c>
      <c r="Q295">
        <v>0.05</v>
      </c>
      <c r="X295" t="s">
        <v>70</v>
      </c>
      <c r="Y295" t="str">
        <f>VLOOKUP(Conso_FCST[[#This Row],[Country]],'Country-Region'!A:D,4,0)</f>
        <v>DACH Region</v>
      </c>
      <c r="Z295" t="str">
        <f>VLOOKUP(Conso_FCST[[#This Row],[Country]],'Country-Region'!A:D,3,0)</f>
        <v>Germany</v>
      </c>
      <c r="AA295" t="str">
        <f>IFERROR(VLOOKUP(Conso_FCST[[#This Row],[Model name]],Prod_T6[[#All],[Model name]:[Product Conso]],2,0),"exclude")</f>
        <v>SPR-BE54-DC</v>
      </c>
    </row>
    <row r="296" spans="1:27" hidden="1">
      <c r="A296" t="s">
        <v>32</v>
      </c>
      <c r="B296" t="s">
        <v>333</v>
      </c>
      <c r="C296" t="s">
        <v>321</v>
      </c>
      <c r="D296" t="s">
        <v>118</v>
      </c>
      <c r="E296" t="s">
        <v>119</v>
      </c>
      <c r="F296" t="s">
        <v>136</v>
      </c>
      <c r="H296" s="184" t="s">
        <v>117</v>
      </c>
      <c r="I296">
        <v>0</v>
      </c>
      <c r="J296">
        <v>0.03</v>
      </c>
      <c r="K296">
        <v>0.05</v>
      </c>
      <c r="L296">
        <v>0</v>
      </c>
      <c r="M296">
        <v>0.1</v>
      </c>
      <c r="N296">
        <v>0</v>
      </c>
      <c r="O296">
        <v>0</v>
      </c>
      <c r="P296">
        <v>0</v>
      </c>
      <c r="Q296">
        <v>0</v>
      </c>
      <c r="X296" t="s">
        <v>70</v>
      </c>
      <c r="Y296" t="str">
        <f>VLOOKUP(Conso_FCST[[#This Row],[Country]],'Country-Region'!A:D,4,0)</f>
        <v>DACH Region</v>
      </c>
      <c r="Z296" t="str">
        <f>VLOOKUP(Conso_FCST[[#This Row],[Country]],'Country-Region'!A:D,3,0)</f>
        <v>Germany</v>
      </c>
      <c r="AA296" t="str">
        <f>IFERROR(VLOOKUP(Conso_FCST[[#This Row],[Model name]],Prod_T6[[#All],[Model name]:[Product Conso]],2,0),"exclude")</f>
        <v>P7 RES BLK 2.0</v>
      </c>
    </row>
    <row r="297" spans="1:27" hidden="1">
      <c r="A297" t="s">
        <v>83</v>
      </c>
      <c r="B297" t="s">
        <v>165</v>
      </c>
      <c r="D297" t="s">
        <v>54</v>
      </c>
      <c r="E297" t="s">
        <v>166</v>
      </c>
      <c r="F297" t="s">
        <v>115</v>
      </c>
      <c r="G297" t="s">
        <v>356</v>
      </c>
      <c r="H297" s="184" t="s">
        <v>132</v>
      </c>
      <c r="N297">
        <v>7.2</v>
      </c>
      <c r="X297" t="s">
        <v>70</v>
      </c>
      <c r="Y297" t="str">
        <f>VLOOKUP(Conso_FCST[[#This Row],[Country]],'Country-Region'!A:D,4,0)</f>
        <v>Southern Europe Region</v>
      </c>
      <c r="Z297" t="str">
        <f>VLOOKUP(Conso_FCST[[#This Row],[Country]],'Country-Region'!A:D,3,0)</f>
        <v>Southern Europe Region</v>
      </c>
      <c r="AA297" t="str">
        <f>IFERROR(VLOOKUP(Conso_FCST[[#This Row],[Model name]],Prod_T6[[#All],[Model name]:[Product Conso]],2,0),"exclude")</f>
        <v>HSM-ND66-GR</v>
      </c>
    </row>
    <row r="298" spans="1:27" hidden="1">
      <c r="A298" t="s">
        <v>83</v>
      </c>
      <c r="B298" t="s">
        <v>357</v>
      </c>
      <c r="D298" t="s">
        <v>54</v>
      </c>
      <c r="E298" t="s">
        <v>166</v>
      </c>
      <c r="F298" t="s">
        <v>154</v>
      </c>
      <c r="G298" t="s">
        <v>358</v>
      </c>
      <c r="H298" s="184" t="s">
        <v>117</v>
      </c>
      <c r="J298">
        <v>1.2</v>
      </c>
      <c r="X298" t="s">
        <v>70</v>
      </c>
      <c r="Y298" t="str">
        <f>VLOOKUP(Conso_FCST[[#This Row],[Country]],'Country-Region'!A:D,4,0)</f>
        <v>Southern Europe Region</v>
      </c>
      <c r="Z298" t="str">
        <f>VLOOKUP(Conso_FCST[[#This Row],[Country]],'Country-Region'!A:D,3,0)</f>
        <v>Southern Europe Region</v>
      </c>
      <c r="AA298" t="str">
        <f>IFERROR(VLOOKUP(Conso_FCST[[#This Row],[Model name]],Prod_T6[[#All],[Model name]:[Product Conso]],2,0),"exclude")</f>
        <v>HSM-ND66-GR</v>
      </c>
    </row>
    <row r="299" spans="1:27" hidden="1">
      <c r="A299" t="s">
        <v>83</v>
      </c>
      <c r="B299" t="s">
        <v>359</v>
      </c>
      <c r="D299" t="s">
        <v>54</v>
      </c>
      <c r="E299" t="s">
        <v>166</v>
      </c>
      <c r="F299" t="s">
        <v>136</v>
      </c>
      <c r="G299" t="s">
        <v>360</v>
      </c>
      <c r="H299" s="184" t="s">
        <v>132</v>
      </c>
      <c r="M299">
        <v>8</v>
      </c>
      <c r="X299" t="s">
        <v>70</v>
      </c>
      <c r="Y299" t="str">
        <f>VLOOKUP(Conso_FCST[[#This Row],[Country]],'Country-Region'!A:D,4,0)</f>
        <v>Southern Europe Region</v>
      </c>
      <c r="Z299" t="str">
        <f>VLOOKUP(Conso_FCST[[#This Row],[Country]],'Country-Region'!A:D,3,0)</f>
        <v>Southern Europe Region</v>
      </c>
      <c r="AA299" t="str">
        <f>IFERROR(VLOOKUP(Conso_FCST[[#This Row],[Model name]],Prod_T6[[#All],[Model name]:[Product Conso]],2,0),"exclude")</f>
        <v>HSM-ND66-GR</v>
      </c>
    </row>
    <row r="300" spans="1:27" hidden="1">
      <c r="A300" t="s">
        <v>83</v>
      </c>
      <c r="B300" t="s">
        <v>361</v>
      </c>
      <c r="D300" t="s">
        <v>54</v>
      </c>
      <c r="E300" t="s">
        <v>297</v>
      </c>
      <c r="F300" t="s">
        <v>213</v>
      </c>
      <c r="G300" t="s">
        <v>362</v>
      </c>
      <c r="H300" s="184" t="s">
        <v>132</v>
      </c>
      <c r="Q300">
        <v>10</v>
      </c>
      <c r="X300" t="s">
        <v>70</v>
      </c>
      <c r="Y300" t="str">
        <f>VLOOKUP(Conso_FCST[[#This Row],[Country]],'Country-Region'!A:D,4,0)</f>
        <v>Southern Europe Region</v>
      </c>
      <c r="Z300" t="str">
        <f>VLOOKUP(Conso_FCST[[#This Row],[Country]],'Country-Region'!A:D,3,0)</f>
        <v>Southern Europe Region</v>
      </c>
      <c r="AA300" t="str">
        <f>IFERROR(VLOOKUP(Conso_FCST[[#This Row],[Model name]],Prod_T6[[#All],[Model name]:[Product Conso]],2,0),"exclude")</f>
        <v>HSM-ND66-GR</v>
      </c>
    </row>
    <row r="301" spans="1:27" hidden="1">
      <c r="A301" t="s">
        <v>84</v>
      </c>
      <c r="B301" t="s">
        <v>363</v>
      </c>
      <c r="D301" t="s">
        <v>54</v>
      </c>
      <c r="E301" t="s">
        <v>339</v>
      </c>
      <c r="F301" t="s">
        <v>130</v>
      </c>
      <c r="G301" t="s">
        <v>364</v>
      </c>
      <c r="H301" s="184" t="s">
        <v>117</v>
      </c>
      <c r="J301">
        <v>0.4</v>
      </c>
      <c r="X301" t="s">
        <v>70</v>
      </c>
      <c r="Y301" t="str">
        <f>VLOOKUP(Conso_FCST[[#This Row],[Country]],'Country-Region'!A:D,4,0)</f>
        <v>Central and Eastern Europe Region</v>
      </c>
      <c r="Z301" t="str">
        <f>VLOOKUP(Conso_FCST[[#This Row],[Country]],'Country-Region'!A:D,3,0)</f>
        <v>C&amp;E EU</v>
      </c>
      <c r="AA301" t="str">
        <f>IFERROR(VLOOKUP(Conso_FCST[[#This Row],[Model name]],Prod_T6[[#All],[Model name]:[Product Conso]],2,0),"exclude")</f>
        <v>HSM-ND48-DR</v>
      </c>
    </row>
    <row r="302" spans="1:27" hidden="1">
      <c r="A302" t="s">
        <v>31</v>
      </c>
      <c r="B302" t="s">
        <v>365</v>
      </c>
      <c r="D302" t="s">
        <v>197</v>
      </c>
      <c r="E302" t="s">
        <v>235</v>
      </c>
      <c r="F302" t="s">
        <v>120</v>
      </c>
      <c r="H302" s="184" t="s">
        <v>117</v>
      </c>
      <c r="I302">
        <v>15</v>
      </c>
      <c r="J302">
        <v>30</v>
      </c>
      <c r="K302">
        <v>30</v>
      </c>
      <c r="L302">
        <v>50</v>
      </c>
      <c r="M302">
        <v>20</v>
      </c>
      <c r="N302">
        <v>30</v>
      </c>
      <c r="O302">
        <v>40</v>
      </c>
      <c r="P302">
        <v>50</v>
      </c>
      <c r="Q302">
        <v>40</v>
      </c>
      <c r="X302" t="s">
        <v>27</v>
      </c>
      <c r="Y302" t="str">
        <f>VLOOKUP(Conso_FCST[[#This Row],[Country]],'Country-Region'!A:D,4,0)</f>
        <v>Italy Region</v>
      </c>
      <c r="Z302" t="str">
        <f>VLOOKUP(Conso_FCST[[#This Row],[Country]],'Country-Region'!A:D,3,0)</f>
        <v>Italy</v>
      </c>
      <c r="AA302" t="str">
        <f>IFERROR(VLOOKUP(Conso_FCST[[#This Row],[Model name]],Prod_T6[[#All],[Model name]:[Product Conso]],2,0),"exclude")</f>
        <v>Gen2 3P 10kw</v>
      </c>
    </row>
    <row r="303" spans="1:27" hidden="1">
      <c r="A303" t="s">
        <v>31</v>
      </c>
      <c r="B303" t="s">
        <v>365</v>
      </c>
      <c r="D303" t="s">
        <v>118</v>
      </c>
      <c r="E303" t="s">
        <v>255</v>
      </c>
      <c r="F303" t="s">
        <v>136</v>
      </c>
      <c r="H303" s="184" t="s">
        <v>117</v>
      </c>
      <c r="I303">
        <v>8</v>
      </c>
      <c r="J303">
        <v>8</v>
      </c>
      <c r="K303">
        <v>10</v>
      </c>
      <c r="L303">
        <v>8</v>
      </c>
      <c r="M303">
        <v>6</v>
      </c>
      <c r="N303">
        <v>12</v>
      </c>
      <c r="O303">
        <v>12</v>
      </c>
      <c r="P303">
        <v>12</v>
      </c>
      <c r="Q303">
        <v>10</v>
      </c>
      <c r="X303" t="s">
        <v>70</v>
      </c>
      <c r="Y303" t="str">
        <f>VLOOKUP(Conso_FCST[[#This Row],[Country]],'Country-Region'!A:D,4,0)</f>
        <v>Italy Region</v>
      </c>
      <c r="Z303" t="str">
        <f>VLOOKUP(Conso_FCST[[#This Row],[Country]],'Country-Region'!A:D,3,0)</f>
        <v>Italy</v>
      </c>
      <c r="AA303" t="str">
        <f>IFERROR(VLOOKUP(Conso_FCST[[#This Row],[Model name]],Prod_T6[[#All],[Model name]:[Product Conso]],2,0),"exclude")</f>
        <v>P7 COM S BF IT</v>
      </c>
    </row>
    <row r="304" spans="1:27" hidden="1">
      <c r="A304" t="s">
        <v>31</v>
      </c>
      <c r="B304" t="s">
        <v>365</v>
      </c>
      <c r="D304" t="s">
        <v>118</v>
      </c>
      <c r="E304" t="s">
        <v>145</v>
      </c>
      <c r="F304" t="s">
        <v>136</v>
      </c>
      <c r="H304" s="184" t="s">
        <v>117</v>
      </c>
      <c r="I304">
        <v>2</v>
      </c>
      <c r="J304">
        <v>2</v>
      </c>
      <c r="K304">
        <v>3</v>
      </c>
      <c r="L304">
        <v>2</v>
      </c>
      <c r="M304">
        <v>1</v>
      </c>
      <c r="N304">
        <v>2</v>
      </c>
      <c r="O304">
        <v>2</v>
      </c>
      <c r="P304">
        <v>2</v>
      </c>
      <c r="Q304">
        <v>2</v>
      </c>
      <c r="X304" t="s">
        <v>70</v>
      </c>
      <c r="Y304" t="str">
        <f>VLOOKUP(Conso_FCST[[#This Row],[Country]],'Country-Region'!A:D,4,0)</f>
        <v>Italy Region</v>
      </c>
      <c r="Z304" t="str">
        <f>VLOOKUP(Conso_FCST[[#This Row],[Country]],'Country-Region'!A:D,3,0)</f>
        <v>Italy</v>
      </c>
      <c r="AA304" t="str">
        <f>IFERROR(VLOOKUP(Conso_FCST[[#This Row],[Model name]],Prod_T6[[#All],[Model name]:[Product Conso]],2,0),"exclude")</f>
        <v>P7 RES BLK 2.0</v>
      </c>
    </row>
    <row r="305" spans="1:27" hidden="1">
      <c r="A305" t="s">
        <v>31</v>
      </c>
      <c r="B305" t="s">
        <v>365</v>
      </c>
      <c r="D305" t="s">
        <v>118</v>
      </c>
      <c r="E305" t="s">
        <v>180</v>
      </c>
      <c r="F305" t="s">
        <v>136</v>
      </c>
      <c r="H305" s="184" t="s">
        <v>117</v>
      </c>
      <c r="I305">
        <v>4</v>
      </c>
      <c r="J305">
        <v>5</v>
      </c>
      <c r="K305">
        <v>4</v>
      </c>
      <c r="L305">
        <v>4</v>
      </c>
      <c r="M305">
        <v>3</v>
      </c>
      <c r="N305">
        <v>6</v>
      </c>
      <c r="O305">
        <v>6</v>
      </c>
      <c r="P305">
        <v>7</v>
      </c>
      <c r="Q305">
        <v>5</v>
      </c>
      <c r="X305" t="s">
        <v>70</v>
      </c>
      <c r="Y305" t="str">
        <f>VLOOKUP(Conso_FCST[[#This Row],[Country]],'Country-Region'!A:D,4,0)</f>
        <v>Italy Region</v>
      </c>
      <c r="Z305" t="str">
        <f>VLOOKUP(Conso_FCST[[#This Row],[Country]],'Country-Region'!A:D,3,0)</f>
        <v>Italy</v>
      </c>
      <c r="AA305" t="str">
        <f>IFERROR(VLOOKUP(Conso_FCST[[#This Row],[Model name]],Prod_T6[[#All],[Model name]:[Product Conso]],2,0),"exclude")</f>
        <v>P7 RES BLK-P</v>
      </c>
    </row>
    <row r="306" spans="1:27" hidden="1">
      <c r="A306" t="s">
        <v>31</v>
      </c>
      <c r="B306" t="s">
        <v>365</v>
      </c>
      <c r="D306" t="s">
        <v>276</v>
      </c>
      <c r="E306" t="s">
        <v>366</v>
      </c>
      <c r="F306" t="s">
        <v>136</v>
      </c>
      <c r="G306" t="s">
        <v>367</v>
      </c>
      <c r="H306" s="184" t="s">
        <v>117</v>
      </c>
      <c r="I306">
        <v>3</v>
      </c>
      <c r="J306">
        <v>2</v>
      </c>
      <c r="K306">
        <v>2</v>
      </c>
      <c r="L306">
        <v>2</v>
      </c>
      <c r="M306">
        <v>1</v>
      </c>
      <c r="N306">
        <v>2</v>
      </c>
      <c r="O306">
        <v>2</v>
      </c>
      <c r="P306">
        <v>1</v>
      </c>
      <c r="Q306">
        <v>1</v>
      </c>
      <c r="X306" t="s">
        <v>70</v>
      </c>
      <c r="Y306" t="str">
        <f>VLOOKUP(Conso_FCST[[#This Row],[Country]],'Country-Region'!A:D,4,0)</f>
        <v>Italy Region</v>
      </c>
      <c r="Z306" t="str">
        <f>VLOOKUP(Conso_FCST[[#This Row],[Country]],'Country-Region'!A:D,3,0)</f>
        <v>Italy</v>
      </c>
      <c r="AA306" t="str">
        <f>IFERROR(VLOOKUP(Conso_FCST[[#This Row],[Model name]],Prod_T6[[#All],[Model name]:[Product Conso]],2,0),"exclude")</f>
        <v>SPR-BE54-DC</v>
      </c>
    </row>
    <row r="307" spans="1:27" hidden="1">
      <c r="A307" t="s">
        <v>31</v>
      </c>
      <c r="B307" t="s">
        <v>368</v>
      </c>
      <c r="C307" t="s">
        <v>369</v>
      </c>
      <c r="D307" t="s">
        <v>113</v>
      </c>
      <c r="E307" t="s">
        <v>182</v>
      </c>
      <c r="F307" t="s">
        <v>120</v>
      </c>
      <c r="G307" t="s">
        <v>370</v>
      </c>
      <c r="H307" s="184" t="s">
        <v>117</v>
      </c>
      <c r="L307">
        <v>0</v>
      </c>
      <c r="M307">
        <v>3</v>
      </c>
      <c r="N307">
        <v>9</v>
      </c>
      <c r="O307">
        <v>6</v>
      </c>
      <c r="X307" t="s">
        <v>70</v>
      </c>
      <c r="Y307" t="str">
        <f>VLOOKUP(Conso_FCST[[#This Row],[Country]],'Country-Region'!A:D,4,0)</f>
        <v>Italy Region</v>
      </c>
      <c r="Z307" t="str">
        <f>VLOOKUP(Conso_FCST[[#This Row],[Country]],'Country-Region'!A:D,3,0)</f>
        <v>Italy</v>
      </c>
      <c r="AA307" t="str">
        <f>IFERROR(VLOOKUP(Conso_FCST[[#This Row],[Model name]],Prod_T6[[#All],[Model name]:[Product Conso]],2,0),"exclude")</f>
        <v xml:space="preserve">HSM-BE66-GD </v>
      </c>
    </row>
    <row r="308" spans="1:27" hidden="1">
      <c r="A308" t="s">
        <v>31</v>
      </c>
      <c r="B308" t="s">
        <v>365</v>
      </c>
      <c r="C308" t="s">
        <v>369</v>
      </c>
      <c r="D308" t="s">
        <v>54</v>
      </c>
      <c r="E308" t="s">
        <v>170</v>
      </c>
      <c r="F308" t="s">
        <v>136</v>
      </c>
      <c r="H308" s="184" t="s">
        <v>117</v>
      </c>
      <c r="I308">
        <v>2</v>
      </c>
      <c r="J308">
        <v>2</v>
      </c>
      <c r="X308" t="s">
        <v>70</v>
      </c>
      <c r="Y308" t="str">
        <f>VLOOKUP(Conso_FCST[[#This Row],[Country]],'Country-Region'!A:D,4,0)</f>
        <v>Italy Region</v>
      </c>
      <c r="Z308" t="str">
        <f>VLOOKUP(Conso_FCST[[#This Row],[Country]],'Country-Region'!A:D,3,0)</f>
        <v>Italy</v>
      </c>
      <c r="AA308" t="str">
        <f>IFERROR(VLOOKUP(Conso_FCST[[#This Row],[Model name]],Prod_T6[[#All],[Model name]:[Product Conso]],2,0),"exclude")</f>
        <v>HSM-ND66-GR</v>
      </c>
    </row>
    <row r="309" spans="1:27" hidden="1">
      <c r="A309" t="s">
        <v>31</v>
      </c>
      <c r="B309" t="s">
        <v>365</v>
      </c>
      <c r="C309" t="s">
        <v>369</v>
      </c>
      <c r="D309" t="s">
        <v>54</v>
      </c>
      <c r="E309" t="s">
        <v>297</v>
      </c>
      <c r="F309" t="s">
        <v>136</v>
      </c>
      <c r="H309" s="184" t="s">
        <v>117</v>
      </c>
      <c r="L309">
        <v>8</v>
      </c>
      <c r="N309">
        <v>12</v>
      </c>
      <c r="P309">
        <v>8</v>
      </c>
      <c r="X309" t="s">
        <v>70</v>
      </c>
      <c r="Y309" t="str">
        <f>VLOOKUP(Conso_FCST[[#This Row],[Country]],'Country-Region'!A:D,4,0)</f>
        <v>Italy Region</v>
      </c>
      <c r="Z309" t="str">
        <f>VLOOKUP(Conso_FCST[[#This Row],[Country]],'Country-Region'!A:D,3,0)</f>
        <v>Italy</v>
      </c>
      <c r="AA309" t="str">
        <f>IFERROR(VLOOKUP(Conso_FCST[[#This Row],[Model name]],Prod_T6[[#All],[Model name]:[Product Conso]],2,0),"exclude")</f>
        <v>HSM-ND66-GR</v>
      </c>
    </row>
    <row r="310" spans="1:27" hidden="1">
      <c r="A310" t="s">
        <v>31</v>
      </c>
      <c r="B310" t="s">
        <v>365</v>
      </c>
      <c r="C310" t="s">
        <v>369</v>
      </c>
      <c r="D310" t="s">
        <v>54</v>
      </c>
      <c r="E310" t="s">
        <v>166</v>
      </c>
      <c r="F310" t="s">
        <v>136</v>
      </c>
      <c r="H310" s="184" t="s">
        <v>117</v>
      </c>
      <c r="J310">
        <v>10</v>
      </c>
      <c r="K310">
        <v>6</v>
      </c>
      <c r="X310" t="s">
        <v>70</v>
      </c>
      <c r="Y310" t="str">
        <f>VLOOKUP(Conso_FCST[[#This Row],[Country]],'Country-Region'!A:D,4,0)</f>
        <v>Italy Region</v>
      </c>
      <c r="Z310" t="str">
        <f>VLOOKUP(Conso_FCST[[#This Row],[Country]],'Country-Region'!A:D,3,0)</f>
        <v>Italy</v>
      </c>
      <c r="AA310" t="str">
        <f>IFERROR(VLOOKUP(Conso_FCST[[#This Row],[Model name]],Prod_T6[[#All],[Model name]:[Product Conso]],2,0),"exclude")</f>
        <v>HSM-ND66-GR</v>
      </c>
    </row>
    <row r="311" spans="1:27" hidden="1">
      <c r="A311" t="s">
        <v>31</v>
      </c>
      <c r="B311" t="s">
        <v>365</v>
      </c>
      <c r="C311" t="s">
        <v>369</v>
      </c>
      <c r="D311" t="s">
        <v>54</v>
      </c>
      <c r="E311" t="s">
        <v>299</v>
      </c>
      <c r="F311" t="s">
        <v>136</v>
      </c>
      <c r="H311" s="184" t="s">
        <v>117</v>
      </c>
      <c r="J311">
        <v>10</v>
      </c>
      <c r="K311">
        <v>5</v>
      </c>
      <c r="L311">
        <v>6</v>
      </c>
      <c r="N311">
        <v>12</v>
      </c>
      <c r="P311">
        <v>12</v>
      </c>
      <c r="X311" t="s">
        <v>70</v>
      </c>
      <c r="Y311" t="str">
        <f>VLOOKUP(Conso_FCST[[#This Row],[Country]],'Country-Region'!A:D,4,0)</f>
        <v>Italy Region</v>
      </c>
      <c r="Z311" t="str">
        <f>VLOOKUP(Conso_FCST[[#This Row],[Country]],'Country-Region'!A:D,3,0)</f>
        <v>Italy</v>
      </c>
      <c r="AA311" t="str">
        <f>IFERROR(VLOOKUP(Conso_FCST[[#This Row],[Model name]],Prod_T6[[#All],[Model name]:[Product Conso]],2,0),"exclude")</f>
        <v>HSM-ND66-GK</v>
      </c>
    </row>
    <row r="312" spans="1:27" hidden="1">
      <c r="A312" t="s">
        <v>31</v>
      </c>
      <c r="B312" t="s">
        <v>365</v>
      </c>
      <c r="C312" t="s">
        <v>369</v>
      </c>
      <c r="D312" t="s">
        <v>54</v>
      </c>
      <c r="E312" t="s">
        <v>121</v>
      </c>
      <c r="F312" t="s">
        <v>136</v>
      </c>
      <c r="H312" s="184" t="s">
        <v>117</v>
      </c>
      <c r="I312">
        <v>2</v>
      </c>
      <c r="J312">
        <v>8</v>
      </c>
      <c r="K312">
        <v>6</v>
      </c>
      <c r="L312">
        <v>12</v>
      </c>
      <c r="M312">
        <v>2</v>
      </c>
      <c r="N312">
        <v>8</v>
      </c>
      <c r="O312">
        <v>8</v>
      </c>
      <c r="P312">
        <v>8</v>
      </c>
      <c r="Q312">
        <v>6</v>
      </c>
      <c r="X312" t="s">
        <v>70</v>
      </c>
      <c r="Y312" t="str">
        <f>VLOOKUP(Conso_FCST[[#This Row],[Country]],'Country-Region'!A:D,4,0)</f>
        <v>Italy Region</v>
      </c>
      <c r="Z312" t="str">
        <f>VLOOKUP(Conso_FCST[[#This Row],[Country]],'Country-Region'!A:D,3,0)</f>
        <v>Italy</v>
      </c>
      <c r="AA312" t="str">
        <f>IFERROR(VLOOKUP(Conso_FCST[[#This Row],[Model name]],Prod_T6[[#All],[Model name]:[Product Conso]],2,0),"exclude")</f>
        <v>HSM-ND54-DR</v>
      </c>
    </row>
    <row r="313" spans="1:27" hidden="1">
      <c r="A313" t="s">
        <v>31</v>
      </c>
      <c r="B313" t="s">
        <v>365</v>
      </c>
      <c r="C313" t="s">
        <v>369</v>
      </c>
      <c r="D313" t="s">
        <v>54</v>
      </c>
      <c r="E313" t="s">
        <v>160</v>
      </c>
      <c r="F313" t="s">
        <v>136</v>
      </c>
      <c r="H313" s="184" t="s">
        <v>117</v>
      </c>
      <c r="I313">
        <v>2</v>
      </c>
      <c r="X313" t="s">
        <v>70</v>
      </c>
      <c r="Y313" t="str">
        <f>VLOOKUP(Conso_FCST[[#This Row],[Country]],'Country-Region'!A:D,4,0)</f>
        <v>Italy Region</v>
      </c>
      <c r="Z313" t="str">
        <f>VLOOKUP(Conso_FCST[[#This Row],[Country]],'Country-Region'!A:D,3,0)</f>
        <v>Italy</v>
      </c>
      <c r="AA313" t="str">
        <f>IFERROR(VLOOKUP(Conso_FCST[[#This Row],[Model name]],Prod_T6[[#All],[Model name]:[Product Conso]],2,0),"exclude")</f>
        <v>HSM-ND54-DR</v>
      </c>
    </row>
    <row r="314" spans="1:27" hidden="1">
      <c r="A314" t="s">
        <v>31</v>
      </c>
      <c r="B314" t="s">
        <v>365</v>
      </c>
      <c r="D314" t="s">
        <v>197</v>
      </c>
      <c r="E314" t="s">
        <v>371</v>
      </c>
      <c r="F314" t="s">
        <v>120</v>
      </c>
      <c r="H314" s="184" t="s">
        <v>117</v>
      </c>
      <c r="I314">
        <v>50</v>
      </c>
      <c r="J314">
        <v>100</v>
      </c>
      <c r="K314">
        <v>100</v>
      </c>
      <c r="L314">
        <v>140</v>
      </c>
      <c r="M314">
        <v>100</v>
      </c>
      <c r="N314">
        <v>130</v>
      </c>
      <c r="O314">
        <v>150</v>
      </c>
      <c r="P314">
        <v>200</v>
      </c>
      <c r="Q314">
        <v>200</v>
      </c>
      <c r="X314" t="s">
        <v>27</v>
      </c>
      <c r="Y314" t="str">
        <f>VLOOKUP(Conso_FCST[[#This Row],[Country]],'Country-Region'!A:D,4,0)</f>
        <v>Italy Region</v>
      </c>
      <c r="Z314" t="str">
        <f>VLOOKUP(Conso_FCST[[#This Row],[Country]],'Country-Region'!A:D,3,0)</f>
        <v>Italy</v>
      </c>
      <c r="AA314" t="str">
        <f>IFERROR(VLOOKUP(Conso_FCST[[#This Row],[Model name]],Prod_T6[[#All],[Model name]:[Product Conso]],2,0),"exclude")</f>
        <v>Gen2 BAT 5kWh</v>
      </c>
    </row>
    <row r="315" spans="1:27" hidden="1">
      <c r="A315" t="s">
        <v>31</v>
      </c>
      <c r="B315" t="s">
        <v>365</v>
      </c>
      <c r="D315" t="s">
        <v>197</v>
      </c>
      <c r="E315" t="s">
        <v>64</v>
      </c>
      <c r="F315" t="s">
        <v>120</v>
      </c>
      <c r="H315" s="184" t="s">
        <v>117</v>
      </c>
      <c r="I315">
        <v>250</v>
      </c>
      <c r="J315">
        <v>250</v>
      </c>
      <c r="K315">
        <v>400</v>
      </c>
      <c r="L315">
        <v>600</v>
      </c>
      <c r="M315">
        <v>300</v>
      </c>
      <c r="N315">
        <v>600</v>
      </c>
      <c r="O315">
        <v>500</v>
      </c>
      <c r="P315">
        <v>600</v>
      </c>
      <c r="Q315">
        <v>700</v>
      </c>
      <c r="X315" t="s">
        <v>27</v>
      </c>
      <c r="Y315" t="str">
        <f>VLOOKUP(Conso_FCST[[#This Row],[Country]],'Country-Region'!A:D,4,0)</f>
        <v>Italy Region</v>
      </c>
      <c r="Z315" t="str">
        <f>VLOOKUP(Conso_FCST[[#This Row],[Country]],'Country-Region'!A:D,3,0)</f>
        <v>Italy</v>
      </c>
      <c r="AA315" t="str">
        <f>IFERROR(VLOOKUP(Conso_FCST[[#This Row],[Model name]],Prod_T6[[#All],[Model name]:[Product Conso]],2,0),"exclude")</f>
        <v>Gen2 1P 6kw</v>
      </c>
    </row>
    <row r="316" spans="1:27" hidden="1">
      <c r="A316" t="s">
        <v>31</v>
      </c>
      <c r="B316" t="s">
        <v>365</v>
      </c>
      <c r="C316" t="s">
        <v>369</v>
      </c>
      <c r="D316" t="s">
        <v>314</v>
      </c>
      <c r="E316" t="s">
        <v>372</v>
      </c>
      <c r="F316" t="s">
        <v>136</v>
      </c>
      <c r="H316" s="184" t="s">
        <v>117</v>
      </c>
      <c r="J316">
        <v>6</v>
      </c>
      <c r="K316">
        <v>8</v>
      </c>
      <c r="L316">
        <v>6</v>
      </c>
      <c r="M316">
        <v>1</v>
      </c>
      <c r="N316">
        <v>4</v>
      </c>
      <c r="O316">
        <v>6</v>
      </c>
      <c r="P316">
        <v>6</v>
      </c>
      <c r="Q316">
        <v>3</v>
      </c>
      <c r="X316" t="s">
        <v>70</v>
      </c>
      <c r="Y316" t="str">
        <f>VLOOKUP(Conso_FCST[[#This Row],[Country]],'Country-Region'!A:D,4,0)</f>
        <v>Italy Region</v>
      </c>
      <c r="Z316" t="str">
        <f>VLOOKUP(Conso_FCST[[#This Row],[Country]],'Country-Region'!A:D,3,0)</f>
        <v>Italy</v>
      </c>
      <c r="AA316" t="str">
        <f>IFERROR(VLOOKUP(Conso_FCST[[#This Row],[Model name]],Prod_T6[[#All],[Model name]:[Product Conso]],2,0),"exclude")</f>
        <v>TCL-MR470DT182-58NS</v>
      </c>
    </row>
    <row r="317" spans="1:27">
      <c r="A317" t="s">
        <v>31</v>
      </c>
      <c r="B317" t="s">
        <v>365</v>
      </c>
      <c r="D317" t="s">
        <v>141</v>
      </c>
      <c r="E317" t="s">
        <v>46</v>
      </c>
      <c r="F317" t="s">
        <v>120</v>
      </c>
      <c r="H317" s="184" t="s">
        <v>117</v>
      </c>
      <c r="K317">
        <v>3</v>
      </c>
      <c r="L317">
        <v>2</v>
      </c>
      <c r="M317">
        <v>2</v>
      </c>
      <c r="N317">
        <v>2</v>
      </c>
      <c r="O317">
        <v>4</v>
      </c>
      <c r="P317">
        <v>4</v>
      </c>
      <c r="Q317">
        <v>6</v>
      </c>
      <c r="X317" t="s">
        <v>27</v>
      </c>
      <c r="Y317" t="str">
        <f>VLOOKUP(Conso_FCST[[#This Row],[Country]],'Country-Region'!A:D,4,0)</f>
        <v>Italy Region</v>
      </c>
      <c r="Z317" t="str">
        <f>VLOOKUP(Conso_FCST[[#This Row],[Country]],'Country-Region'!A:D,3,0)</f>
        <v>Italy</v>
      </c>
      <c r="AA317" t="str">
        <f>IFERROR(VLOOKUP(Conso_FCST[[#This Row],[Model name]],Prod_T6[[#All],[Model name]:[Product Conso]],2,0),"exclude")</f>
        <v>BlueArk X5-50K-100</v>
      </c>
    </row>
    <row r="318" spans="1:27" hidden="1">
      <c r="A318" t="s">
        <v>31</v>
      </c>
      <c r="B318" t="s">
        <v>365</v>
      </c>
      <c r="C318" t="s">
        <v>369</v>
      </c>
      <c r="D318" t="s">
        <v>314</v>
      </c>
      <c r="E318" t="s">
        <v>315</v>
      </c>
      <c r="F318" t="s">
        <v>136</v>
      </c>
      <c r="H318" s="184" t="s">
        <v>117</v>
      </c>
      <c r="I318">
        <v>5</v>
      </c>
      <c r="X318" t="s">
        <v>70</v>
      </c>
      <c r="Y318" t="str">
        <f>VLOOKUP(Conso_FCST[[#This Row],[Country]],'Country-Region'!A:D,4,0)</f>
        <v>Italy Region</v>
      </c>
      <c r="Z318" t="str">
        <f>VLOOKUP(Conso_FCST[[#This Row],[Country]],'Country-Region'!A:D,3,0)</f>
        <v>Italy</v>
      </c>
      <c r="AA318" t="str">
        <f>IFERROR(VLOOKUP(Conso_FCST[[#This Row],[Model name]],Prod_T6[[#All],[Model name]:[Product Conso]],2,0),"exclude")</f>
        <v>TCL-MR470DT182-58NS</v>
      </c>
    </row>
    <row r="319" spans="1:27" hidden="1">
      <c r="A319" t="s">
        <v>31</v>
      </c>
      <c r="B319" t="s">
        <v>365</v>
      </c>
      <c r="C319" t="s">
        <v>369</v>
      </c>
      <c r="D319" t="s">
        <v>314</v>
      </c>
      <c r="E319" t="s">
        <v>373</v>
      </c>
      <c r="F319" t="s">
        <v>136</v>
      </c>
      <c r="H319" s="184" t="s">
        <v>117</v>
      </c>
      <c r="I319">
        <v>3</v>
      </c>
      <c r="J319">
        <v>7</v>
      </c>
      <c r="K319">
        <v>5</v>
      </c>
      <c r="X319" t="s">
        <v>70</v>
      </c>
      <c r="Y319" t="str">
        <f>VLOOKUP(Conso_FCST[[#This Row],[Country]],'Country-Region'!A:D,4,0)</f>
        <v>Italy Region</v>
      </c>
      <c r="Z319" t="str">
        <f>VLOOKUP(Conso_FCST[[#This Row],[Country]],'Country-Region'!A:D,3,0)</f>
        <v>Italy</v>
      </c>
      <c r="AA319" t="str">
        <f>IFERROR(VLOOKUP(Conso_FCST[[#This Row],[Model name]],Prod_T6[[#All],[Model name]:[Product Conso]],2,0),"exclude")</f>
        <v>TCL-MG720DT210-68NS</v>
      </c>
    </row>
    <row r="320" spans="1:27" hidden="1">
      <c r="A320" t="s">
        <v>31</v>
      </c>
      <c r="B320" t="s">
        <v>365</v>
      </c>
      <c r="C320" t="s">
        <v>369</v>
      </c>
      <c r="D320" t="s">
        <v>54</v>
      </c>
      <c r="E320" t="s">
        <v>129</v>
      </c>
      <c r="F320" t="s">
        <v>136</v>
      </c>
      <c r="H320" s="184" t="s">
        <v>374</v>
      </c>
      <c r="L320">
        <v>4</v>
      </c>
      <c r="M320">
        <v>1</v>
      </c>
      <c r="N320">
        <v>7</v>
      </c>
      <c r="X320" t="s">
        <v>70</v>
      </c>
      <c r="Y320" t="str">
        <f>VLOOKUP(Conso_FCST[[#This Row],[Country]],'Country-Region'!A:D,4,0)</f>
        <v>Italy Region</v>
      </c>
      <c r="Z320" t="str">
        <f>VLOOKUP(Conso_FCST[[#This Row],[Country]],'Country-Region'!A:D,3,0)</f>
        <v>Italy</v>
      </c>
      <c r="AA320" t="str">
        <f>IFERROR(VLOOKUP(Conso_FCST[[#This Row],[Model name]],Prod_T6[[#All],[Model name]:[Product Conso]],2,0),"exclude")</f>
        <v>HSM-ND48-DR</v>
      </c>
    </row>
    <row r="321" spans="1:27" hidden="1">
      <c r="A321" t="s">
        <v>31</v>
      </c>
      <c r="B321" t="s">
        <v>365</v>
      </c>
      <c r="C321" t="s">
        <v>369</v>
      </c>
      <c r="D321" t="s">
        <v>314</v>
      </c>
      <c r="E321" t="s">
        <v>315</v>
      </c>
      <c r="F321" t="s">
        <v>136</v>
      </c>
      <c r="H321" s="184" t="s">
        <v>117</v>
      </c>
      <c r="I321">
        <v>5</v>
      </c>
      <c r="J321">
        <v>6</v>
      </c>
      <c r="K321">
        <v>6</v>
      </c>
      <c r="L321">
        <v>3</v>
      </c>
      <c r="M321">
        <v>1</v>
      </c>
      <c r="N321">
        <v>4</v>
      </c>
      <c r="O321">
        <v>4</v>
      </c>
      <c r="P321">
        <v>4</v>
      </c>
      <c r="Q321">
        <v>3</v>
      </c>
      <c r="X321" t="s">
        <v>70</v>
      </c>
      <c r="Y321" t="str">
        <f>VLOOKUP(Conso_FCST[[#This Row],[Country]],'Country-Region'!A:D,4,0)</f>
        <v>Italy Region</v>
      </c>
      <c r="Z321" t="str">
        <f>VLOOKUP(Conso_FCST[[#This Row],[Country]],'Country-Region'!A:D,3,0)</f>
        <v>Italy</v>
      </c>
      <c r="AA321" t="str">
        <f>IFERROR(VLOOKUP(Conso_FCST[[#This Row],[Model name]],Prod_T6[[#All],[Model name]:[Product Conso]],2,0),"exclude")</f>
        <v>TCL-MR470DT182-58NS</v>
      </c>
    </row>
    <row r="322" spans="1:27" hidden="1">
      <c r="A322" t="s">
        <v>375</v>
      </c>
      <c r="B322" t="s">
        <v>165</v>
      </c>
      <c r="D322" t="s">
        <v>54</v>
      </c>
      <c r="E322" t="s">
        <v>166</v>
      </c>
      <c r="F322" t="s">
        <v>115</v>
      </c>
      <c r="G322" t="s">
        <v>376</v>
      </c>
      <c r="H322" s="184" t="s">
        <v>132</v>
      </c>
      <c r="M322">
        <v>1.6</v>
      </c>
      <c r="X322" t="s">
        <v>70</v>
      </c>
      <c r="Y322" t="str">
        <f>VLOOKUP(Conso_FCST[[#This Row],[Country]],'Country-Region'!A:D,4,0)</f>
        <v>Southern Europe Region</v>
      </c>
      <c r="Z322" t="str">
        <f>VLOOKUP(Conso_FCST[[#This Row],[Country]],'Country-Region'!A:D,3,0)</f>
        <v>Southern Europe Region</v>
      </c>
      <c r="AA322" t="str">
        <f>IFERROR(VLOOKUP(Conso_FCST[[#This Row],[Model name]],Prod_T6[[#All],[Model name]:[Product Conso]],2,0),"exclude")</f>
        <v>HSM-ND66-GR</v>
      </c>
    </row>
    <row r="323" spans="1:27" hidden="1">
      <c r="A323" t="s">
        <v>85</v>
      </c>
      <c r="B323" t="s">
        <v>377</v>
      </c>
      <c r="D323" t="s">
        <v>54</v>
      </c>
      <c r="E323" t="s">
        <v>129</v>
      </c>
      <c r="F323" t="s">
        <v>156</v>
      </c>
      <c r="G323" t="s">
        <v>378</v>
      </c>
      <c r="H323" s="184" t="s">
        <v>117</v>
      </c>
      <c r="J323">
        <v>1.2</v>
      </c>
      <c r="X323" t="s">
        <v>70</v>
      </c>
      <c r="Y323" t="str">
        <f>VLOOKUP(Conso_FCST[[#This Row],[Country]],'Country-Region'!A:D,4,0)</f>
        <v>Central and Eastern Europe Region</v>
      </c>
      <c r="Z323" t="str">
        <f>VLOOKUP(Conso_FCST[[#This Row],[Country]],'Country-Region'!A:D,3,0)</f>
        <v>C&amp;E EU</v>
      </c>
      <c r="AA323" t="str">
        <f>IFERROR(VLOOKUP(Conso_FCST[[#This Row],[Model name]],Prod_T6[[#All],[Model name]:[Product Conso]],2,0),"exclude")</f>
        <v>HSM-ND48-DR</v>
      </c>
    </row>
    <row r="324" spans="1:27" hidden="1">
      <c r="A324" t="s">
        <v>85</v>
      </c>
      <c r="B324" t="s">
        <v>379</v>
      </c>
      <c r="D324" t="s">
        <v>54</v>
      </c>
      <c r="E324" t="s">
        <v>129</v>
      </c>
      <c r="F324" t="s">
        <v>120</v>
      </c>
      <c r="G324" t="s">
        <v>380</v>
      </c>
      <c r="H324" s="184" t="s">
        <v>117</v>
      </c>
      <c r="L324">
        <v>0.4</v>
      </c>
      <c r="X324" t="s">
        <v>70</v>
      </c>
      <c r="Y324" t="str">
        <f>VLOOKUP(Conso_FCST[[#This Row],[Country]],'Country-Region'!A:D,4,0)</f>
        <v>Central and Eastern Europe Region</v>
      </c>
      <c r="Z324" t="str">
        <f>VLOOKUP(Conso_FCST[[#This Row],[Country]],'Country-Region'!A:D,3,0)</f>
        <v>C&amp;E EU</v>
      </c>
      <c r="AA324" t="str">
        <f>IFERROR(VLOOKUP(Conso_FCST[[#This Row],[Model name]],Prod_T6[[#All],[Model name]:[Product Conso]],2,0),"exclude")</f>
        <v>HSM-ND48-DR</v>
      </c>
    </row>
    <row r="325" spans="1:27" hidden="1">
      <c r="A325" t="s">
        <v>85</v>
      </c>
      <c r="B325" t="s">
        <v>377</v>
      </c>
      <c r="D325" t="s">
        <v>54</v>
      </c>
      <c r="E325" t="s">
        <v>160</v>
      </c>
      <c r="F325" t="s">
        <v>130</v>
      </c>
      <c r="G325" t="s">
        <v>381</v>
      </c>
      <c r="H325" s="184" t="s">
        <v>117</v>
      </c>
      <c r="J325">
        <v>1.7</v>
      </c>
      <c r="X325" t="s">
        <v>70</v>
      </c>
      <c r="Y325" t="str">
        <f>VLOOKUP(Conso_FCST[[#This Row],[Country]],'Country-Region'!A:D,4,0)</f>
        <v>Central and Eastern Europe Region</v>
      </c>
      <c r="Z325" t="str">
        <f>VLOOKUP(Conso_FCST[[#This Row],[Country]],'Country-Region'!A:D,3,0)</f>
        <v>C&amp;E EU</v>
      </c>
      <c r="AA325" t="str">
        <f>IFERROR(VLOOKUP(Conso_FCST[[#This Row],[Model name]],Prod_T6[[#All],[Model name]:[Product Conso]],2,0),"exclude")</f>
        <v>HSM-ND54-DR</v>
      </c>
    </row>
    <row r="326" spans="1:27" hidden="1">
      <c r="A326" t="s">
        <v>85</v>
      </c>
      <c r="B326" t="s">
        <v>379</v>
      </c>
      <c r="D326" t="s">
        <v>54</v>
      </c>
      <c r="E326" t="s">
        <v>129</v>
      </c>
      <c r="F326" t="s">
        <v>130</v>
      </c>
      <c r="G326" t="s">
        <v>380</v>
      </c>
      <c r="H326" s="184" t="s">
        <v>117</v>
      </c>
      <c r="J326">
        <v>0.4</v>
      </c>
      <c r="X326" t="s">
        <v>70</v>
      </c>
      <c r="Y326" t="str">
        <f>VLOOKUP(Conso_FCST[[#This Row],[Country]],'Country-Region'!A:D,4,0)</f>
        <v>Central and Eastern Europe Region</v>
      </c>
      <c r="Z326" t="str">
        <f>VLOOKUP(Conso_FCST[[#This Row],[Country]],'Country-Region'!A:D,3,0)</f>
        <v>C&amp;E EU</v>
      </c>
      <c r="AA326" t="str">
        <f>IFERROR(VLOOKUP(Conso_FCST[[#This Row],[Model name]],Prod_T6[[#All],[Model name]:[Product Conso]],2,0),"exclude")</f>
        <v>HSM-ND48-DR</v>
      </c>
    </row>
    <row r="327" spans="1:27" hidden="1">
      <c r="A327" t="s">
        <v>85</v>
      </c>
      <c r="B327" t="s">
        <v>379</v>
      </c>
      <c r="D327" t="s">
        <v>54</v>
      </c>
      <c r="E327" t="s">
        <v>339</v>
      </c>
      <c r="F327" t="s">
        <v>130</v>
      </c>
      <c r="G327" t="s">
        <v>382</v>
      </c>
      <c r="H327" s="184" t="s">
        <v>117</v>
      </c>
      <c r="J327">
        <v>0.4</v>
      </c>
      <c r="X327" t="s">
        <v>70</v>
      </c>
      <c r="Y327" t="str">
        <f>VLOOKUP(Conso_FCST[[#This Row],[Country]],'Country-Region'!A:D,4,0)</f>
        <v>Central and Eastern Europe Region</v>
      </c>
      <c r="Z327" t="str">
        <f>VLOOKUP(Conso_FCST[[#This Row],[Country]],'Country-Region'!A:D,3,0)</f>
        <v>C&amp;E EU</v>
      </c>
      <c r="AA327" t="str">
        <f>IFERROR(VLOOKUP(Conso_FCST[[#This Row],[Model name]],Prod_T6[[#All],[Model name]:[Product Conso]],2,0),"exclude")</f>
        <v>HSM-ND48-DR</v>
      </c>
    </row>
    <row r="328" spans="1:27" hidden="1">
      <c r="A328" t="s">
        <v>85</v>
      </c>
      <c r="B328" t="s">
        <v>379</v>
      </c>
      <c r="D328" t="s">
        <v>54</v>
      </c>
      <c r="E328" t="s">
        <v>160</v>
      </c>
      <c r="F328" t="s">
        <v>120</v>
      </c>
      <c r="G328" t="s">
        <v>383</v>
      </c>
      <c r="H328" s="184" t="s">
        <v>117</v>
      </c>
      <c r="L328">
        <v>0.4</v>
      </c>
      <c r="X328" t="s">
        <v>70</v>
      </c>
      <c r="Y328" t="str">
        <f>VLOOKUP(Conso_FCST[[#This Row],[Country]],'Country-Region'!A:D,4,0)</f>
        <v>Central and Eastern Europe Region</v>
      </c>
      <c r="Z328" t="str">
        <f>VLOOKUP(Conso_FCST[[#This Row],[Country]],'Country-Region'!A:D,3,0)</f>
        <v>C&amp;E EU</v>
      </c>
      <c r="AA328" t="str">
        <f>IFERROR(VLOOKUP(Conso_FCST[[#This Row],[Model name]],Prod_T6[[#All],[Model name]:[Product Conso]],2,0),"exclude")</f>
        <v>HSM-ND54-DR</v>
      </c>
    </row>
    <row r="329" spans="1:27" hidden="1">
      <c r="A329" t="s">
        <v>85</v>
      </c>
      <c r="B329" t="s">
        <v>379</v>
      </c>
      <c r="D329" t="s">
        <v>54</v>
      </c>
      <c r="E329" t="s">
        <v>121</v>
      </c>
      <c r="F329" t="s">
        <v>130</v>
      </c>
      <c r="G329" t="s">
        <v>384</v>
      </c>
      <c r="H329" s="184" t="s">
        <v>132</v>
      </c>
      <c r="K329">
        <v>1.2</v>
      </c>
      <c r="X329" t="s">
        <v>70</v>
      </c>
      <c r="Y329" t="str">
        <f>VLOOKUP(Conso_FCST[[#This Row],[Country]],'Country-Region'!A:D,4,0)</f>
        <v>Central and Eastern Europe Region</v>
      </c>
      <c r="Z329" t="str">
        <f>VLOOKUP(Conso_FCST[[#This Row],[Country]],'Country-Region'!A:D,3,0)</f>
        <v>C&amp;E EU</v>
      </c>
      <c r="AA329" t="str">
        <f>IFERROR(VLOOKUP(Conso_FCST[[#This Row],[Model name]],Prod_T6[[#All],[Model name]:[Product Conso]],2,0),"exclude")</f>
        <v>HSM-ND54-DR</v>
      </c>
    </row>
    <row r="330" spans="1:27" hidden="1">
      <c r="A330" t="s">
        <v>85</v>
      </c>
      <c r="B330" t="s">
        <v>379</v>
      </c>
      <c r="D330" t="s">
        <v>54</v>
      </c>
      <c r="E330" t="s">
        <v>339</v>
      </c>
      <c r="F330" t="s">
        <v>130</v>
      </c>
      <c r="G330" t="s">
        <v>385</v>
      </c>
      <c r="H330" s="184" t="s">
        <v>132</v>
      </c>
      <c r="I330">
        <v>0.8</v>
      </c>
      <c r="X330" t="s">
        <v>70</v>
      </c>
      <c r="Y330" t="str">
        <f>VLOOKUP(Conso_FCST[[#This Row],[Country]],'Country-Region'!A:D,4,0)</f>
        <v>Central and Eastern Europe Region</v>
      </c>
      <c r="Z330" t="str">
        <f>VLOOKUP(Conso_FCST[[#This Row],[Country]],'Country-Region'!A:D,3,0)</f>
        <v>C&amp;E EU</v>
      </c>
      <c r="AA330" t="str">
        <f>IFERROR(VLOOKUP(Conso_FCST[[#This Row],[Model name]],Prod_T6[[#All],[Model name]:[Product Conso]],2,0),"exclude")</f>
        <v>HSM-ND48-DR</v>
      </c>
    </row>
    <row r="331" spans="1:27" hidden="1">
      <c r="A331" t="s">
        <v>85</v>
      </c>
      <c r="B331" t="s">
        <v>386</v>
      </c>
      <c r="D331" t="s">
        <v>54</v>
      </c>
      <c r="E331" t="s">
        <v>339</v>
      </c>
      <c r="F331" t="s">
        <v>130</v>
      </c>
      <c r="G331" t="s">
        <v>387</v>
      </c>
      <c r="H331" s="184" t="s">
        <v>132</v>
      </c>
      <c r="I331">
        <v>2</v>
      </c>
      <c r="X331" t="s">
        <v>70</v>
      </c>
      <c r="Y331" t="str">
        <f>VLOOKUP(Conso_FCST[[#This Row],[Country]],'Country-Region'!A:D,4,0)</f>
        <v>Central and Eastern Europe Region</v>
      </c>
      <c r="Z331" t="str">
        <f>VLOOKUP(Conso_FCST[[#This Row],[Country]],'Country-Region'!A:D,3,0)</f>
        <v>C&amp;E EU</v>
      </c>
      <c r="AA331" t="str">
        <f>IFERROR(VLOOKUP(Conso_FCST[[#This Row],[Model name]],Prod_T6[[#All],[Model name]:[Product Conso]],2,0),"exclude")</f>
        <v>HSM-ND48-DR</v>
      </c>
    </row>
    <row r="332" spans="1:27" hidden="1">
      <c r="A332" t="s">
        <v>86</v>
      </c>
      <c r="B332" t="s">
        <v>388</v>
      </c>
      <c r="D332" t="s">
        <v>149</v>
      </c>
      <c r="E332" t="s">
        <v>150</v>
      </c>
      <c r="F332" t="s">
        <v>115</v>
      </c>
      <c r="G332" t="s">
        <v>389</v>
      </c>
      <c r="H332" s="184" t="s">
        <v>117</v>
      </c>
      <c r="O332">
        <v>3</v>
      </c>
      <c r="P332">
        <v>3</v>
      </c>
      <c r="Q332">
        <v>3</v>
      </c>
      <c r="X332" t="s">
        <v>70</v>
      </c>
      <c r="Y332" t="str">
        <f>VLOOKUP(Conso_FCST[[#This Row],[Country]],'Country-Region'!A:D,4,0)</f>
        <v>Benelux Region</v>
      </c>
      <c r="Z332" t="str">
        <f>VLOOKUP(Conso_FCST[[#This Row],[Country]],'Country-Region'!A:D,3,0)</f>
        <v>BeNeLux</v>
      </c>
      <c r="AA332" t="str">
        <f>IFERROR(VLOOKUP(Conso_FCST[[#This Row],[Model name]],Prod_T6[[#All],[Model name]:[Product Conso]],2,0),"exclude")</f>
        <v>HSM-NT60-GH</v>
      </c>
    </row>
    <row r="333" spans="1:27">
      <c r="A333" t="s">
        <v>86</v>
      </c>
      <c r="B333" t="s">
        <v>390</v>
      </c>
      <c r="D333" t="s">
        <v>141</v>
      </c>
      <c r="E333" t="s">
        <v>46</v>
      </c>
      <c r="F333" t="s">
        <v>115</v>
      </c>
      <c r="G333" t="s">
        <v>142</v>
      </c>
      <c r="H333" s="184" t="s">
        <v>117</v>
      </c>
      <c r="O333">
        <v>1</v>
      </c>
      <c r="P333">
        <v>3</v>
      </c>
      <c r="Q333">
        <v>3</v>
      </c>
      <c r="X333" t="s">
        <v>27</v>
      </c>
      <c r="Y333" t="str">
        <f>VLOOKUP(Conso_FCST[[#This Row],[Country]],'Country-Region'!A:D,4,0)</f>
        <v>Benelux Region</v>
      </c>
      <c r="Z333" t="str">
        <f>VLOOKUP(Conso_FCST[[#This Row],[Country]],'Country-Region'!A:D,3,0)</f>
        <v>BeNeLux</v>
      </c>
      <c r="AA333" t="str">
        <f>IFERROR(VLOOKUP(Conso_FCST[[#This Row],[Model name]],Prod_T6[[#All],[Model name]:[Product Conso]],2,0),"exclude")</f>
        <v>BlueArk X5-50K-100</v>
      </c>
    </row>
    <row r="334" spans="1:27">
      <c r="A334" t="s">
        <v>86</v>
      </c>
      <c r="B334" t="s">
        <v>390</v>
      </c>
      <c r="D334" t="s">
        <v>141</v>
      </c>
      <c r="E334" t="s">
        <v>50</v>
      </c>
      <c r="F334" t="s">
        <v>115</v>
      </c>
      <c r="G334" t="s">
        <v>142</v>
      </c>
      <c r="H334" s="184" t="s">
        <v>117</v>
      </c>
      <c r="O334">
        <v>1</v>
      </c>
      <c r="P334">
        <v>2</v>
      </c>
      <c r="Q334">
        <v>2</v>
      </c>
      <c r="X334" t="s">
        <v>27</v>
      </c>
      <c r="Y334" t="str">
        <f>VLOOKUP(Conso_FCST[[#This Row],[Country]],'Country-Region'!A:D,4,0)</f>
        <v>Benelux Region</v>
      </c>
      <c r="Z334" t="str">
        <f>VLOOKUP(Conso_FCST[[#This Row],[Country]],'Country-Region'!A:D,3,0)</f>
        <v>BeNeLux</v>
      </c>
      <c r="AA334" t="str">
        <f>IFERROR(VLOOKUP(Conso_FCST[[#This Row],[Model name]],Prod_T6[[#All],[Model name]:[Product Conso]],2,0),"exclude")</f>
        <v>BlueArk W10-125K-261</v>
      </c>
    </row>
    <row r="335" spans="1:27" hidden="1">
      <c r="A335" t="s">
        <v>86</v>
      </c>
      <c r="B335" t="s">
        <v>388</v>
      </c>
      <c r="D335" t="s">
        <v>149</v>
      </c>
      <c r="E335" t="s">
        <v>391</v>
      </c>
      <c r="F335" t="s">
        <v>115</v>
      </c>
      <c r="G335" t="s">
        <v>389</v>
      </c>
      <c r="H335" s="184" t="s">
        <v>117</v>
      </c>
      <c r="O335">
        <v>0.8</v>
      </c>
      <c r="P335">
        <v>0.8</v>
      </c>
      <c r="Q335">
        <v>0.8</v>
      </c>
      <c r="X335" t="s">
        <v>70</v>
      </c>
      <c r="Y335" t="str">
        <f>VLOOKUP(Conso_FCST[[#This Row],[Country]],'Country-Region'!A:D,4,0)</f>
        <v>Benelux Region</v>
      </c>
      <c r="Z335" t="str">
        <f>VLOOKUP(Conso_FCST[[#This Row],[Country]],'Country-Region'!A:D,3,0)</f>
        <v>BeNeLux</v>
      </c>
      <c r="AA335" t="str">
        <f>IFERROR(VLOOKUP(Conso_FCST[[#This Row],[Model name]],Prod_T6[[#All],[Model name]:[Product Conso]],2,0),"exclude")</f>
        <v>HSM-NT48-JH</v>
      </c>
    </row>
    <row r="336" spans="1:27" hidden="1">
      <c r="A336" t="s">
        <v>86</v>
      </c>
      <c r="B336" t="s">
        <v>388</v>
      </c>
      <c r="D336" t="s">
        <v>118</v>
      </c>
      <c r="E336" t="s">
        <v>119</v>
      </c>
      <c r="F336" t="s">
        <v>115</v>
      </c>
      <c r="G336" t="s">
        <v>389</v>
      </c>
      <c r="H336" s="184" t="s">
        <v>117</v>
      </c>
      <c r="O336">
        <v>1</v>
      </c>
      <c r="P336">
        <v>1</v>
      </c>
      <c r="Q336">
        <v>1</v>
      </c>
      <c r="X336" t="s">
        <v>70</v>
      </c>
      <c r="Y336" t="str">
        <f>VLOOKUP(Conso_FCST[[#This Row],[Country]],'Country-Region'!A:D,4,0)</f>
        <v>Benelux Region</v>
      </c>
      <c r="Z336" t="str">
        <f>VLOOKUP(Conso_FCST[[#This Row],[Country]],'Country-Region'!A:D,3,0)</f>
        <v>BeNeLux</v>
      </c>
      <c r="AA336" t="str">
        <f>IFERROR(VLOOKUP(Conso_FCST[[#This Row],[Model name]],Prod_T6[[#All],[Model name]:[Product Conso]],2,0),"exclude")</f>
        <v>P7 RES BLK 2.0</v>
      </c>
    </row>
    <row r="337" spans="1:27" hidden="1">
      <c r="A337" t="s">
        <v>86</v>
      </c>
      <c r="B337" t="s">
        <v>388</v>
      </c>
      <c r="D337" t="s">
        <v>149</v>
      </c>
      <c r="E337" t="s">
        <v>155</v>
      </c>
      <c r="F337" t="s">
        <v>115</v>
      </c>
      <c r="G337" t="s">
        <v>389</v>
      </c>
      <c r="H337" s="184" t="s">
        <v>117</v>
      </c>
      <c r="O337">
        <v>2</v>
      </c>
      <c r="P337">
        <v>2</v>
      </c>
      <c r="Q337">
        <v>2</v>
      </c>
      <c r="X337" t="s">
        <v>70</v>
      </c>
      <c r="Y337" t="str">
        <f>VLOOKUP(Conso_FCST[[#This Row],[Country]],'Country-Region'!A:D,4,0)</f>
        <v>Benelux Region</v>
      </c>
      <c r="Z337" t="str">
        <f>VLOOKUP(Conso_FCST[[#This Row],[Country]],'Country-Region'!A:D,3,0)</f>
        <v>BeNeLux</v>
      </c>
      <c r="AA337" t="str">
        <f>IFERROR(VLOOKUP(Conso_FCST[[#This Row],[Model name]],Prod_T6[[#All],[Model name]:[Product Conso]],2,0),"exclude")</f>
        <v>HSM-NT66-GH</v>
      </c>
    </row>
    <row r="338" spans="1:27" hidden="1">
      <c r="A338" t="s">
        <v>86</v>
      </c>
      <c r="B338" t="s">
        <v>392</v>
      </c>
      <c r="C338" t="s">
        <v>393</v>
      </c>
      <c r="D338" t="s">
        <v>149</v>
      </c>
      <c r="E338" t="s">
        <v>155</v>
      </c>
      <c r="F338" t="s">
        <v>115</v>
      </c>
      <c r="H338" s="184" t="s">
        <v>117</v>
      </c>
      <c r="M338">
        <v>0.82</v>
      </c>
      <c r="X338" t="s">
        <v>70</v>
      </c>
      <c r="Y338" t="str">
        <f>VLOOKUP(Conso_FCST[[#This Row],[Country]],'Country-Region'!A:D,4,0)</f>
        <v>Benelux Region</v>
      </c>
      <c r="Z338" t="str">
        <f>VLOOKUP(Conso_FCST[[#This Row],[Country]],'Country-Region'!A:D,3,0)</f>
        <v>BeNeLux</v>
      </c>
      <c r="AA338" t="str">
        <f>IFERROR(VLOOKUP(Conso_FCST[[#This Row],[Model name]],Prod_T6[[#All],[Model name]:[Product Conso]],2,0),"exclude")</f>
        <v>HSM-NT66-GH</v>
      </c>
    </row>
    <row r="339" spans="1:27" hidden="1">
      <c r="A339" t="s">
        <v>86</v>
      </c>
      <c r="B339" t="s">
        <v>388</v>
      </c>
      <c r="D339" t="s">
        <v>113</v>
      </c>
      <c r="E339" t="s">
        <v>153</v>
      </c>
      <c r="F339" t="s">
        <v>136</v>
      </c>
      <c r="G339" t="s">
        <v>394</v>
      </c>
      <c r="H339" s="184" t="s">
        <v>117</v>
      </c>
      <c r="O339">
        <v>2</v>
      </c>
      <c r="P339">
        <v>2</v>
      </c>
      <c r="Q339">
        <v>2</v>
      </c>
      <c r="X339" t="s">
        <v>70</v>
      </c>
      <c r="Y339" t="str">
        <f>VLOOKUP(Conso_FCST[[#This Row],[Country]],'Country-Region'!A:D,4,0)</f>
        <v>Benelux Region</v>
      </c>
      <c r="Z339" t="str">
        <f>VLOOKUP(Conso_FCST[[#This Row],[Country]],'Country-Region'!A:D,3,0)</f>
        <v>BeNeLux</v>
      </c>
      <c r="AA339" t="str">
        <f>IFERROR(VLOOKUP(Conso_FCST[[#This Row],[Model name]],Prod_T6[[#All],[Model name]:[Product Conso]],2,0),"exclude")</f>
        <v>HSM-BE54-HD</v>
      </c>
    </row>
    <row r="340" spans="1:27" hidden="1">
      <c r="A340" t="s">
        <v>86</v>
      </c>
      <c r="B340" t="s">
        <v>388</v>
      </c>
      <c r="D340" t="s">
        <v>317</v>
      </c>
      <c r="E340" t="s">
        <v>318</v>
      </c>
      <c r="F340" t="s">
        <v>130</v>
      </c>
      <c r="G340" t="s">
        <v>395</v>
      </c>
      <c r="H340" s="184" t="s">
        <v>117</v>
      </c>
      <c r="L340">
        <v>0.42</v>
      </c>
      <c r="X340" t="s">
        <v>70</v>
      </c>
      <c r="Y340" t="str">
        <f>VLOOKUP(Conso_FCST[[#This Row],[Country]],'Country-Region'!A:D,4,0)</f>
        <v>Benelux Region</v>
      </c>
      <c r="Z340" t="str">
        <f>VLOOKUP(Conso_FCST[[#This Row],[Country]],'Country-Region'!A:D,3,0)</f>
        <v>BeNeLux</v>
      </c>
      <c r="AA340" t="str">
        <f>IFERROR(VLOOKUP(Conso_FCST[[#This Row],[Model name]],Prod_T6[[#All],[Model name]:[Product Conso]],2,0),"exclude")</f>
        <v>HSM-BD54-DA</v>
      </c>
    </row>
    <row r="341" spans="1:27" hidden="1">
      <c r="A341" t="s">
        <v>86</v>
      </c>
      <c r="B341" t="s">
        <v>392</v>
      </c>
      <c r="C341" t="s">
        <v>393</v>
      </c>
      <c r="D341" t="s">
        <v>118</v>
      </c>
      <c r="E341" t="s">
        <v>255</v>
      </c>
      <c r="F341" t="s">
        <v>130</v>
      </c>
      <c r="H341" s="184" t="s">
        <v>117</v>
      </c>
      <c r="J341">
        <v>0.4</v>
      </c>
      <c r="X341" t="s">
        <v>70</v>
      </c>
      <c r="Y341" t="str">
        <f>VLOOKUP(Conso_FCST[[#This Row],[Country]],'Country-Region'!A:D,4,0)</f>
        <v>Benelux Region</v>
      </c>
      <c r="Z341" t="str">
        <f>VLOOKUP(Conso_FCST[[#This Row],[Country]],'Country-Region'!A:D,3,0)</f>
        <v>BeNeLux</v>
      </c>
      <c r="AA341" t="str">
        <f>IFERROR(VLOOKUP(Conso_FCST[[#This Row],[Model name]],Prod_T6[[#All],[Model name]:[Product Conso]],2,0),"exclude")</f>
        <v>P7 COM S BF IT</v>
      </c>
    </row>
    <row r="342" spans="1:27" hidden="1">
      <c r="A342" t="s">
        <v>86</v>
      </c>
      <c r="B342" t="s">
        <v>396</v>
      </c>
      <c r="C342" t="s">
        <v>138</v>
      </c>
      <c r="D342" t="s">
        <v>317</v>
      </c>
      <c r="E342" t="s">
        <v>318</v>
      </c>
      <c r="F342" t="s">
        <v>130</v>
      </c>
      <c r="G342" t="s">
        <v>397</v>
      </c>
      <c r="H342" s="184" t="s">
        <v>117</v>
      </c>
      <c r="I342">
        <v>0.45</v>
      </c>
      <c r="J342">
        <v>0.45</v>
      </c>
      <c r="K342">
        <v>0.45</v>
      </c>
      <c r="L342">
        <v>0.45</v>
      </c>
      <c r="X342" t="s">
        <v>70</v>
      </c>
      <c r="Y342" t="str">
        <f>VLOOKUP(Conso_FCST[[#This Row],[Country]],'Country-Region'!A:D,4,0)</f>
        <v>Benelux Region</v>
      </c>
      <c r="Z342" t="str">
        <f>VLOOKUP(Conso_FCST[[#This Row],[Country]],'Country-Region'!A:D,3,0)</f>
        <v>BeNeLux</v>
      </c>
      <c r="AA342" t="str">
        <f>IFERROR(VLOOKUP(Conso_FCST[[#This Row],[Model name]],Prod_T6[[#All],[Model name]:[Product Conso]],2,0),"exclude")</f>
        <v>HSM-BD54-DA</v>
      </c>
    </row>
    <row r="343" spans="1:27" hidden="1">
      <c r="A343" t="s">
        <v>86</v>
      </c>
      <c r="B343" t="s">
        <v>390</v>
      </c>
      <c r="C343" t="s">
        <v>138</v>
      </c>
      <c r="D343" t="s">
        <v>317</v>
      </c>
      <c r="E343" t="s">
        <v>318</v>
      </c>
      <c r="F343" t="s">
        <v>130</v>
      </c>
      <c r="G343" t="s">
        <v>397</v>
      </c>
      <c r="H343" s="184" t="s">
        <v>117</v>
      </c>
      <c r="K343">
        <v>0.45</v>
      </c>
      <c r="L343">
        <v>0.45</v>
      </c>
      <c r="X343" t="s">
        <v>70</v>
      </c>
      <c r="Y343" t="str">
        <f>VLOOKUP(Conso_FCST[[#This Row],[Country]],'Country-Region'!A:D,4,0)</f>
        <v>Benelux Region</v>
      </c>
      <c r="Z343" t="str">
        <f>VLOOKUP(Conso_FCST[[#This Row],[Country]],'Country-Region'!A:D,3,0)</f>
        <v>BeNeLux</v>
      </c>
      <c r="AA343" t="str">
        <f>IFERROR(VLOOKUP(Conso_FCST[[#This Row],[Model name]],Prod_T6[[#All],[Model name]:[Product Conso]],2,0),"exclude")</f>
        <v>HSM-BD54-DA</v>
      </c>
    </row>
    <row r="344" spans="1:27" hidden="1">
      <c r="A344" t="s">
        <v>86</v>
      </c>
      <c r="B344" t="s">
        <v>390</v>
      </c>
      <c r="D344" t="s">
        <v>54</v>
      </c>
      <c r="E344" t="s">
        <v>129</v>
      </c>
      <c r="F344" t="s">
        <v>156</v>
      </c>
      <c r="G344" t="s">
        <v>398</v>
      </c>
      <c r="H344" s="184" t="s">
        <v>117</v>
      </c>
      <c r="I344">
        <v>0.4</v>
      </c>
      <c r="J344">
        <v>1.2</v>
      </c>
      <c r="K344">
        <v>1.2</v>
      </c>
      <c r="X344" t="s">
        <v>70</v>
      </c>
      <c r="Y344" t="str">
        <f>VLOOKUP(Conso_FCST[[#This Row],[Country]],'Country-Region'!A:D,4,0)</f>
        <v>Benelux Region</v>
      </c>
      <c r="Z344" t="str">
        <f>VLOOKUP(Conso_FCST[[#This Row],[Country]],'Country-Region'!A:D,3,0)</f>
        <v>BeNeLux</v>
      </c>
      <c r="AA344" t="str">
        <f>IFERROR(VLOOKUP(Conso_FCST[[#This Row],[Model name]],Prod_T6[[#All],[Model name]:[Product Conso]],2,0),"exclude")</f>
        <v>HSM-ND48-DR</v>
      </c>
    </row>
    <row r="345" spans="1:27" hidden="1">
      <c r="A345" t="s">
        <v>86</v>
      </c>
      <c r="B345" t="s">
        <v>390</v>
      </c>
      <c r="D345" t="s">
        <v>149</v>
      </c>
      <c r="E345" t="s">
        <v>152</v>
      </c>
      <c r="F345" t="s">
        <v>136</v>
      </c>
      <c r="G345" t="s">
        <v>151</v>
      </c>
      <c r="H345" s="184" t="s">
        <v>117</v>
      </c>
      <c r="N345">
        <v>1.2</v>
      </c>
      <c r="O345">
        <v>1.2</v>
      </c>
      <c r="P345">
        <v>1.2</v>
      </c>
      <c r="Q345">
        <v>1.2</v>
      </c>
      <c r="X345" t="s">
        <v>70</v>
      </c>
      <c r="Y345" t="str">
        <f>VLOOKUP(Conso_FCST[[#This Row],[Country]],'Country-Region'!A:D,4,0)</f>
        <v>Benelux Region</v>
      </c>
      <c r="Z345" t="str">
        <f>VLOOKUP(Conso_FCST[[#This Row],[Country]],'Country-Region'!A:D,3,0)</f>
        <v>BeNeLux</v>
      </c>
      <c r="AA345" t="str">
        <f>IFERROR(VLOOKUP(Conso_FCST[[#This Row],[Model name]],Prod_T6[[#All],[Model name]:[Product Conso]],2,0),"exclude")</f>
        <v>HSM-NT48-HH</v>
      </c>
    </row>
    <row r="346" spans="1:27" hidden="1">
      <c r="A346" t="s">
        <v>86</v>
      </c>
      <c r="B346" t="s">
        <v>390</v>
      </c>
      <c r="D346" t="s">
        <v>113</v>
      </c>
      <c r="E346" t="s">
        <v>153</v>
      </c>
      <c r="F346" t="s">
        <v>136</v>
      </c>
      <c r="G346" t="s">
        <v>151</v>
      </c>
      <c r="H346" s="184" t="s">
        <v>117</v>
      </c>
      <c r="O346">
        <v>0.4</v>
      </c>
      <c r="P346">
        <v>0.4</v>
      </c>
      <c r="Q346">
        <v>0.4</v>
      </c>
      <c r="X346" t="s">
        <v>70</v>
      </c>
      <c r="Y346" t="str">
        <f>VLOOKUP(Conso_FCST[[#This Row],[Country]],'Country-Region'!A:D,4,0)</f>
        <v>Benelux Region</v>
      </c>
      <c r="Z346" t="str">
        <f>VLOOKUP(Conso_FCST[[#This Row],[Country]],'Country-Region'!A:D,3,0)</f>
        <v>BeNeLux</v>
      </c>
      <c r="AA346" t="str">
        <f>IFERROR(VLOOKUP(Conso_FCST[[#This Row],[Model name]],Prod_T6[[#All],[Model name]:[Product Conso]],2,0),"exclude")</f>
        <v>HSM-BE54-HD</v>
      </c>
    </row>
    <row r="347" spans="1:27" hidden="1">
      <c r="A347" t="s">
        <v>86</v>
      </c>
      <c r="B347" t="s">
        <v>388</v>
      </c>
      <c r="D347" t="s">
        <v>134</v>
      </c>
      <c r="E347" t="s">
        <v>135</v>
      </c>
      <c r="F347" t="s">
        <v>136</v>
      </c>
      <c r="G347" t="s">
        <v>399</v>
      </c>
      <c r="H347" s="184" t="s">
        <v>117</v>
      </c>
      <c r="O347">
        <v>2</v>
      </c>
      <c r="P347">
        <v>2</v>
      </c>
      <c r="Q347">
        <v>2</v>
      </c>
      <c r="X347" t="s">
        <v>70</v>
      </c>
      <c r="Y347" t="str">
        <f>VLOOKUP(Conso_FCST[[#This Row],[Country]],'Country-Region'!A:D,4,0)</f>
        <v>Benelux Region</v>
      </c>
      <c r="Z347" t="str">
        <f>VLOOKUP(Conso_FCST[[#This Row],[Country]],'Country-Region'!A:D,3,0)</f>
        <v>BeNeLux</v>
      </c>
      <c r="AA347" t="str">
        <f>IFERROR(VLOOKUP(Conso_FCST[[#This Row],[Model name]],Prod_T6[[#All],[Model name]:[Product Conso]],2,0),"exclude")</f>
        <v>SPR-BE54-HD</v>
      </c>
    </row>
    <row r="348" spans="1:27" hidden="1">
      <c r="A348" t="s">
        <v>86</v>
      </c>
      <c r="B348" t="s">
        <v>388</v>
      </c>
      <c r="C348" t="s">
        <v>138</v>
      </c>
      <c r="D348" t="s">
        <v>38</v>
      </c>
      <c r="E348" t="s">
        <v>400</v>
      </c>
      <c r="F348" t="s">
        <v>115</v>
      </c>
      <c r="G348" t="s">
        <v>401</v>
      </c>
      <c r="H348" s="184" t="s">
        <v>117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1</v>
      </c>
      <c r="O348">
        <v>1</v>
      </c>
      <c r="P348">
        <v>10</v>
      </c>
      <c r="Q348">
        <v>20</v>
      </c>
      <c r="X348" t="s">
        <v>87</v>
      </c>
      <c r="Y348" t="str">
        <f>VLOOKUP(Conso_FCST[[#This Row],[Country]],'Country-Region'!A:D,4,0)</f>
        <v>Benelux Region</v>
      </c>
      <c r="Z348" t="str">
        <f>VLOOKUP(Conso_FCST[[#This Row],[Country]],'Country-Region'!A:D,3,0)</f>
        <v>BeNeLux</v>
      </c>
      <c r="AA348" t="str">
        <f>IFERROR(VLOOKUP(Conso_FCST[[#This Row],[Model name]],Prod_T6[[#All],[Model name]:[Product Conso]],2,0),"exclude")</f>
        <v>HB12SP0</v>
      </c>
    </row>
    <row r="349" spans="1:27" hidden="1">
      <c r="A349" t="s">
        <v>49</v>
      </c>
      <c r="B349" t="s">
        <v>402</v>
      </c>
      <c r="C349" t="s">
        <v>403</v>
      </c>
      <c r="D349" t="s">
        <v>54</v>
      </c>
      <c r="E349" t="s">
        <v>170</v>
      </c>
      <c r="F349" t="s">
        <v>154</v>
      </c>
      <c r="G349" t="s">
        <v>404</v>
      </c>
      <c r="H349" s="184" t="s">
        <v>405</v>
      </c>
      <c r="O349">
        <v>7</v>
      </c>
      <c r="P349">
        <v>6</v>
      </c>
      <c r="X349" t="s">
        <v>70</v>
      </c>
      <c r="Y349" t="str">
        <f>VLOOKUP(Conso_FCST[[#This Row],[Country]],'Country-Region'!A:D,4,0)</f>
        <v>Nordics Region</v>
      </c>
      <c r="Z349" t="str">
        <f>VLOOKUP(Conso_FCST[[#This Row],[Country]],'Country-Region'!A:D,3,0)</f>
        <v>Nordics</v>
      </c>
      <c r="AA349" t="str">
        <f>IFERROR(VLOOKUP(Conso_FCST[[#This Row],[Model name]],Prod_T6[[#All],[Model name]:[Product Conso]],2,0),"exclude")</f>
        <v>HSM-ND66-GR</v>
      </c>
    </row>
    <row r="350" spans="1:27" hidden="1">
      <c r="A350" t="s">
        <v>49</v>
      </c>
      <c r="B350" t="s">
        <v>406</v>
      </c>
      <c r="D350" t="s">
        <v>118</v>
      </c>
      <c r="E350" t="s">
        <v>119</v>
      </c>
      <c r="F350" t="s">
        <v>156</v>
      </c>
      <c r="G350" t="s">
        <v>407</v>
      </c>
      <c r="H350" s="184" t="s">
        <v>117</v>
      </c>
      <c r="L350">
        <v>0.4</v>
      </c>
      <c r="X350" t="s">
        <v>70</v>
      </c>
      <c r="Y350" t="str">
        <f>VLOOKUP(Conso_FCST[[#This Row],[Country]],'Country-Region'!A:D,4,0)</f>
        <v>Nordics Region</v>
      </c>
      <c r="Z350" t="str">
        <f>VLOOKUP(Conso_FCST[[#This Row],[Country]],'Country-Region'!A:D,3,0)</f>
        <v>Nordics</v>
      </c>
      <c r="AA350" t="str">
        <f>IFERROR(VLOOKUP(Conso_FCST[[#This Row],[Model name]],Prod_T6[[#All],[Model name]:[Product Conso]],2,0),"exclude")</f>
        <v>P7 RES BLK 2.0</v>
      </c>
    </row>
    <row r="351" spans="1:27" hidden="1">
      <c r="A351" t="s">
        <v>49</v>
      </c>
      <c r="B351" t="s">
        <v>406</v>
      </c>
      <c r="D351" t="s">
        <v>118</v>
      </c>
      <c r="E351" t="s">
        <v>180</v>
      </c>
      <c r="F351" t="s">
        <v>156</v>
      </c>
      <c r="G351" t="s">
        <v>407</v>
      </c>
      <c r="H351" s="184" t="s">
        <v>117</v>
      </c>
      <c r="L351">
        <v>0.4</v>
      </c>
      <c r="X351" t="s">
        <v>70</v>
      </c>
      <c r="Y351" t="str">
        <f>VLOOKUP(Conso_FCST[[#This Row],[Country]],'Country-Region'!A:D,4,0)</f>
        <v>Nordics Region</v>
      </c>
      <c r="Z351" t="str">
        <f>VLOOKUP(Conso_FCST[[#This Row],[Country]],'Country-Region'!A:D,3,0)</f>
        <v>Nordics</v>
      </c>
      <c r="AA351" t="str">
        <f>IFERROR(VLOOKUP(Conso_FCST[[#This Row],[Model name]],Prod_T6[[#All],[Model name]:[Product Conso]],2,0),"exclude")</f>
        <v>P7 RES BLK-P</v>
      </c>
    </row>
    <row r="352" spans="1:27" hidden="1">
      <c r="A352" t="s">
        <v>49</v>
      </c>
      <c r="B352" t="s">
        <v>408</v>
      </c>
      <c r="D352" t="s">
        <v>409</v>
      </c>
      <c r="E352" t="s">
        <v>409</v>
      </c>
      <c r="F352" t="s">
        <v>156</v>
      </c>
      <c r="G352" t="s">
        <v>410</v>
      </c>
      <c r="H352" s="184" t="s">
        <v>117</v>
      </c>
      <c r="L352">
        <v>0.2</v>
      </c>
      <c r="X352" t="s">
        <v>70</v>
      </c>
      <c r="Y352" t="str">
        <f>VLOOKUP(Conso_FCST[[#This Row],[Country]],'Country-Region'!A:D,4,0)</f>
        <v>Nordics Region</v>
      </c>
      <c r="Z352" t="str">
        <f>VLOOKUP(Conso_FCST[[#This Row],[Country]],'Country-Region'!A:D,3,0)</f>
        <v>Nordics</v>
      </c>
      <c r="AA352" t="str">
        <f>IFERROR(VLOOKUP(Conso_FCST[[#This Row],[Model name]],Prod_T6[[#All],[Model name]:[Product Conso]],2,0),"exclude")</f>
        <v>exclude</v>
      </c>
    </row>
    <row r="353" spans="1:27" hidden="1">
      <c r="A353" t="s">
        <v>49</v>
      </c>
      <c r="B353" t="s">
        <v>411</v>
      </c>
      <c r="D353" t="s">
        <v>38</v>
      </c>
      <c r="E353" t="s">
        <v>400</v>
      </c>
      <c r="F353" t="s">
        <v>156</v>
      </c>
      <c r="G353" t="s">
        <v>412</v>
      </c>
      <c r="H353" s="184" t="s">
        <v>117</v>
      </c>
      <c r="L353">
        <v>2</v>
      </c>
      <c r="X353" t="s">
        <v>87</v>
      </c>
      <c r="Y353" t="str">
        <f>VLOOKUP(Conso_FCST[[#This Row],[Country]],'Country-Region'!A:D,4,0)</f>
        <v>Nordics Region</v>
      </c>
      <c r="Z353" t="str">
        <f>VLOOKUP(Conso_FCST[[#This Row],[Country]],'Country-Region'!A:D,3,0)</f>
        <v>Nordics</v>
      </c>
      <c r="AA353" t="str">
        <f>IFERROR(VLOOKUP(Conso_FCST[[#This Row],[Model name]],Prod_T6[[#All],[Model name]:[Product Conso]],2,0),"exclude")</f>
        <v>HB12SP0</v>
      </c>
    </row>
    <row r="354" spans="1:27" hidden="1">
      <c r="A354" t="s">
        <v>49</v>
      </c>
      <c r="B354" t="s">
        <v>406</v>
      </c>
      <c r="D354" t="s">
        <v>149</v>
      </c>
      <c r="E354" t="s">
        <v>289</v>
      </c>
      <c r="F354" t="s">
        <v>156</v>
      </c>
      <c r="G354" t="s">
        <v>407</v>
      </c>
      <c r="H354" s="184" t="s">
        <v>413</v>
      </c>
      <c r="X354" t="s">
        <v>70</v>
      </c>
      <c r="Y354" t="str">
        <f>VLOOKUP(Conso_FCST[[#This Row],[Country]],'Country-Region'!A:D,4,0)</f>
        <v>Nordics Region</v>
      </c>
      <c r="Z354" t="str">
        <f>VLOOKUP(Conso_FCST[[#This Row],[Country]],'Country-Region'!A:D,3,0)</f>
        <v>Nordics</v>
      </c>
      <c r="AA354" t="str">
        <f>IFERROR(VLOOKUP(Conso_FCST[[#This Row],[Model name]],Prod_T6[[#All],[Model name]:[Product Conso]],2,0),"exclude")</f>
        <v>exclude</v>
      </c>
    </row>
    <row r="355" spans="1:27" hidden="1">
      <c r="A355" t="s">
        <v>49</v>
      </c>
      <c r="B355" t="s">
        <v>406</v>
      </c>
      <c r="D355" t="s">
        <v>414</v>
      </c>
      <c r="E355" t="s">
        <v>415</v>
      </c>
      <c r="F355" t="s">
        <v>213</v>
      </c>
      <c r="G355" t="s">
        <v>416</v>
      </c>
      <c r="H355" s="184"/>
      <c r="Q355">
        <v>50</v>
      </c>
      <c r="X355" t="s">
        <v>27</v>
      </c>
      <c r="Y355" t="str">
        <f>VLOOKUP(Conso_FCST[[#This Row],[Country]],'Country-Region'!A:D,4,0)</f>
        <v>Nordics Region</v>
      </c>
      <c r="Z355" t="str">
        <f>VLOOKUP(Conso_FCST[[#This Row],[Country]],'Country-Region'!A:D,3,0)</f>
        <v>Nordics</v>
      </c>
      <c r="AA355" t="str">
        <f>IFERROR(VLOOKUP(Conso_FCST[[#This Row],[Model name]],Prod_T6[[#All],[Model name]:[Product Conso]],2,0),"exclude")</f>
        <v>BlueArk X1-10kW-SP</v>
      </c>
    </row>
    <row r="356" spans="1:27">
      <c r="A356" t="s">
        <v>49</v>
      </c>
      <c r="B356" t="s">
        <v>402</v>
      </c>
      <c r="D356" t="s">
        <v>141</v>
      </c>
      <c r="E356" t="s">
        <v>46</v>
      </c>
      <c r="F356" t="s">
        <v>213</v>
      </c>
      <c r="G356" t="s">
        <v>417</v>
      </c>
      <c r="H356" s="184"/>
      <c r="N356">
        <v>2</v>
      </c>
      <c r="X356" t="s">
        <v>27</v>
      </c>
      <c r="Y356" t="str">
        <f>VLOOKUP(Conso_FCST[[#This Row],[Country]],'Country-Region'!A:D,4,0)</f>
        <v>Nordics Region</v>
      </c>
      <c r="Z356" t="str">
        <f>VLOOKUP(Conso_FCST[[#This Row],[Country]],'Country-Region'!A:D,3,0)</f>
        <v>Nordics</v>
      </c>
      <c r="AA356" t="str">
        <f>IFERROR(VLOOKUP(Conso_FCST[[#This Row],[Model name]],Prod_T6[[#All],[Model name]:[Product Conso]],2,0),"exclude")</f>
        <v>BlueArk X5-50K-100</v>
      </c>
    </row>
    <row r="357" spans="1:27" hidden="1">
      <c r="A357" t="s">
        <v>49</v>
      </c>
      <c r="B357" t="s">
        <v>402</v>
      </c>
      <c r="D357" t="s">
        <v>149</v>
      </c>
      <c r="E357" t="s">
        <v>289</v>
      </c>
      <c r="F357" t="s">
        <v>154</v>
      </c>
      <c r="G357" t="s">
        <v>418</v>
      </c>
      <c r="H357" s="184" t="s">
        <v>413</v>
      </c>
      <c r="N357">
        <v>0.8</v>
      </c>
      <c r="X357" t="s">
        <v>70</v>
      </c>
      <c r="Y357" t="str">
        <f>VLOOKUP(Conso_FCST[[#This Row],[Country]],'Country-Region'!A:D,4,0)</f>
        <v>Nordics Region</v>
      </c>
      <c r="Z357" t="str">
        <f>VLOOKUP(Conso_FCST[[#This Row],[Country]],'Country-Region'!A:D,3,0)</f>
        <v>Nordics</v>
      </c>
      <c r="AA357" t="str">
        <f>IFERROR(VLOOKUP(Conso_FCST[[#This Row],[Model name]],Prod_T6[[#All],[Model name]:[Product Conso]],2,0),"exclude")</f>
        <v>exclude</v>
      </c>
    </row>
    <row r="358" spans="1:27" hidden="1">
      <c r="A358" t="s">
        <v>49</v>
      </c>
      <c r="B358" t="s">
        <v>402</v>
      </c>
      <c r="D358" t="s">
        <v>118</v>
      </c>
      <c r="E358" t="s">
        <v>119</v>
      </c>
      <c r="F358" t="s">
        <v>115</v>
      </c>
      <c r="H358" s="184" t="s">
        <v>419</v>
      </c>
      <c r="O358">
        <v>1</v>
      </c>
      <c r="P358">
        <v>1</v>
      </c>
      <c r="Q358">
        <v>1</v>
      </c>
      <c r="X358" t="s">
        <v>70</v>
      </c>
      <c r="Y358" t="str">
        <f>VLOOKUP(Conso_FCST[[#This Row],[Country]],'Country-Region'!A:D,4,0)</f>
        <v>Nordics Region</v>
      </c>
      <c r="Z358" t="str">
        <f>VLOOKUP(Conso_FCST[[#This Row],[Country]],'Country-Region'!A:D,3,0)</f>
        <v>Nordics</v>
      </c>
      <c r="AA358" t="str">
        <f>IFERROR(VLOOKUP(Conso_FCST[[#This Row],[Model name]],Prod_T6[[#All],[Model name]:[Product Conso]],2,0),"exclude")</f>
        <v>P7 RES BLK 2.0</v>
      </c>
    </row>
    <row r="359" spans="1:27" hidden="1">
      <c r="A359" t="s">
        <v>49</v>
      </c>
      <c r="B359" t="s">
        <v>402</v>
      </c>
      <c r="D359" t="s">
        <v>118</v>
      </c>
      <c r="E359" t="s">
        <v>255</v>
      </c>
      <c r="F359" t="s">
        <v>115</v>
      </c>
      <c r="G359" t="s">
        <v>420</v>
      </c>
      <c r="H359" s="184" t="s">
        <v>419</v>
      </c>
      <c r="O359">
        <v>1</v>
      </c>
      <c r="P359">
        <v>1</v>
      </c>
      <c r="Q359">
        <v>1</v>
      </c>
      <c r="X359" t="s">
        <v>70</v>
      </c>
      <c r="Y359" t="str">
        <f>VLOOKUP(Conso_FCST[[#This Row],[Country]],'Country-Region'!A:D,4,0)</f>
        <v>Nordics Region</v>
      </c>
      <c r="Z359" t="str">
        <f>VLOOKUP(Conso_FCST[[#This Row],[Country]],'Country-Region'!A:D,3,0)</f>
        <v>Nordics</v>
      </c>
      <c r="AA359" t="str">
        <f>IFERROR(VLOOKUP(Conso_FCST[[#This Row],[Model name]],Prod_T6[[#All],[Model name]:[Product Conso]],2,0),"exclude")</f>
        <v>P7 COM S BF IT</v>
      </c>
    </row>
    <row r="360" spans="1:27" hidden="1">
      <c r="A360" t="s">
        <v>49</v>
      </c>
      <c r="B360" t="s">
        <v>402</v>
      </c>
      <c r="D360" t="s">
        <v>54</v>
      </c>
      <c r="E360" t="s">
        <v>166</v>
      </c>
      <c r="F360" t="s">
        <v>115</v>
      </c>
      <c r="G360" t="s">
        <v>420</v>
      </c>
      <c r="H360" s="184" t="s">
        <v>419</v>
      </c>
      <c r="O360">
        <v>2</v>
      </c>
      <c r="P360">
        <v>2</v>
      </c>
      <c r="Q360">
        <v>2</v>
      </c>
      <c r="X360" t="s">
        <v>70</v>
      </c>
      <c r="Y360" t="str">
        <f>VLOOKUP(Conso_FCST[[#This Row],[Country]],'Country-Region'!A:D,4,0)</f>
        <v>Nordics Region</v>
      </c>
      <c r="Z360" t="str">
        <f>VLOOKUP(Conso_FCST[[#This Row],[Country]],'Country-Region'!A:D,3,0)</f>
        <v>Nordics</v>
      </c>
      <c r="AA360" t="str">
        <f>IFERROR(VLOOKUP(Conso_FCST[[#This Row],[Model name]],Prod_T6[[#All],[Model name]:[Product Conso]],2,0),"exclude")</f>
        <v>HSM-ND66-GR</v>
      </c>
    </row>
    <row r="361" spans="1:27" hidden="1">
      <c r="A361" t="s">
        <v>49</v>
      </c>
      <c r="B361" t="s">
        <v>402</v>
      </c>
      <c r="D361" t="s">
        <v>149</v>
      </c>
      <c r="E361" t="s">
        <v>289</v>
      </c>
      <c r="F361" t="s">
        <v>154</v>
      </c>
      <c r="G361" t="s">
        <v>421</v>
      </c>
      <c r="H361" s="184" t="s">
        <v>413</v>
      </c>
      <c r="O361">
        <v>2</v>
      </c>
      <c r="P361">
        <v>2</v>
      </c>
      <c r="X361" t="s">
        <v>70</v>
      </c>
      <c r="Y361" t="str">
        <f>VLOOKUP(Conso_FCST[[#This Row],[Country]],'Country-Region'!A:D,4,0)</f>
        <v>Nordics Region</v>
      </c>
      <c r="Z361" t="str">
        <f>VLOOKUP(Conso_FCST[[#This Row],[Country]],'Country-Region'!A:D,3,0)</f>
        <v>Nordics</v>
      </c>
      <c r="AA361" t="str">
        <f>IFERROR(VLOOKUP(Conso_FCST[[#This Row],[Model name]],Prod_T6[[#All],[Model name]:[Product Conso]],2,0),"exclude")</f>
        <v>exclude</v>
      </c>
    </row>
    <row r="362" spans="1:27" hidden="1">
      <c r="A362" t="s">
        <v>49</v>
      </c>
      <c r="B362" t="s">
        <v>406</v>
      </c>
      <c r="D362" t="s">
        <v>118</v>
      </c>
      <c r="E362" t="s">
        <v>180</v>
      </c>
      <c r="G362" t="s">
        <v>422</v>
      </c>
      <c r="H362" s="184"/>
      <c r="O362">
        <v>0.8</v>
      </c>
      <c r="X362" t="s">
        <v>70</v>
      </c>
      <c r="Y362" t="str">
        <f>VLOOKUP(Conso_FCST[[#This Row],[Country]],'Country-Region'!A:D,4,0)</f>
        <v>Nordics Region</v>
      </c>
      <c r="Z362" t="str">
        <f>VLOOKUP(Conso_FCST[[#This Row],[Country]],'Country-Region'!A:D,3,0)</f>
        <v>Nordics</v>
      </c>
      <c r="AA362" t="str">
        <f>IFERROR(VLOOKUP(Conso_FCST[[#This Row],[Model name]],Prod_T6[[#All],[Model name]:[Product Conso]],2,0),"exclude")</f>
        <v>P7 RES BLK-P</v>
      </c>
    </row>
    <row r="363" spans="1:27" hidden="1">
      <c r="A363" t="s">
        <v>49</v>
      </c>
      <c r="B363" t="s">
        <v>423</v>
      </c>
      <c r="D363" t="s">
        <v>118</v>
      </c>
      <c r="E363" t="s">
        <v>145</v>
      </c>
      <c r="F363" t="s">
        <v>120</v>
      </c>
      <c r="G363" t="s">
        <v>424</v>
      </c>
      <c r="H363" s="184"/>
      <c r="O363">
        <v>1.2</v>
      </c>
      <c r="X363" t="s">
        <v>70</v>
      </c>
      <c r="Y363" t="str">
        <f>VLOOKUP(Conso_FCST[[#This Row],[Country]],'Country-Region'!A:D,4,0)</f>
        <v>Nordics Region</v>
      </c>
      <c r="Z363" t="str">
        <f>VLOOKUP(Conso_FCST[[#This Row],[Country]],'Country-Region'!A:D,3,0)</f>
        <v>Nordics</v>
      </c>
      <c r="AA363" t="str">
        <f>IFERROR(VLOOKUP(Conso_FCST[[#This Row],[Model name]],Prod_T6[[#All],[Model name]:[Product Conso]],2,0),"exclude")</f>
        <v>P7 RES BLK 2.0</v>
      </c>
    </row>
    <row r="364" spans="1:27">
      <c r="A364" t="s">
        <v>49</v>
      </c>
      <c r="B364" t="s">
        <v>406</v>
      </c>
      <c r="D364" t="s">
        <v>141</v>
      </c>
      <c r="E364" t="s">
        <v>46</v>
      </c>
      <c r="F364" t="s">
        <v>154</v>
      </c>
      <c r="G364" t="s">
        <v>425</v>
      </c>
      <c r="H364" s="184"/>
      <c r="X364" t="s">
        <v>27</v>
      </c>
      <c r="Y364" t="str">
        <f>VLOOKUP(Conso_FCST[[#This Row],[Country]],'Country-Region'!A:D,4,0)</f>
        <v>Nordics Region</v>
      </c>
      <c r="Z364" t="str">
        <f>VLOOKUP(Conso_FCST[[#This Row],[Country]],'Country-Region'!A:D,3,0)</f>
        <v>Nordics</v>
      </c>
      <c r="AA364" t="str">
        <f>IFERROR(VLOOKUP(Conso_FCST[[#This Row],[Model name]],Prod_T6[[#All],[Model name]:[Product Conso]],2,0),"exclude")</f>
        <v>BlueArk X5-50K-100</v>
      </c>
    </row>
    <row r="365" spans="1:27" hidden="1">
      <c r="A365" t="s">
        <v>49</v>
      </c>
      <c r="B365" t="s">
        <v>406</v>
      </c>
      <c r="D365" t="s">
        <v>113</v>
      </c>
      <c r="E365" t="s">
        <v>153</v>
      </c>
      <c r="F365" t="s">
        <v>156</v>
      </c>
      <c r="G365" t="s">
        <v>426</v>
      </c>
      <c r="H365" s="184" t="s">
        <v>132</v>
      </c>
      <c r="O365">
        <v>1.6</v>
      </c>
      <c r="X365" t="s">
        <v>70</v>
      </c>
      <c r="Y365" t="str">
        <f>VLOOKUP(Conso_FCST[[#This Row],[Country]],'Country-Region'!A:D,4,0)</f>
        <v>Nordics Region</v>
      </c>
      <c r="Z365" t="str">
        <f>VLOOKUP(Conso_FCST[[#This Row],[Country]],'Country-Region'!A:D,3,0)</f>
        <v>Nordics</v>
      </c>
      <c r="AA365" t="str">
        <f>IFERROR(VLOOKUP(Conso_FCST[[#This Row],[Model name]],Prod_T6[[#All],[Model name]:[Product Conso]],2,0),"exclude")</f>
        <v>HSM-BE54-HD</v>
      </c>
    </row>
    <row r="366" spans="1:27" hidden="1">
      <c r="A366" t="s">
        <v>49</v>
      </c>
      <c r="B366" t="s">
        <v>402</v>
      </c>
      <c r="D366" t="s">
        <v>113</v>
      </c>
      <c r="E366" t="s">
        <v>153</v>
      </c>
      <c r="F366" t="s">
        <v>154</v>
      </c>
      <c r="G366" t="s">
        <v>427</v>
      </c>
      <c r="H366" s="184" t="s">
        <v>132</v>
      </c>
      <c r="O366">
        <v>2</v>
      </c>
      <c r="P366">
        <v>2</v>
      </c>
      <c r="X366" t="s">
        <v>70</v>
      </c>
      <c r="Y366" t="str">
        <f>VLOOKUP(Conso_FCST[[#This Row],[Country]],'Country-Region'!A:D,4,0)</f>
        <v>Nordics Region</v>
      </c>
      <c r="Z366" t="str">
        <f>VLOOKUP(Conso_FCST[[#This Row],[Country]],'Country-Region'!A:D,3,0)</f>
        <v>Nordics</v>
      </c>
      <c r="AA366" t="str">
        <f>IFERROR(VLOOKUP(Conso_FCST[[#This Row],[Model name]],Prod_T6[[#All],[Model name]:[Product Conso]],2,0),"exclude")</f>
        <v>HSM-BE54-HD</v>
      </c>
    </row>
    <row r="367" spans="1:27" hidden="1">
      <c r="A367" t="s">
        <v>49</v>
      </c>
      <c r="B367" t="s">
        <v>428</v>
      </c>
      <c r="D367" t="s">
        <v>54</v>
      </c>
      <c r="E367" t="s">
        <v>297</v>
      </c>
      <c r="F367" t="s">
        <v>136</v>
      </c>
      <c r="G367" t="s">
        <v>429</v>
      </c>
      <c r="H367" s="184" t="s">
        <v>132</v>
      </c>
      <c r="N367">
        <v>10</v>
      </c>
      <c r="X367" t="s">
        <v>70</v>
      </c>
      <c r="Y367" t="str">
        <f>VLOOKUP(Conso_FCST[[#This Row],[Country]],'Country-Region'!A:D,4,0)</f>
        <v>Nordics Region</v>
      </c>
      <c r="Z367" t="str">
        <f>VLOOKUP(Conso_FCST[[#This Row],[Country]],'Country-Region'!A:D,3,0)</f>
        <v>Nordics</v>
      </c>
      <c r="AA367" t="str">
        <f>IFERROR(VLOOKUP(Conso_FCST[[#This Row],[Model name]],Prod_T6[[#All],[Model name]:[Product Conso]],2,0),"exclude")</f>
        <v>HSM-ND66-GR</v>
      </c>
    </row>
    <row r="368" spans="1:27" hidden="1">
      <c r="A368" t="s">
        <v>49</v>
      </c>
      <c r="B368" t="s">
        <v>402</v>
      </c>
      <c r="D368" t="s">
        <v>54</v>
      </c>
      <c r="E368" t="s">
        <v>166</v>
      </c>
      <c r="F368" t="s">
        <v>136</v>
      </c>
      <c r="G368" t="s">
        <v>429</v>
      </c>
      <c r="H368" s="184" t="s">
        <v>132</v>
      </c>
      <c r="N368">
        <v>5</v>
      </c>
      <c r="X368" t="s">
        <v>70</v>
      </c>
      <c r="Y368" t="str">
        <f>VLOOKUP(Conso_FCST[[#This Row],[Country]],'Country-Region'!A:D,4,0)</f>
        <v>Nordics Region</v>
      </c>
      <c r="Z368" t="str">
        <f>VLOOKUP(Conso_FCST[[#This Row],[Country]],'Country-Region'!A:D,3,0)</f>
        <v>Nordics</v>
      </c>
      <c r="AA368" t="str">
        <f>IFERROR(VLOOKUP(Conso_FCST[[#This Row],[Model name]],Prod_T6[[#All],[Model name]:[Product Conso]],2,0),"exclude")</f>
        <v>HSM-ND66-GR</v>
      </c>
    </row>
    <row r="369" spans="1:27" hidden="1">
      <c r="A369" t="s">
        <v>49</v>
      </c>
      <c r="B369" t="s">
        <v>430</v>
      </c>
      <c r="C369" t="s">
        <v>403</v>
      </c>
      <c r="D369" t="s">
        <v>276</v>
      </c>
      <c r="E369" t="s">
        <v>366</v>
      </c>
      <c r="F369" t="s">
        <v>130</v>
      </c>
      <c r="G369" t="s">
        <v>431</v>
      </c>
      <c r="H369" s="184" t="s">
        <v>117</v>
      </c>
      <c r="J369">
        <v>0.2</v>
      </c>
      <c r="X369" t="s">
        <v>70</v>
      </c>
      <c r="Y369" t="str">
        <f>VLOOKUP(Conso_FCST[[#This Row],[Country]],'Country-Region'!A:D,4,0)</f>
        <v>Nordics Region</v>
      </c>
      <c r="Z369" t="str">
        <f>VLOOKUP(Conso_FCST[[#This Row],[Country]],'Country-Region'!A:D,3,0)</f>
        <v>Nordics</v>
      </c>
      <c r="AA369" t="str">
        <f>IFERROR(VLOOKUP(Conso_FCST[[#This Row],[Model name]],Prod_T6[[#All],[Model name]:[Product Conso]],2,0),"exclude")</f>
        <v>SPR-BE54-DC</v>
      </c>
    </row>
    <row r="370" spans="1:27" hidden="1">
      <c r="A370" t="s">
        <v>49</v>
      </c>
      <c r="B370" t="s">
        <v>432</v>
      </c>
      <c r="C370" t="s">
        <v>403</v>
      </c>
      <c r="D370" t="s">
        <v>149</v>
      </c>
      <c r="E370" t="s">
        <v>433</v>
      </c>
      <c r="F370" t="s">
        <v>213</v>
      </c>
      <c r="G370" t="s">
        <v>434</v>
      </c>
      <c r="H370" s="184" t="s">
        <v>132</v>
      </c>
      <c r="N370">
        <v>2</v>
      </c>
      <c r="X370" t="s">
        <v>70</v>
      </c>
      <c r="Y370" t="str">
        <f>VLOOKUP(Conso_FCST[[#This Row],[Country]],'Country-Region'!A:D,4,0)</f>
        <v>Nordics Region</v>
      </c>
      <c r="Z370" t="str">
        <f>VLOOKUP(Conso_FCST[[#This Row],[Country]],'Country-Region'!A:D,3,0)</f>
        <v>Nordics</v>
      </c>
      <c r="AA370" t="str">
        <f>IFERROR(VLOOKUP(Conso_FCST[[#This Row],[Model name]],Prod_T6[[#All],[Model name]:[Product Conso]],2,0),"exclude")</f>
        <v>exclude</v>
      </c>
    </row>
    <row r="371" spans="1:27" hidden="1">
      <c r="A371" t="s">
        <v>49</v>
      </c>
      <c r="B371" t="s">
        <v>402</v>
      </c>
      <c r="C371" t="s">
        <v>403</v>
      </c>
      <c r="D371" t="s">
        <v>54</v>
      </c>
      <c r="E371" t="s">
        <v>170</v>
      </c>
      <c r="F371" t="s">
        <v>154</v>
      </c>
      <c r="G371" t="s">
        <v>435</v>
      </c>
      <c r="H371" s="184" t="s">
        <v>132</v>
      </c>
      <c r="I371">
        <v>2</v>
      </c>
      <c r="X371" t="s">
        <v>70</v>
      </c>
      <c r="Y371" t="str">
        <f>VLOOKUP(Conso_FCST[[#This Row],[Country]],'Country-Region'!A:D,4,0)</f>
        <v>Nordics Region</v>
      </c>
      <c r="Z371" t="str">
        <f>VLOOKUP(Conso_FCST[[#This Row],[Country]],'Country-Region'!A:D,3,0)</f>
        <v>Nordics</v>
      </c>
      <c r="AA371" t="str">
        <f>IFERROR(VLOOKUP(Conso_FCST[[#This Row],[Model name]],Prod_T6[[#All],[Model name]:[Product Conso]],2,0),"exclude")</f>
        <v>HSM-ND66-GR</v>
      </c>
    </row>
    <row r="372" spans="1:27" hidden="1">
      <c r="A372" t="s">
        <v>49</v>
      </c>
      <c r="B372" t="s">
        <v>436</v>
      </c>
      <c r="D372" t="s">
        <v>54</v>
      </c>
      <c r="E372" t="s">
        <v>159</v>
      </c>
      <c r="F372" t="s">
        <v>156</v>
      </c>
      <c r="H372" s="184" t="s">
        <v>132</v>
      </c>
      <c r="I372">
        <v>2.4</v>
      </c>
      <c r="X372" t="s">
        <v>70</v>
      </c>
      <c r="Y372" t="str">
        <f>VLOOKUP(Conso_FCST[[#This Row],[Country]],'Country-Region'!A:D,4,0)</f>
        <v>Nordics Region</v>
      </c>
      <c r="Z372" t="str">
        <f>VLOOKUP(Conso_FCST[[#This Row],[Country]],'Country-Region'!A:D,3,0)</f>
        <v>Nordics</v>
      </c>
      <c r="AA372" t="str">
        <f>IFERROR(VLOOKUP(Conso_FCST[[#This Row],[Model name]],Prod_T6[[#All],[Model name]:[Product Conso]],2,0),"exclude")</f>
        <v>HSM-ND48-DR</v>
      </c>
    </row>
    <row r="373" spans="1:27" hidden="1">
      <c r="A373" t="s">
        <v>49</v>
      </c>
      <c r="B373" t="s">
        <v>436</v>
      </c>
      <c r="D373" t="s">
        <v>54</v>
      </c>
      <c r="E373" t="s">
        <v>160</v>
      </c>
      <c r="F373" t="s">
        <v>156</v>
      </c>
      <c r="H373" s="184" t="s">
        <v>132</v>
      </c>
      <c r="I373">
        <v>2</v>
      </c>
      <c r="X373" t="s">
        <v>70</v>
      </c>
      <c r="Y373" t="str">
        <f>VLOOKUP(Conso_FCST[[#This Row],[Country]],'Country-Region'!A:D,4,0)</f>
        <v>Nordics Region</v>
      </c>
      <c r="Z373" t="str">
        <f>VLOOKUP(Conso_FCST[[#This Row],[Country]],'Country-Region'!A:D,3,0)</f>
        <v>Nordics</v>
      </c>
      <c r="AA373" t="str">
        <f>IFERROR(VLOOKUP(Conso_FCST[[#This Row],[Model name]],Prod_T6[[#All],[Model name]:[Product Conso]],2,0),"exclude")</f>
        <v>HSM-ND54-DR</v>
      </c>
    </row>
    <row r="374" spans="1:27" hidden="1">
      <c r="A374" t="s">
        <v>49</v>
      </c>
      <c r="B374" t="s">
        <v>406</v>
      </c>
      <c r="D374" t="s">
        <v>54</v>
      </c>
      <c r="E374" t="s">
        <v>159</v>
      </c>
      <c r="F374" t="s">
        <v>136</v>
      </c>
      <c r="G374" t="s">
        <v>437</v>
      </c>
      <c r="H374" s="184" t="s">
        <v>117</v>
      </c>
      <c r="J374">
        <v>2</v>
      </c>
      <c r="K374">
        <v>2</v>
      </c>
      <c r="M374">
        <v>1</v>
      </c>
      <c r="N374">
        <v>1</v>
      </c>
      <c r="X374" t="s">
        <v>70</v>
      </c>
      <c r="Y374" t="str">
        <f>VLOOKUP(Conso_FCST[[#This Row],[Country]],'Country-Region'!A:D,4,0)</f>
        <v>Nordics Region</v>
      </c>
      <c r="Z374" t="str">
        <f>VLOOKUP(Conso_FCST[[#This Row],[Country]],'Country-Region'!A:D,3,0)</f>
        <v>Nordics</v>
      </c>
      <c r="AA374" t="str">
        <f>IFERROR(VLOOKUP(Conso_FCST[[#This Row],[Model name]],Prod_T6[[#All],[Model name]:[Product Conso]],2,0),"exclude")</f>
        <v>HSM-ND48-DR</v>
      </c>
    </row>
    <row r="375" spans="1:27" hidden="1">
      <c r="A375" t="s">
        <v>49</v>
      </c>
      <c r="B375" t="s">
        <v>406</v>
      </c>
      <c r="D375" t="s">
        <v>54</v>
      </c>
      <c r="E375" t="s">
        <v>160</v>
      </c>
      <c r="F375" t="s">
        <v>130</v>
      </c>
      <c r="G375" t="s">
        <v>437</v>
      </c>
      <c r="H375" s="184" t="s">
        <v>117</v>
      </c>
      <c r="M375">
        <v>1</v>
      </c>
      <c r="X375" t="s">
        <v>70</v>
      </c>
      <c r="Y375" t="str">
        <f>VLOOKUP(Conso_FCST[[#This Row],[Country]],'Country-Region'!A:D,4,0)</f>
        <v>Nordics Region</v>
      </c>
      <c r="Z375" t="str">
        <f>VLOOKUP(Conso_FCST[[#This Row],[Country]],'Country-Region'!A:D,3,0)</f>
        <v>Nordics</v>
      </c>
      <c r="AA375" t="str">
        <f>IFERROR(VLOOKUP(Conso_FCST[[#This Row],[Model name]],Prod_T6[[#All],[Model name]:[Product Conso]],2,0),"exclude")</f>
        <v>HSM-ND54-DR</v>
      </c>
    </row>
    <row r="376" spans="1:27">
      <c r="A376" t="s">
        <v>49</v>
      </c>
      <c r="B376" t="s">
        <v>406</v>
      </c>
      <c r="D376" t="s">
        <v>141</v>
      </c>
      <c r="E376" t="s">
        <v>50</v>
      </c>
      <c r="F376" t="s">
        <v>136</v>
      </c>
      <c r="G376" t="s">
        <v>438</v>
      </c>
      <c r="H376" s="184"/>
      <c r="X376" t="s">
        <v>27</v>
      </c>
      <c r="Y376" t="str">
        <f>VLOOKUP(Conso_FCST[[#This Row],[Country]],'Country-Region'!A:D,4,0)</f>
        <v>Nordics Region</v>
      </c>
      <c r="Z376" t="str">
        <f>VLOOKUP(Conso_FCST[[#This Row],[Country]],'Country-Region'!A:D,3,0)</f>
        <v>Nordics</v>
      </c>
      <c r="AA376" t="str">
        <f>IFERROR(VLOOKUP(Conso_FCST[[#This Row],[Model name]],Prod_T6[[#All],[Model name]:[Product Conso]],2,0),"exclude")</f>
        <v>BlueArk W10-125K-261</v>
      </c>
    </row>
    <row r="377" spans="1:27" hidden="1">
      <c r="A377" t="s">
        <v>49</v>
      </c>
      <c r="B377" t="s">
        <v>406</v>
      </c>
      <c r="D377" t="s">
        <v>54</v>
      </c>
      <c r="E377" t="s">
        <v>170</v>
      </c>
      <c r="F377" t="s">
        <v>136</v>
      </c>
      <c r="G377" t="s">
        <v>437</v>
      </c>
      <c r="H377" s="184" t="s">
        <v>117</v>
      </c>
      <c r="J377">
        <v>0.8</v>
      </c>
      <c r="L377">
        <v>0.8</v>
      </c>
      <c r="X377" t="s">
        <v>70</v>
      </c>
      <c r="Y377" t="str">
        <f>VLOOKUP(Conso_FCST[[#This Row],[Country]],'Country-Region'!A:D,4,0)</f>
        <v>Nordics Region</v>
      </c>
      <c r="Z377" t="str">
        <f>VLOOKUP(Conso_FCST[[#This Row],[Country]],'Country-Region'!A:D,3,0)</f>
        <v>Nordics</v>
      </c>
      <c r="AA377" t="str">
        <f>IFERROR(VLOOKUP(Conso_FCST[[#This Row],[Model name]],Prod_T6[[#All],[Model name]:[Product Conso]],2,0),"exclude")</f>
        <v>HSM-ND66-GR</v>
      </c>
    </row>
    <row r="378" spans="1:27" hidden="1">
      <c r="A378" t="s">
        <v>49</v>
      </c>
      <c r="B378" t="s">
        <v>402</v>
      </c>
      <c r="D378" t="s">
        <v>118</v>
      </c>
      <c r="E378" t="s">
        <v>145</v>
      </c>
      <c r="F378" t="s">
        <v>213</v>
      </c>
      <c r="G378" t="s">
        <v>439</v>
      </c>
      <c r="H378" s="184" t="s">
        <v>132</v>
      </c>
      <c r="K378">
        <v>1</v>
      </c>
      <c r="L378">
        <v>1</v>
      </c>
      <c r="M378">
        <v>1</v>
      </c>
      <c r="X378" t="s">
        <v>70</v>
      </c>
      <c r="Y378" t="str">
        <f>VLOOKUP(Conso_FCST[[#This Row],[Country]],'Country-Region'!A:D,4,0)</f>
        <v>Nordics Region</v>
      </c>
      <c r="Z378" t="str">
        <f>VLOOKUP(Conso_FCST[[#This Row],[Country]],'Country-Region'!A:D,3,0)</f>
        <v>Nordics</v>
      </c>
      <c r="AA378" t="str">
        <f>IFERROR(VLOOKUP(Conso_FCST[[#This Row],[Model name]],Prod_T6[[#All],[Model name]:[Product Conso]],2,0),"exclude")</f>
        <v>P7 RES BLK 2.0</v>
      </c>
    </row>
    <row r="379" spans="1:27" hidden="1">
      <c r="A379" t="s">
        <v>49</v>
      </c>
      <c r="B379" t="s">
        <v>406</v>
      </c>
      <c r="D379" t="s">
        <v>54</v>
      </c>
      <c r="E379" t="s">
        <v>166</v>
      </c>
      <c r="F379" t="s">
        <v>213</v>
      </c>
      <c r="G379" t="s">
        <v>440</v>
      </c>
      <c r="H379" s="184" t="s">
        <v>117</v>
      </c>
      <c r="L379">
        <v>0.5</v>
      </c>
      <c r="M379">
        <v>0.5</v>
      </c>
      <c r="N379">
        <v>0.5</v>
      </c>
      <c r="X379" t="s">
        <v>70</v>
      </c>
      <c r="Y379" t="str">
        <f>VLOOKUP(Conso_FCST[[#This Row],[Country]],'Country-Region'!A:D,4,0)</f>
        <v>Nordics Region</v>
      </c>
      <c r="Z379" t="str">
        <f>VLOOKUP(Conso_FCST[[#This Row],[Country]],'Country-Region'!A:D,3,0)</f>
        <v>Nordics</v>
      </c>
      <c r="AA379" t="str">
        <f>IFERROR(VLOOKUP(Conso_FCST[[#This Row],[Model name]],Prod_T6[[#All],[Model name]:[Product Conso]],2,0),"exclude")</f>
        <v>HSM-ND66-GR</v>
      </c>
    </row>
    <row r="380" spans="1:27" hidden="1">
      <c r="A380" t="s">
        <v>49</v>
      </c>
      <c r="B380" t="s">
        <v>406</v>
      </c>
      <c r="D380" t="s">
        <v>118</v>
      </c>
      <c r="E380" t="s">
        <v>119</v>
      </c>
      <c r="F380" t="s">
        <v>213</v>
      </c>
      <c r="G380" t="s">
        <v>441</v>
      </c>
      <c r="H380" s="184" t="s">
        <v>117</v>
      </c>
      <c r="L380">
        <v>1</v>
      </c>
      <c r="N380">
        <v>1</v>
      </c>
      <c r="X380" t="s">
        <v>70</v>
      </c>
      <c r="Y380" t="str">
        <f>VLOOKUP(Conso_FCST[[#This Row],[Country]],'Country-Region'!A:D,4,0)</f>
        <v>Nordics Region</v>
      </c>
      <c r="Z380" t="str">
        <f>VLOOKUP(Conso_FCST[[#This Row],[Country]],'Country-Region'!A:D,3,0)</f>
        <v>Nordics</v>
      </c>
      <c r="AA380" t="str">
        <f>IFERROR(VLOOKUP(Conso_FCST[[#This Row],[Model name]],Prod_T6[[#All],[Model name]:[Product Conso]],2,0),"exclude")</f>
        <v>P7 RES BLK 2.0</v>
      </c>
    </row>
    <row r="381" spans="1:27" hidden="1">
      <c r="A381" t="s">
        <v>49</v>
      </c>
      <c r="B381" t="s">
        <v>402</v>
      </c>
      <c r="D381" t="s">
        <v>314</v>
      </c>
      <c r="E381" t="s">
        <v>442</v>
      </c>
      <c r="F381" t="s">
        <v>115</v>
      </c>
      <c r="G381" t="s">
        <v>443</v>
      </c>
      <c r="H381" s="184" t="s">
        <v>132</v>
      </c>
      <c r="J381">
        <v>3</v>
      </c>
      <c r="K381">
        <v>3</v>
      </c>
      <c r="X381" t="s">
        <v>70</v>
      </c>
      <c r="Y381" t="str">
        <f>VLOOKUP(Conso_FCST[[#This Row],[Country]],'Country-Region'!A:D,4,0)</f>
        <v>Nordics Region</v>
      </c>
      <c r="Z381" t="str">
        <f>VLOOKUP(Conso_FCST[[#This Row],[Country]],'Country-Region'!A:D,3,0)</f>
        <v>Nordics</v>
      </c>
      <c r="AA381" t="str">
        <f>IFERROR(VLOOKUP(Conso_FCST[[#This Row],[Model name]],Prod_T6[[#All],[Model name]:[Product Conso]],2,0),"exclude")</f>
        <v>TCL-MG720DT210-68NS</v>
      </c>
    </row>
    <row r="382" spans="1:27" hidden="1">
      <c r="A382" t="s">
        <v>49</v>
      </c>
      <c r="B382" t="s">
        <v>406</v>
      </c>
      <c r="D382" t="s">
        <v>149</v>
      </c>
      <c r="E382" t="s">
        <v>289</v>
      </c>
      <c r="F382" t="s">
        <v>213</v>
      </c>
      <c r="G382" t="s">
        <v>444</v>
      </c>
      <c r="H382" s="184" t="s">
        <v>117</v>
      </c>
      <c r="M382">
        <v>1</v>
      </c>
      <c r="N382">
        <v>1</v>
      </c>
      <c r="O382">
        <v>1</v>
      </c>
      <c r="P382">
        <v>1</v>
      </c>
      <c r="X382" t="s">
        <v>70</v>
      </c>
      <c r="Y382" t="str">
        <f>VLOOKUP(Conso_FCST[[#This Row],[Country]],'Country-Region'!A:D,4,0)</f>
        <v>Nordics Region</v>
      </c>
      <c r="Z382" t="str">
        <f>VLOOKUP(Conso_FCST[[#This Row],[Country]],'Country-Region'!A:D,3,0)</f>
        <v>Nordics</v>
      </c>
      <c r="AA382" t="str">
        <f>IFERROR(VLOOKUP(Conso_FCST[[#This Row],[Model name]],Prod_T6[[#All],[Model name]:[Product Conso]],2,0),"exclude")</f>
        <v>exclude</v>
      </c>
    </row>
    <row r="383" spans="1:27" hidden="1">
      <c r="A383" t="s">
        <v>49</v>
      </c>
      <c r="B383" t="s">
        <v>402</v>
      </c>
      <c r="D383" t="s">
        <v>149</v>
      </c>
      <c r="E383" t="s">
        <v>289</v>
      </c>
      <c r="F383" t="s">
        <v>213</v>
      </c>
      <c r="G383" t="s">
        <v>444</v>
      </c>
      <c r="H383" s="184" t="s">
        <v>162</v>
      </c>
      <c r="M383">
        <v>1</v>
      </c>
      <c r="N383">
        <v>1</v>
      </c>
      <c r="O383">
        <v>1</v>
      </c>
      <c r="P383">
        <v>1</v>
      </c>
      <c r="X383" t="s">
        <v>70</v>
      </c>
      <c r="Y383" t="str">
        <f>VLOOKUP(Conso_FCST[[#This Row],[Country]],'Country-Region'!A:D,4,0)</f>
        <v>Nordics Region</v>
      </c>
      <c r="Z383" t="str">
        <f>VLOOKUP(Conso_FCST[[#This Row],[Country]],'Country-Region'!A:D,3,0)</f>
        <v>Nordics</v>
      </c>
      <c r="AA383" t="str">
        <f>IFERROR(VLOOKUP(Conso_FCST[[#This Row],[Model name]],Prod_T6[[#All],[Model name]:[Product Conso]],2,0),"exclude")</f>
        <v>exclude</v>
      </c>
    </row>
    <row r="384" spans="1:27" hidden="1">
      <c r="A384" t="s">
        <v>49</v>
      </c>
      <c r="B384" t="s">
        <v>406</v>
      </c>
      <c r="D384" t="s">
        <v>54</v>
      </c>
      <c r="E384" t="s">
        <v>170</v>
      </c>
      <c r="F384" t="s">
        <v>156</v>
      </c>
      <c r="H384" s="184" t="s">
        <v>117</v>
      </c>
      <c r="K384">
        <v>0.4</v>
      </c>
      <c r="X384" t="s">
        <v>70</v>
      </c>
      <c r="Y384" t="str">
        <f>VLOOKUP(Conso_FCST[[#This Row],[Country]],'Country-Region'!A:D,4,0)</f>
        <v>Nordics Region</v>
      </c>
      <c r="Z384" t="str">
        <f>VLOOKUP(Conso_FCST[[#This Row],[Country]],'Country-Region'!A:D,3,0)</f>
        <v>Nordics</v>
      </c>
      <c r="AA384" t="str">
        <f>IFERROR(VLOOKUP(Conso_FCST[[#This Row],[Model name]],Prod_T6[[#All],[Model name]:[Product Conso]],2,0),"exclude")</f>
        <v>HSM-ND66-GR</v>
      </c>
    </row>
    <row r="385" spans="1:27" hidden="1">
      <c r="A385" t="s">
        <v>49</v>
      </c>
      <c r="B385" t="s">
        <v>402</v>
      </c>
      <c r="D385" t="s">
        <v>54</v>
      </c>
      <c r="E385" t="s">
        <v>159</v>
      </c>
      <c r="F385" t="s">
        <v>213</v>
      </c>
      <c r="G385" t="s">
        <v>437</v>
      </c>
      <c r="H385" s="184" t="s">
        <v>132</v>
      </c>
      <c r="K385">
        <v>2</v>
      </c>
      <c r="L385">
        <v>2</v>
      </c>
      <c r="M385">
        <v>2</v>
      </c>
      <c r="N385">
        <v>2</v>
      </c>
      <c r="X385" t="s">
        <v>70</v>
      </c>
      <c r="Y385" t="str">
        <f>VLOOKUP(Conso_FCST[[#This Row],[Country]],'Country-Region'!A:D,4,0)</f>
        <v>Nordics Region</v>
      </c>
      <c r="Z385" t="str">
        <f>VLOOKUP(Conso_FCST[[#This Row],[Country]],'Country-Region'!A:D,3,0)</f>
        <v>Nordics</v>
      </c>
      <c r="AA385" t="str">
        <f>IFERROR(VLOOKUP(Conso_FCST[[#This Row],[Model name]],Prod_T6[[#All],[Model name]:[Product Conso]],2,0),"exclude")</f>
        <v>HSM-ND48-DR</v>
      </c>
    </row>
    <row r="386" spans="1:27" hidden="1">
      <c r="A386" t="s">
        <v>49</v>
      </c>
      <c r="B386" t="s">
        <v>406</v>
      </c>
      <c r="D386" t="s">
        <v>54</v>
      </c>
      <c r="E386" t="s">
        <v>159</v>
      </c>
      <c r="F386" t="s">
        <v>136</v>
      </c>
      <c r="G386" t="s">
        <v>445</v>
      </c>
      <c r="H386" s="184"/>
      <c r="X386" t="s">
        <v>70</v>
      </c>
      <c r="Y386" t="str">
        <f>VLOOKUP(Conso_FCST[[#This Row],[Country]],'Country-Region'!A:D,4,0)</f>
        <v>Nordics Region</v>
      </c>
      <c r="Z386" t="str">
        <f>VLOOKUP(Conso_FCST[[#This Row],[Country]],'Country-Region'!A:D,3,0)</f>
        <v>Nordics</v>
      </c>
      <c r="AA386" t="str">
        <f>IFERROR(VLOOKUP(Conso_FCST[[#This Row],[Model name]],Prod_T6[[#All],[Model name]:[Product Conso]],2,0),"exclude")</f>
        <v>HSM-ND48-DR</v>
      </c>
    </row>
    <row r="387" spans="1:27" hidden="1">
      <c r="A387" t="s">
        <v>446</v>
      </c>
      <c r="B387" t="s">
        <v>165</v>
      </c>
      <c r="D387" t="s">
        <v>54</v>
      </c>
      <c r="E387" t="s">
        <v>166</v>
      </c>
      <c r="F387" t="s">
        <v>213</v>
      </c>
      <c r="G387" t="s">
        <v>447</v>
      </c>
      <c r="H387" s="184" t="s">
        <v>132</v>
      </c>
      <c r="P387">
        <v>1.2</v>
      </c>
      <c r="X387" t="s">
        <v>70</v>
      </c>
      <c r="Y387" t="str">
        <f>VLOOKUP(Conso_FCST[[#This Row],[Country]],'Country-Region'!A:D,4,0)</f>
        <v>Southern Europe Region</v>
      </c>
      <c r="Z387" t="str">
        <f>VLOOKUP(Conso_FCST[[#This Row],[Country]],'Country-Region'!A:D,3,0)</f>
        <v>Southern Europe Region</v>
      </c>
      <c r="AA387" t="str">
        <f>IFERROR(VLOOKUP(Conso_FCST[[#This Row],[Model name]],Prod_T6[[#All],[Model name]:[Product Conso]],2,0),"exclude")</f>
        <v>HSM-ND66-GR</v>
      </c>
    </row>
    <row r="388" spans="1:27" hidden="1">
      <c r="A388" t="s">
        <v>88</v>
      </c>
      <c r="B388" t="s">
        <v>448</v>
      </c>
      <c r="D388" t="s">
        <v>118</v>
      </c>
      <c r="E388" t="s">
        <v>255</v>
      </c>
      <c r="F388" t="s">
        <v>115</v>
      </c>
      <c r="G388" t="s">
        <v>449</v>
      </c>
      <c r="H388" s="184" t="s">
        <v>117</v>
      </c>
      <c r="K388">
        <v>1.4</v>
      </c>
      <c r="X388" t="s">
        <v>70</v>
      </c>
      <c r="Y388" t="str">
        <f>VLOOKUP(Conso_FCST[[#This Row],[Country]],'Country-Region'!A:D,4,0)</f>
        <v>Central and Eastern Europe Region</v>
      </c>
      <c r="Z388" t="str">
        <f>VLOOKUP(Conso_FCST[[#This Row],[Country]],'Country-Region'!A:D,3,0)</f>
        <v>C&amp;E EU</v>
      </c>
      <c r="AA388" t="str">
        <f>IFERROR(VLOOKUP(Conso_FCST[[#This Row],[Model name]],Prod_T6[[#All],[Model name]:[Product Conso]],2,0),"exclude")</f>
        <v>P7 COM S BF IT</v>
      </c>
    </row>
    <row r="389" spans="1:27" hidden="1">
      <c r="A389" t="s">
        <v>88</v>
      </c>
      <c r="B389" t="s">
        <v>450</v>
      </c>
      <c r="D389" t="s">
        <v>54</v>
      </c>
      <c r="E389" t="s">
        <v>299</v>
      </c>
      <c r="F389" t="s">
        <v>115</v>
      </c>
      <c r="G389" t="s">
        <v>451</v>
      </c>
      <c r="H389" s="184" t="s">
        <v>132</v>
      </c>
      <c r="M389">
        <v>5</v>
      </c>
      <c r="N389">
        <v>5</v>
      </c>
      <c r="O389">
        <v>5</v>
      </c>
      <c r="X389" t="s">
        <v>70</v>
      </c>
      <c r="Y389" t="str">
        <f>VLOOKUP(Conso_FCST[[#This Row],[Country]],'Country-Region'!A:D,4,0)</f>
        <v>Central and Eastern Europe Region</v>
      </c>
      <c r="Z389" t="str">
        <f>VLOOKUP(Conso_FCST[[#This Row],[Country]],'Country-Region'!A:D,3,0)</f>
        <v>C&amp;E EU</v>
      </c>
      <c r="AA389" t="str">
        <f>IFERROR(VLOOKUP(Conso_FCST[[#This Row],[Model name]],Prod_T6[[#All],[Model name]:[Product Conso]],2,0),"exclude")</f>
        <v>HSM-ND66-GK</v>
      </c>
    </row>
    <row r="390" spans="1:27" hidden="1">
      <c r="A390" t="s">
        <v>88</v>
      </c>
      <c r="B390" t="s">
        <v>452</v>
      </c>
      <c r="D390" t="s">
        <v>54</v>
      </c>
      <c r="E390" t="s">
        <v>170</v>
      </c>
      <c r="F390" t="s">
        <v>136</v>
      </c>
      <c r="G390" t="s">
        <v>453</v>
      </c>
      <c r="H390" s="184" t="s">
        <v>132</v>
      </c>
      <c r="J390">
        <v>1</v>
      </c>
      <c r="N390">
        <v>1</v>
      </c>
      <c r="X390" t="s">
        <v>70</v>
      </c>
      <c r="Y390" t="str">
        <f>VLOOKUP(Conso_FCST[[#This Row],[Country]],'Country-Region'!A:D,4,0)</f>
        <v>Central and Eastern Europe Region</v>
      </c>
      <c r="Z390" t="str">
        <f>VLOOKUP(Conso_FCST[[#This Row],[Country]],'Country-Region'!A:D,3,0)</f>
        <v>C&amp;E EU</v>
      </c>
      <c r="AA390" t="str">
        <f>IFERROR(VLOOKUP(Conso_FCST[[#This Row],[Model name]],Prod_T6[[#All],[Model name]:[Product Conso]],2,0),"exclude")</f>
        <v>HSM-ND66-GR</v>
      </c>
    </row>
    <row r="391" spans="1:27" hidden="1">
      <c r="A391" t="s">
        <v>88</v>
      </c>
      <c r="B391" t="s">
        <v>452</v>
      </c>
      <c r="D391" t="s">
        <v>54</v>
      </c>
      <c r="E391" t="s">
        <v>170</v>
      </c>
      <c r="F391" t="s">
        <v>136</v>
      </c>
      <c r="G391" t="s">
        <v>453</v>
      </c>
      <c r="H391" s="184" t="s">
        <v>132</v>
      </c>
      <c r="O391">
        <v>4</v>
      </c>
      <c r="X391" t="s">
        <v>70</v>
      </c>
      <c r="Y391" t="str">
        <f>VLOOKUP(Conso_FCST[[#This Row],[Country]],'Country-Region'!A:D,4,0)</f>
        <v>Central and Eastern Europe Region</v>
      </c>
      <c r="Z391" t="str">
        <f>VLOOKUP(Conso_FCST[[#This Row],[Country]],'Country-Region'!A:D,3,0)</f>
        <v>C&amp;E EU</v>
      </c>
      <c r="AA391" t="str">
        <f>IFERROR(VLOOKUP(Conso_FCST[[#This Row],[Model name]],Prod_T6[[#All],[Model name]:[Product Conso]],2,0),"exclude")</f>
        <v>HSM-ND66-GR</v>
      </c>
    </row>
    <row r="392" spans="1:27" hidden="1">
      <c r="A392" t="s">
        <v>88</v>
      </c>
      <c r="B392" t="s">
        <v>452</v>
      </c>
      <c r="D392" t="s">
        <v>54</v>
      </c>
      <c r="E392" t="s">
        <v>170</v>
      </c>
      <c r="F392" t="s">
        <v>136</v>
      </c>
      <c r="G392" t="s">
        <v>453</v>
      </c>
      <c r="H392" s="184" t="s">
        <v>132</v>
      </c>
      <c r="O392">
        <v>4</v>
      </c>
      <c r="X392" t="s">
        <v>70</v>
      </c>
      <c r="Y392" t="str">
        <f>VLOOKUP(Conso_FCST[[#This Row],[Country]],'Country-Region'!A:D,4,0)</f>
        <v>Central and Eastern Europe Region</v>
      </c>
      <c r="Z392" t="str">
        <f>VLOOKUP(Conso_FCST[[#This Row],[Country]],'Country-Region'!A:D,3,0)</f>
        <v>C&amp;E EU</v>
      </c>
      <c r="AA392" t="str">
        <f>IFERROR(VLOOKUP(Conso_FCST[[#This Row],[Model name]],Prod_T6[[#All],[Model name]:[Product Conso]],2,0),"exclude")</f>
        <v>HSM-ND66-GR</v>
      </c>
    </row>
    <row r="393" spans="1:27" hidden="1">
      <c r="A393" t="s">
        <v>88</v>
      </c>
      <c r="B393" t="s">
        <v>452</v>
      </c>
      <c r="D393" t="s">
        <v>54</v>
      </c>
      <c r="E393" t="s">
        <v>170</v>
      </c>
      <c r="F393" t="s">
        <v>115</v>
      </c>
      <c r="G393" t="s">
        <v>454</v>
      </c>
      <c r="H393" s="184" t="s">
        <v>132</v>
      </c>
      <c r="N393">
        <v>5.2</v>
      </c>
      <c r="X393" t="s">
        <v>70</v>
      </c>
      <c r="Y393" t="str">
        <f>VLOOKUP(Conso_FCST[[#This Row],[Country]],'Country-Region'!A:D,4,0)</f>
        <v>Central and Eastern Europe Region</v>
      </c>
      <c r="Z393" t="str">
        <f>VLOOKUP(Conso_FCST[[#This Row],[Country]],'Country-Region'!A:D,3,0)</f>
        <v>C&amp;E EU</v>
      </c>
      <c r="AA393" t="str">
        <f>IFERROR(VLOOKUP(Conso_FCST[[#This Row],[Model name]],Prod_T6[[#All],[Model name]:[Product Conso]],2,0),"exclude")</f>
        <v>HSM-ND66-GR</v>
      </c>
    </row>
    <row r="394" spans="1:27" hidden="1">
      <c r="A394" t="s">
        <v>88</v>
      </c>
      <c r="B394" t="s">
        <v>452</v>
      </c>
      <c r="D394" t="s">
        <v>314</v>
      </c>
      <c r="E394" t="s">
        <v>442</v>
      </c>
      <c r="F394" t="s">
        <v>115</v>
      </c>
      <c r="G394" t="s">
        <v>455</v>
      </c>
      <c r="H394" s="184" t="s">
        <v>132</v>
      </c>
      <c r="N394">
        <v>1</v>
      </c>
      <c r="X394" t="s">
        <v>70</v>
      </c>
      <c r="Y394" t="str">
        <f>VLOOKUP(Conso_FCST[[#This Row],[Country]],'Country-Region'!A:D,4,0)</f>
        <v>Central and Eastern Europe Region</v>
      </c>
      <c r="Z394" t="str">
        <f>VLOOKUP(Conso_FCST[[#This Row],[Country]],'Country-Region'!A:D,3,0)</f>
        <v>C&amp;E EU</v>
      </c>
      <c r="AA394" t="str">
        <f>IFERROR(VLOOKUP(Conso_FCST[[#This Row],[Model name]],Prod_T6[[#All],[Model name]:[Product Conso]],2,0),"exclude")</f>
        <v>TCL-MG720DT210-68NS</v>
      </c>
    </row>
    <row r="395" spans="1:27" hidden="1">
      <c r="A395" t="s">
        <v>88</v>
      </c>
      <c r="B395" t="s">
        <v>456</v>
      </c>
      <c r="D395" t="s">
        <v>54</v>
      </c>
      <c r="E395" t="s">
        <v>299</v>
      </c>
      <c r="F395" t="s">
        <v>115</v>
      </c>
      <c r="G395" t="s">
        <v>457</v>
      </c>
      <c r="H395" s="184" t="s">
        <v>132</v>
      </c>
      <c r="O395">
        <v>20</v>
      </c>
      <c r="X395" t="s">
        <v>70</v>
      </c>
      <c r="Y395" t="str">
        <f>VLOOKUP(Conso_FCST[[#This Row],[Country]],'Country-Region'!A:D,4,0)</f>
        <v>Central and Eastern Europe Region</v>
      </c>
      <c r="Z395" t="str">
        <f>VLOOKUP(Conso_FCST[[#This Row],[Country]],'Country-Region'!A:D,3,0)</f>
        <v>C&amp;E EU</v>
      </c>
      <c r="AA395" t="str">
        <f>IFERROR(VLOOKUP(Conso_FCST[[#This Row],[Model name]],Prod_T6[[#All],[Model name]:[Product Conso]],2,0),"exclude")</f>
        <v>HSM-ND66-GK</v>
      </c>
    </row>
    <row r="396" spans="1:27" hidden="1">
      <c r="A396" t="s">
        <v>88</v>
      </c>
      <c r="B396" t="s">
        <v>452</v>
      </c>
      <c r="D396" t="s">
        <v>54</v>
      </c>
      <c r="E396" t="s">
        <v>170</v>
      </c>
      <c r="F396" t="s">
        <v>213</v>
      </c>
      <c r="G396" t="s">
        <v>458</v>
      </c>
      <c r="H396" s="184" t="s">
        <v>132</v>
      </c>
      <c r="N396">
        <v>1</v>
      </c>
      <c r="X396" t="s">
        <v>70</v>
      </c>
      <c r="Y396" t="str">
        <f>VLOOKUP(Conso_FCST[[#This Row],[Country]],'Country-Region'!A:D,4,0)</f>
        <v>Central and Eastern Europe Region</v>
      </c>
      <c r="Z396" t="str">
        <f>VLOOKUP(Conso_FCST[[#This Row],[Country]],'Country-Region'!A:D,3,0)</f>
        <v>C&amp;E EU</v>
      </c>
      <c r="AA396" t="str">
        <f>IFERROR(VLOOKUP(Conso_FCST[[#This Row],[Model name]],Prod_T6[[#All],[Model name]:[Product Conso]],2,0),"exclude")</f>
        <v>HSM-ND66-GR</v>
      </c>
    </row>
    <row r="397" spans="1:27" hidden="1">
      <c r="A397" t="s">
        <v>88</v>
      </c>
      <c r="B397" t="s">
        <v>452</v>
      </c>
      <c r="D397" t="s">
        <v>54</v>
      </c>
      <c r="E397" t="s">
        <v>170</v>
      </c>
      <c r="F397" t="s">
        <v>213</v>
      </c>
      <c r="G397" t="s">
        <v>459</v>
      </c>
      <c r="H397" s="184" t="s">
        <v>132</v>
      </c>
      <c r="N397">
        <v>1</v>
      </c>
      <c r="X397" t="s">
        <v>70</v>
      </c>
      <c r="Y397" t="str">
        <f>VLOOKUP(Conso_FCST[[#This Row],[Country]],'Country-Region'!A:D,4,0)</f>
        <v>Central and Eastern Europe Region</v>
      </c>
      <c r="Z397" t="str">
        <f>VLOOKUP(Conso_FCST[[#This Row],[Country]],'Country-Region'!A:D,3,0)</f>
        <v>C&amp;E EU</v>
      </c>
      <c r="AA397" t="str">
        <f>IFERROR(VLOOKUP(Conso_FCST[[#This Row],[Model name]],Prod_T6[[#All],[Model name]:[Product Conso]],2,0),"exclude")</f>
        <v>HSM-ND66-GR</v>
      </c>
    </row>
    <row r="398" spans="1:27" hidden="1">
      <c r="A398" t="s">
        <v>88</v>
      </c>
      <c r="B398" t="s">
        <v>450</v>
      </c>
      <c r="D398" t="s">
        <v>54</v>
      </c>
      <c r="E398" t="s">
        <v>121</v>
      </c>
      <c r="F398" t="s">
        <v>120</v>
      </c>
      <c r="G398" t="s">
        <v>460</v>
      </c>
      <c r="H398" s="184" t="s">
        <v>132</v>
      </c>
      <c r="I398">
        <v>6</v>
      </c>
      <c r="J398">
        <v>6</v>
      </c>
      <c r="K398">
        <v>6</v>
      </c>
      <c r="L398">
        <v>4</v>
      </c>
      <c r="M398">
        <v>4</v>
      </c>
      <c r="N398">
        <v>4</v>
      </c>
      <c r="O398">
        <v>5</v>
      </c>
      <c r="P398">
        <v>5</v>
      </c>
      <c r="X398" t="s">
        <v>70</v>
      </c>
      <c r="Y398" t="str">
        <f>VLOOKUP(Conso_FCST[[#This Row],[Country]],'Country-Region'!A:D,4,0)</f>
        <v>Central and Eastern Europe Region</v>
      </c>
      <c r="Z398" t="str">
        <f>VLOOKUP(Conso_FCST[[#This Row],[Country]],'Country-Region'!A:D,3,0)</f>
        <v>C&amp;E EU</v>
      </c>
      <c r="AA398" t="str">
        <f>IFERROR(VLOOKUP(Conso_FCST[[#This Row],[Model name]],Prod_T6[[#All],[Model name]:[Product Conso]],2,0),"exclude")</f>
        <v>HSM-ND54-DR</v>
      </c>
    </row>
    <row r="399" spans="1:27" hidden="1">
      <c r="A399" t="s">
        <v>88</v>
      </c>
      <c r="B399" t="s">
        <v>461</v>
      </c>
      <c r="D399" t="s">
        <v>54</v>
      </c>
      <c r="E399" t="s">
        <v>121</v>
      </c>
      <c r="F399" t="s">
        <v>120</v>
      </c>
      <c r="G399" t="s">
        <v>462</v>
      </c>
      <c r="H399" s="184" t="s">
        <v>132</v>
      </c>
      <c r="I399">
        <v>5.2</v>
      </c>
      <c r="J399">
        <v>5.2</v>
      </c>
      <c r="K399">
        <v>7.8</v>
      </c>
      <c r="L399">
        <v>4</v>
      </c>
      <c r="M399">
        <v>4</v>
      </c>
      <c r="N399">
        <v>4</v>
      </c>
      <c r="O399">
        <v>4</v>
      </c>
      <c r="P399">
        <v>4</v>
      </c>
      <c r="X399" t="s">
        <v>70</v>
      </c>
      <c r="Y399" t="str">
        <f>VLOOKUP(Conso_FCST[[#This Row],[Country]],'Country-Region'!A:D,4,0)</f>
        <v>Central and Eastern Europe Region</v>
      </c>
      <c r="Z399" t="str">
        <f>VLOOKUP(Conso_FCST[[#This Row],[Country]],'Country-Region'!A:D,3,0)</f>
        <v>C&amp;E EU</v>
      </c>
      <c r="AA399" t="str">
        <f>IFERROR(VLOOKUP(Conso_FCST[[#This Row],[Model name]],Prod_T6[[#All],[Model name]:[Product Conso]],2,0),"exclude")</f>
        <v>HSM-ND54-DR</v>
      </c>
    </row>
    <row r="400" spans="1:27" hidden="1">
      <c r="A400" t="s">
        <v>88</v>
      </c>
      <c r="B400" t="s">
        <v>452</v>
      </c>
      <c r="D400" t="s">
        <v>54</v>
      </c>
      <c r="E400" t="s">
        <v>129</v>
      </c>
      <c r="F400" t="s">
        <v>115</v>
      </c>
      <c r="G400" t="s">
        <v>454</v>
      </c>
      <c r="H400" s="184" t="s">
        <v>132</v>
      </c>
      <c r="N400">
        <v>0.7</v>
      </c>
      <c r="X400" t="s">
        <v>70</v>
      </c>
      <c r="Y400" t="str">
        <f>VLOOKUP(Conso_FCST[[#This Row],[Country]],'Country-Region'!A:D,4,0)</f>
        <v>Central and Eastern Europe Region</v>
      </c>
      <c r="Z400" t="str">
        <f>VLOOKUP(Conso_FCST[[#This Row],[Country]],'Country-Region'!A:D,3,0)</f>
        <v>C&amp;E EU</v>
      </c>
      <c r="AA400" t="str">
        <f>IFERROR(VLOOKUP(Conso_FCST[[#This Row],[Model name]],Prod_T6[[#All],[Model name]:[Product Conso]],2,0),"exclude")</f>
        <v>HSM-ND48-DR</v>
      </c>
    </row>
    <row r="401" spans="1:27" hidden="1">
      <c r="A401" t="s">
        <v>88</v>
      </c>
      <c r="B401" t="s">
        <v>463</v>
      </c>
      <c r="D401" t="s">
        <v>118</v>
      </c>
      <c r="E401" t="s">
        <v>145</v>
      </c>
      <c r="F401" t="s">
        <v>115</v>
      </c>
      <c r="G401" t="s">
        <v>464</v>
      </c>
      <c r="H401" s="184" t="s">
        <v>132</v>
      </c>
      <c r="M401">
        <v>3</v>
      </c>
      <c r="X401" t="s">
        <v>70</v>
      </c>
      <c r="Y401" t="str">
        <f>VLOOKUP(Conso_FCST[[#This Row],[Country]],'Country-Region'!A:D,4,0)</f>
        <v>Central and Eastern Europe Region</v>
      </c>
      <c r="Z401" t="str">
        <f>VLOOKUP(Conso_FCST[[#This Row],[Country]],'Country-Region'!A:D,3,0)</f>
        <v>C&amp;E EU</v>
      </c>
      <c r="AA401" t="str">
        <f>IFERROR(VLOOKUP(Conso_FCST[[#This Row],[Model name]],Prod_T6[[#All],[Model name]:[Product Conso]],2,0),"exclude")</f>
        <v>P7 RES BLK 2.0</v>
      </c>
    </row>
    <row r="402" spans="1:27" hidden="1">
      <c r="A402" t="s">
        <v>89</v>
      </c>
      <c r="B402" t="s">
        <v>465</v>
      </c>
      <c r="D402" t="s">
        <v>149</v>
      </c>
      <c r="E402" t="s">
        <v>433</v>
      </c>
      <c r="F402" t="s">
        <v>115</v>
      </c>
      <c r="G402" t="s">
        <v>466</v>
      </c>
      <c r="H402" s="184" t="s">
        <v>117</v>
      </c>
      <c r="L402">
        <v>2.6</v>
      </c>
      <c r="X402" t="s">
        <v>70</v>
      </c>
      <c r="Y402" t="str">
        <f>VLOOKUP(Conso_FCST[[#This Row],[Country]],'Country-Region'!A:D,4,0)</f>
        <v>Central and Eastern Europe Region</v>
      </c>
      <c r="Z402" t="str">
        <f>VLOOKUP(Conso_FCST[[#This Row],[Country]],'Country-Region'!A:D,3,0)</f>
        <v>C&amp;E EU</v>
      </c>
      <c r="AA402" t="str">
        <f>IFERROR(VLOOKUP(Conso_FCST[[#This Row],[Model name]],Prod_T6[[#All],[Model name]:[Product Conso]],2,0),"exclude")</f>
        <v>exclude</v>
      </c>
    </row>
    <row r="403" spans="1:27" hidden="1">
      <c r="A403" t="s">
        <v>89</v>
      </c>
      <c r="B403" t="s">
        <v>467</v>
      </c>
      <c r="D403" t="s">
        <v>118</v>
      </c>
      <c r="E403" t="s">
        <v>145</v>
      </c>
      <c r="F403" t="s">
        <v>156</v>
      </c>
      <c r="G403" t="s">
        <v>468</v>
      </c>
      <c r="H403" s="184" t="s">
        <v>117</v>
      </c>
      <c r="J403">
        <v>3.5</v>
      </c>
      <c r="X403" t="s">
        <v>70</v>
      </c>
      <c r="Y403" t="str">
        <f>VLOOKUP(Conso_FCST[[#This Row],[Country]],'Country-Region'!A:D,4,0)</f>
        <v>Central and Eastern Europe Region</v>
      </c>
      <c r="Z403" t="str">
        <f>VLOOKUP(Conso_FCST[[#This Row],[Country]],'Country-Region'!A:D,3,0)</f>
        <v>C&amp;E EU</v>
      </c>
      <c r="AA403" t="str">
        <f>IFERROR(VLOOKUP(Conso_FCST[[#This Row],[Model name]],Prod_T6[[#All],[Model name]:[Product Conso]],2,0),"exclude")</f>
        <v>P7 RES BLK 2.0</v>
      </c>
    </row>
    <row r="404" spans="1:27" hidden="1">
      <c r="A404" t="s">
        <v>90</v>
      </c>
      <c r="B404" t="s">
        <v>469</v>
      </c>
      <c r="D404" t="s">
        <v>54</v>
      </c>
      <c r="E404" t="s">
        <v>297</v>
      </c>
      <c r="F404" t="s">
        <v>136</v>
      </c>
      <c r="G404" t="s">
        <v>470</v>
      </c>
      <c r="H404" s="184" t="s">
        <v>132</v>
      </c>
      <c r="P404">
        <v>8</v>
      </c>
      <c r="X404" t="s">
        <v>70</v>
      </c>
      <c r="Y404" t="str">
        <f>VLOOKUP(Conso_FCST[[#This Row],[Country]],'Country-Region'!A:D,4,0)</f>
        <v>Southern Europe Region</v>
      </c>
      <c r="Z404" t="str">
        <f>VLOOKUP(Conso_FCST[[#This Row],[Country]],'Country-Region'!A:D,3,0)</f>
        <v>Southern Europe Region</v>
      </c>
      <c r="AA404" t="str">
        <f>IFERROR(VLOOKUP(Conso_FCST[[#This Row],[Model name]],Prod_T6[[#All],[Model name]:[Product Conso]],2,0),"exclude")</f>
        <v>HSM-ND66-GR</v>
      </c>
    </row>
    <row r="405" spans="1:27" hidden="1">
      <c r="A405" t="s">
        <v>90</v>
      </c>
      <c r="B405" t="s">
        <v>471</v>
      </c>
      <c r="D405" t="s">
        <v>54</v>
      </c>
      <c r="E405" t="s">
        <v>126</v>
      </c>
      <c r="F405" t="s">
        <v>115</v>
      </c>
      <c r="G405" t="s">
        <v>472</v>
      </c>
      <c r="H405" s="184" t="s">
        <v>132</v>
      </c>
      <c r="P405">
        <v>2</v>
      </c>
      <c r="X405" t="s">
        <v>70</v>
      </c>
      <c r="Y405" t="str">
        <f>VLOOKUP(Conso_FCST[[#This Row],[Country]],'Country-Region'!A:D,4,0)</f>
        <v>Southern Europe Region</v>
      </c>
      <c r="Z405" t="str">
        <f>VLOOKUP(Conso_FCST[[#This Row],[Country]],'Country-Region'!A:D,3,0)</f>
        <v>Southern Europe Region</v>
      </c>
      <c r="AA405" t="str">
        <f>IFERROR(VLOOKUP(Conso_FCST[[#This Row],[Model name]],Prod_T6[[#All],[Model name]:[Product Conso]],2,0),"exclude")</f>
        <v>HSM-ND66-GK</v>
      </c>
    </row>
    <row r="406" spans="1:27" hidden="1">
      <c r="A406" t="s">
        <v>90</v>
      </c>
      <c r="B406" t="s">
        <v>473</v>
      </c>
      <c r="D406" t="s">
        <v>54</v>
      </c>
      <c r="E406" t="s">
        <v>297</v>
      </c>
      <c r="F406" t="s">
        <v>136</v>
      </c>
      <c r="G406" t="s">
        <v>474</v>
      </c>
      <c r="H406" s="184" t="s">
        <v>132</v>
      </c>
      <c r="P406">
        <v>8</v>
      </c>
      <c r="X406" t="s">
        <v>70</v>
      </c>
      <c r="Y406" t="str">
        <f>VLOOKUP(Conso_FCST[[#This Row],[Country]],'Country-Region'!A:D,4,0)</f>
        <v>Southern Europe Region</v>
      </c>
      <c r="Z406" t="str">
        <f>VLOOKUP(Conso_FCST[[#This Row],[Country]],'Country-Region'!A:D,3,0)</f>
        <v>Southern Europe Region</v>
      </c>
      <c r="AA406" t="str">
        <f>IFERROR(VLOOKUP(Conso_FCST[[#This Row],[Model name]],Prod_T6[[#All],[Model name]:[Product Conso]],2,0),"exclude")</f>
        <v>HSM-ND66-GR</v>
      </c>
    </row>
    <row r="407" spans="1:27" hidden="1">
      <c r="A407" t="s">
        <v>29</v>
      </c>
      <c r="B407" t="s">
        <v>475</v>
      </c>
      <c r="D407" t="s">
        <v>197</v>
      </c>
      <c r="E407" t="s">
        <v>229</v>
      </c>
      <c r="F407" t="s">
        <v>120</v>
      </c>
      <c r="H407" s="184" t="s">
        <v>117</v>
      </c>
      <c r="I407">
        <v>20</v>
      </c>
      <c r="K407">
        <v>25</v>
      </c>
      <c r="L407">
        <v>30</v>
      </c>
      <c r="M407">
        <v>10</v>
      </c>
      <c r="N407">
        <v>25</v>
      </c>
      <c r="O407">
        <v>25</v>
      </c>
      <c r="P407">
        <v>25</v>
      </c>
      <c r="Q407">
        <v>10</v>
      </c>
      <c r="X407" t="s">
        <v>27</v>
      </c>
      <c r="Y407" t="str">
        <f>VLOOKUP(Conso_FCST[[#This Row],[Country]],'Country-Region'!A:D,4,0)</f>
        <v>Southern Europe Region</v>
      </c>
      <c r="Z407" t="str">
        <f>VLOOKUP(Conso_FCST[[#This Row],[Country]],'Country-Region'!A:D,3,0)</f>
        <v>Spain</v>
      </c>
      <c r="AA407" t="str">
        <f>IFERROR(VLOOKUP(Conso_FCST[[#This Row],[Model name]],Prod_T6[[#All],[Model name]:[Product Conso]],2,0),"exclude")</f>
        <v>Gen2 1P 6kw</v>
      </c>
    </row>
    <row r="408" spans="1:27" hidden="1">
      <c r="A408" t="s">
        <v>29</v>
      </c>
      <c r="B408" t="s">
        <v>476</v>
      </c>
      <c r="D408" t="s">
        <v>149</v>
      </c>
      <c r="E408" t="s">
        <v>391</v>
      </c>
      <c r="F408" t="s">
        <v>136</v>
      </c>
      <c r="H408" s="184" t="s">
        <v>132</v>
      </c>
      <c r="I408">
        <v>1</v>
      </c>
      <c r="Q408">
        <v>0.4</v>
      </c>
      <c r="X408" t="s">
        <v>70</v>
      </c>
      <c r="Y408" t="str">
        <f>VLOOKUP(Conso_FCST[[#This Row],[Country]],'Country-Region'!A:D,4,0)</f>
        <v>Southern Europe Region</v>
      </c>
      <c r="Z408" t="str">
        <f>VLOOKUP(Conso_FCST[[#This Row],[Country]],'Country-Region'!A:D,3,0)</f>
        <v>Spain</v>
      </c>
      <c r="AA408" t="str">
        <f>IFERROR(VLOOKUP(Conso_FCST[[#This Row],[Model name]],Prod_T6[[#All],[Model name]:[Product Conso]],2,0),"exclude")</f>
        <v>HSM-NT48-JH</v>
      </c>
    </row>
    <row r="409" spans="1:27" hidden="1">
      <c r="A409" t="s">
        <v>29</v>
      </c>
      <c r="B409" t="s">
        <v>477</v>
      </c>
      <c r="D409" t="s">
        <v>149</v>
      </c>
      <c r="E409" t="s">
        <v>150</v>
      </c>
      <c r="F409" t="s">
        <v>136</v>
      </c>
      <c r="H409" s="184" t="s">
        <v>132</v>
      </c>
      <c r="L409">
        <v>1.6</v>
      </c>
      <c r="N409">
        <v>0.4</v>
      </c>
      <c r="O409">
        <v>0.4</v>
      </c>
      <c r="P409">
        <v>0.4</v>
      </c>
      <c r="Q409">
        <v>0.4</v>
      </c>
      <c r="X409" t="s">
        <v>70</v>
      </c>
      <c r="Y409" t="str">
        <f>VLOOKUP(Conso_FCST[[#This Row],[Country]],'Country-Region'!A:D,4,0)</f>
        <v>Southern Europe Region</v>
      </c>
      <c r="Z409" t="str">
        <f>VLOOKUP(Conso_FCST[[#This Row],[Country]],'Country-Region'!A:D,3,0)</f>
        <v>Spain</v>
      </c>
      <c r="AA409" t="str">
        <f>IFERROR(VLOOKUP(Conso_FCST[[#This Row],[Model name]],Prod_T6[[#All],[Model name]:[Product Conso]],2,0),"exclude")</f>
        <v>HSM-NT60-GH</v>
      </c>
    </row>
    <row r="410" spans="1:27" hidden="1">
      <c r="A410" t="s">
        <v>29</v>
      </c>
      <c r="B410" t="s">
        <v>477</v>
      </c>
      <c r="D410" t="s">
        <v>149</v>
      </c>
      <c r="E410" t="s">
        <v>155</v>
      </c>
      <c r="F410" t="s">
        <v>136</v>
      </c>
      <c r="H410" s="184" t="s">
        <v>132</v>
      </c>
      <c r="J410">
        <v>0.4</v>
      </c>
      <c r="K410">
        <v>0.4</v>
      </c>
      <c r="L410">
        <v>0.4</v>
      </c>
      <c r="N410">
        <v>0.4</v>
      </c>
      <c r="X410" t="s">
        <v>70</v>
      </c>
      <c r="Y410" t="str">
        <f>VLOOKUP(Conso_FCST[[#This Row],[Country]],'Country-Region'!A:D,4,0)</f>
        <v>Southern Europe Region</v>
      </c>
      <c r="Z410" t="str">
        <f>VLOOKUP(Conso_FCST[[#This Row],[Country]],'Country-Region'!A:D,3,0)</f>
        <v>Spain</v>
      </c>
      <c r="AA410" t="str">
        <f>IFERROR(VLOOKUP(Conso_FCST[[#This Row],[Model name]],Prod_T6[[#All],[Model name]:[Product Conso]],2,0),"exclude")</f>
        <v>HSM-NT66-GH</v>
      </c>
    </row>
    <row r="411" spans="1:27" hidden="1">
      <c r="A411" t="s">
        <v>29</v>
      </c>
      <c r="B411" t="s">
        <v>478</v>
      </c>
      <c r="D411" t="s">
        <v>149</v>
      </c>
      <c r="E411" t="s">
        <v>150</v>
      </c>
      <c r="F411" t="s">
        <v>120</v>
      </c>
      <c r="H411" s="184" t="s">
        <v>117</v>
      </c>
      <c r="N411">
        <v>0.4</v>
      </c>
      <c r="P411">
        <v>0.4</v>
      </c>
      <c r="X411" t="s">
        <v>70</v>
      </c>
      <c r="Y411" t="str">
        <f>VLOOKUP(Conso_FCST[[#This Row],[Country]],'Country-Region'!A:D,4,0)</f>
        <v>Southern Europe Region</v>
      </c>
      <c r="Z411" t="str">
        <f>VLOOKUP(Conso_FCST[[#This Row],[Country]],'Country-Region'!A:D,3,0)</f>
        <v>Spain</v>
      </c>
      <c r="AA411" t="str">
        <f>IFERROR(VLOOKUP(Conso_FCST[[#This Row],[Model name]],Prod_T6[[#All],[Model name]:[Product Conso]],2,0),"exclude")</f>
        <v>HSM-NT60-GH</v>
      </c>
    </row>
    <row r="412" spans="1:27" hidden="1">
      <c r="A412" t="s">
        <v>29</v>
      </c>
      <c r="B412" t="s">
        <v>478</v>
      </c>
      <c r="D412" t="s">
        <v>54</v>
      </c>
      <c r="E412" t="s">
        <v>160</v>
      </c>
      <c r="F412" t="s">
        <v>120</v>
      </c>
      <c r="H412" s="184" t="s">
        <v>117</v>
      </c>
      <c r="O412">
        <v>0.4</v>
      </c>
      <c r="X412" t="s">
        <v>70</v>
      </c>
      <c r="Y412" t="str">
        <f>VLOOKUP(Conso_FCST[[#This Row],[Country]],'Country-Region'!A:D,4,0)</f>
        <v>Southern Europe Region</v>
      </c>
      <c r="Z412" t="str">
        <f>VLOOKUP(Conso_FCST[[#This Row],[Country]],'Country-Region'!A:D,3,0)</f>
        <v>Spain</v>
      </c>
      <c r="AA412" t="str">
        <f>IFERROR(VLOOKUP(Conso_FCST[[#This Row],[Model name]],Prod_T6[[#All],[Model name]:[Product Conso]],2,0),"exclude")</f>
        <v>HSM-ND54-DR</v>
      </c>
    </row>
    <row r="413" spans="1:27" hidden="1">
      <c r="A413" t="s">
        <v>29</v>
      </c>
      <c r="B413" t="s">
        <v>478</v>
      </c>
      <c r="D413" t="s">
        <v>149</v>
      </c>
      <c r="E413" t="s">
        <v>155</v>
      </c>
      <c r="F413" t="s">
        <v>154</v>
      </c>
      <c r="H413" s="184"/>
      <c r="N413">
        <v>0.4</v>
      </c>
      <c r="Q413">
        <v>0.4</v>
      </c>
      <c r="X413" t="s">
        <v>70</v>
      </c>
      <c r="Y413" t="str">
        <f>VLOOKUP(Conso_FCST[[#This Row],[Country]],'Country-Region'!A:D,4,0)</f>
        <v>Southern Europe Region</v>
      </c>
      <c r="Z413" t="str">
        <f>VLOOKUP(Conso_FCST[[#This Row],[Country]],'Country-Region'!A:D,3,0)</f>
        <v>Spain</v>
      </c>
      <c r="AA413" t="str">
        <f>IFERROR(VLOOKUP(Conso_FCST[[#This Row],[Model name]],Prod_T6[[#All],[Model name]:[Product Conso]],2,0),"exclude")</f>
        <v>HSM-NT66-GH</v>
      </c>
    </row>
    <row r="414" spans="1:27" hidden="1">
      <c r="A414" t="s">
        <v>29</v>
      </c>
      <c r="B414" t="s">
        <v>479</v>
      </c>
      <c r="D414" t="s">
        <v>149</v>
      </c>
      <c r="E414" t="s">
        <v>150</v>
      </c>
      <c r="F414" t="s">
        <v>136</v>
      </c>
      <c r="H414" s="184"/>
      <c r="N414">
        <v>0.4</v>
      </c>
      <c r="X414" t="s">
        <v>70</v>
      </c>
      <c r="Y414" t="str">
        <f>VLOOKUP(Conso_FCST[[#This Row],[Country]],'Country-Region'!A:D,4,0)</f>
        <v>Southern Europe Region</v>
      </c>
      <c r="Z414" t="str">
        <f>VLOOKUP(Conso_FCST[[#This Row],[Country]],'Country-Region'!A:D,3,0)</f>
        <v>Spain</v>
      </c>
      <c r="AA414" t="str">
        <f>IFERROR(VLOOKUP(Conso_FCST[[#This Row],[Model name]],Prod_T6[[#All],[Model name]:[Product Conso]],2,0),"exclude")</f>
        <v>HSM-NT60-GH</v>
      </c>
    </row>
    <row r="415" spans="1:27" hidden="1">
      <c r="A415" t="s">
        <v>29</v>
      </c>
      <c r="B415" t="s">
        <v>479</v>
      </c>
      <c r="D415" t="s">
        <v>54</v>
      </c>
      <c r="E415" t="s">
        <v>160</v>
      </c>
      <c r="F415" t="s">
        <v>136</v>
      </c>
      <c r="H415" s="184"/>
      <c r="N415">
        <v>0.4</v>
      </c>
      <c r="X415" t="s">
        <v>70</v>
      </c>
      <c r="Y415" t="str">
        <f>VLOOKUP(Conso_FCST[[#This Row],[Country]],'Country-Region'!A:D,4,0)</f>
        <v>Southern Europe Region</v>
      </c>
      <c r="Z415" t="str">
        <f>VLOOKUP(Conso_FCST[[#This Row],[Country]],'Country-Region'!A:D,3,0)</f>
        <v>Spain</v>
      </c>
      <c r="AA415" t="str">
        <f>IFERROR(VLOOKUP(Conso_FCST[[#This Row],[Model name]],Prod_T6[[#All],[Model name]:[Product Conso]],2,0),"exclude")</f>
        <v>HSM-ND54-DR</v>
      </c>
    </row>
    <row r="416" spans="1:27" hidden="1">
      <c r="A416" t="s">
        <v>29</v>
      </c>
      <c r="B416" t="s">
        <v>480</v>
      </c>
      <c r="D416" t="s">
        <v>54</v>
      </c>
      <c r="E416" t="s">
        <v>160</v>
      </c>
      <c r="F416" t="s">
        <v>136</v>
      </c>
      <c r="H416" s="184"/>
      <c r="M416">
        <v>0.4</v>
      </c>
      <c r="X416" t="s">
        <v>70</v>
      </c>
      <c r="Y416" t="str">
        <f>VLOOKUP(Conso_FCST[[#This Row],[Country]],'Country-Region'!A:D,4,0)</f>
        <v>Southern Europe Region</v>
      </c>
      <c r="Z416" t="str">
        <f>VLOOKUP(Conso_FCST[[#This Row],[Country]],'Country-Region'!A:D,3,0)</f>
        <v>Spain</v>
      </c>
      <c r="AA416" t="str">
        <f>IFERROR(VLOOKUP(Conso_FCST[[#This Row],[Model name]],Prod_T6[[#All],[Model name]:[Product Conso]],2,0),"exclude")</f>
        <v>HSM-ND54-DR</v>
      </c>
    </row>
    <row r="417" spans="1:27" hidden="1">
      <c r="A417" t="s">
        <v>29</v>
      </c>
      <c r="B417" t="s">
        <v>480</v>
      </c>
      <c r="D417" t="s">
        <v>54</v>
      </c>
      <c r="E417" t="s">
        <v>166</v>
      </c>
      <c r="F417" t="s">
        <v>136</v>
      </c>
      <c r="H417" s="184"/>
      <c r="O417">
        <v>0.4</v>
      </c>
      <c r="P417">
        <v>0.8</v>
      </c>
      <c r="Q417">
        <v>0.4</v>
      </c>
      <c r="X417" t="s">
        <v>70</v>
      </c>
      <c r="Y417" t="str">
        <f>VLOOKUP(Conso_FCST[[#This Row],[Country]],'Country-Region'!A:D,4,0)</f>
        <v>Southern Europe Region</v>
      </c>
      <c r="Z417" t="str">
        <f>VLOOKUP(Conso_FCST[[#This Row],[Country]],'Country-Region'!A:D,3,0)</f>
        <v>Spain</v>
      </c>
      <c r="AA417" t="str">
        <f>IFERROR(VLOOKUP(Conso_FCST[[#This Row],[Model name]],Prod_T6[[#All],[Model name]:[Product Conso]],2,0),"exclude")</f>
        <v>HSM-ND66-GR</v>
      </c>
    </row>
    <row r="418" spans="1:27" hidden="1">
      <c r="A418" t="s">
        <v>29</v>
      </c>
      <c r="B418" t="s">
        <v>481</v>
      </c>
      <c r="D418" t="s">
        <v>149</v>
      </c>
      <c r="E418" t="s">
        <v>150</v>
      </c>
      <c r="H418" s="184"/>
      <c r="O418">
        <v>0.4</v>
      </c>
      <c r="X418" t="s">
        <v>70</v>
      </c>
      <c r="Y418" t="str">
        <f>VLOOKUP(Conso_FCST[[#This Row],[Country]],'Country-Region'!A:D,4,0)</f>
        <v>Southern Europe Region</v>
      </c>
      <c r="Z418" t="str">
        <f>VLOOKUP(Conso_FCST[[#This Row],[Country]],'Country-Region'!A:D,3,0)</f>
        <v>Spain</v>
      </c>
      <c r="AA418" t="str">
        <f>IFERROR(VLOOKUP(Conso_FCST[[#This Row],[Model name]],Prod_T6[[#All],[Model name]:[Product Conso]],2,0),"exclude")</f>
        <v>HSM-NT60-GH</v>
      </c>
    </row>
    <row r="419" spans="1:27" hidden="1">
      <c r="A419" t="s">
        <v>29</v>
      </c>
      <c r="B419" t="s">
        <v>481</v>
      </c>
      <c r="D419" t="s">
        <v>54</v>
      </c>
      <c r="E419" t="s">
        <v>166</v>
      </c>
      <c r="H419" s="184"/>
      <c r="O419">
        <v>0.4</v>
      </c>
      <c r="X419" t="s">
        <v>70</v>
      </c>
      <c r="Y419" t="str">
        <f>VLOOKUP(Conso_FCST[[#This Row],[Country]],'Country-Region'!A:D,4,0)</f>
        <v>Southern Europe Region</v>
      </c>
      <c r="Z419" t="str">
        <f>VLOOKUP(Conso_FCST[[#This Row],[Country]],'Country-Region'!A:D,3,0)</f>
        <v>Spain</v>
      </c>
      <c r="AA419" t="str">
        <f>IFERROR(VLOOKUP(Conso_FCST[[#This Row],[Model name]],Prod_T6[[#All],[Model name]:[Product Conso]],2,0),"exclude")</f>
        <v>HSM-ND66-GR</v>
      </c>
    </row>
    <row r="420" spans="1:27" hidden="1">
      <c r="A420" t="s">
        <v>29</v>
      </c>
      <c r="B420" t="s">
        <v>482</v>
      </c>
      <c r="D420" t="s">
        <v>149</v>
      </c>
      <c r="E420" t="s">
        <v>391</v>
      </c>
      <c r="F420" t="s">
        <v>120</v>
      </c>
      <c r="H420" s="184"/>
      <c r="O420">
        <v>1.6</v>
      </c>
      <c r="Q420">
        <v>0.8</v>
      </c>
      <c r="X420" t="s">
        <v>70</v>
      </c>
      <c r="Y420" t="str">
        <f>VLOOKUP(Conso_FCST[[#This Row],[Country]],'Country-Region'!A:D,4,0)</f>
        <v>Southern Europe Region</v>
      </c>
      <c r="Z420" t="str">
        <f>VLOOKUP(Conso_FCST[[#This Row],[Country]],'Country-Region'!A:D,3,0)</f>
        <v>Spain</v>
      </c>
      <c r="AA420" t="str">
        <f>IFERROR(VLOOKUP(Conso_FCST[[#This Row],[Model name]],Prod_T6[[#All],[Model name]:[Product Conso]],2,0),"exclude")</f>
        <v>HSM-NT48-JH</v>
      </c>
    </row>
    <row r="421" spans="1:27" hidden="1">
      <c r="A421" t="s">
        <v>29</v>
      </c>
      <c r="B421" t="s">
        <v>483</v>
      </c>
      <c r="D421" t="s">
        <v>149</v>
      </c>
      <c r="E421" t="s">
        <v>155</v>
      </c>
      <c r="F421" t="s">
        <v>154</v>
      </c>
      <c r="H421" s="184"/>
      <c r="P421">
        <v>0.4</v>
      </c>
      <c r="X421" t="s">
        <v>70</v>
      </c>
      <c r="Y421" t="str">
        <f>VLOOKUP(Conso_FCST[[#This Row],[Country]],'Country-Region'!A:D,4,0)</f>
        <v>Southern Europe Region</v>
      </c>
      <c r="Z421" t="str">
        <f>VLOOKUP(Conso_FCST[[#This Row],[Country]],'Country-Region'!A:D,3,0)</f>
        <v>Spain</v>
      </c>
      <c r="AA421" t="str">
        <f>IFERROR(VLOOKUP(Conso_FCST[[#This Row],[Model name]],Prod_T6[[#All],[Model name]:[Product Conso]],2,0),"exclude")</f>
        <v>HSM-NT66-GH</v>
      </c>
    </row>
    <row r="422" spans="1:27" hidden="1">
      <c r="A422" t="s">
        <v>29</v>
      </c>
      <c r="B422" t="s">
        <v>483</v>
      </c>
      <c r="D422" t="s">
        <v>149</v>
      </c>
      <c r="E422" t="s">
        <v>150</v>
      </c>
      <c r="F422" t="s">
        <v>136</v>
      </c>
      <c r="H422" s="184"/>
      <c r="N422">
        <v>0.8</v>
      </c>
      <c r="P422">
        <v>0.4</v>
      </c>
      <c r="X422" t="s">
        <v>70</v>
      </c>
      <c r="Y422" t="str">
        <f>VLOOKUP(Conso_FCST[[#This Row],[Country]],'Country-Region'!A:D,4,0)</f>
        <v>Southern Europe Region</v>
      </c>
      <c r="Z422" t="str">
        <f>VLOOKUP(Conso_FCST[[#This Row],[Country]],'Country-Region'!A:D,3,0)</f>
        <v>Spain</v>
      </c>
      <c r="AA422" t="str">
        <f>IFERROR(VLOOKUP(Conso_FCST[[#This Row],[Model name]],Prod_T6[[#All],[Model name]:[Product Conso]],2,0),"exclude")</f>
        <v>HSM-NT60-GH</v>
      </c>
    </row>
    <row r="423" spans="1:27" hidden="1">
      <c r="A423" t="s">
        <v>29</v>
      </c>
      <c r="B423" t="s">
        <v>475</v>
      </c>
      <c r="D423" t="s">
        <v>414</v>
      </c>
      <c r="E423" t="s">
        <v>484</v>
      </c>
      <c r="F423" t="s">
        <v>115</v>
      </c>
      <c r="H423" s="184" t="s">
        <v>117</v>
      </c>
      <c r="P423">
        <v>20</v>
      </c>
      <c r="Q423">
        <v>60</v>
      </c>
      <c r="X423" t="s">
        <v>27</v>
      </c>
      <c r="Y423" t="str">
        <f>VLOOKUP(Conso_FCST[[#This Row],[Country]],'Country-Region'!A:D,4,0)</f>
        <v>Southern Europe Region</v>
      </c>
      <c r="Z423" t="str">
        <f>VLOOKUP(Conso_FCST[[#This Row],[Country]],'Country-Region'!A:D,3,0)</f>
        <v>Spain</v>
      </c>
      <c r="AA423" t="str">
        <f>IFERROR(VLOOKUP(Conso_FCST[[#This Row],[Model name]],Prod_T6[[#All],[Model name]:[Product Conso]],2,0),"exclude")</f>
        <v>BlueArk X1-5kW-SP</v>
      </c>
    </row>
    <row r="424" spans="1:27" hidden="1">
      <c r="A424" t="s">
        <v>29</v>
      </c>
      <c r="B424" t="s">
        <v>475</v>
      </c>
      <c r="D424" t="s">
        <v>414</v>
      </c>
      <c r="E424" t="s">
        <v>485</v>
      </c>
      <c r="F424" t="s">
        <v>115</v>
      </c>
      <c r="H424" s="184" t="s">
        <v>117</v>
      </c>
      <c r="P424">
        <v>2</v>
      </c>
      <c r="Q424">
        <v>6</v>
      </c>
      <c r="X424" t="s">
        <v>27</v>
      </c>
      <c r="Y424" t="str">
        <f>VLOOKUP(Conso_FCST[[#This Row],[Country]],'Country-Region'!A:D,4,0)</f>
        <v>Southern Europe Region</v>
      </c>
      <c r="Z424" t="str">
        <f>VLOOKUP(Conso_FCST[[#This Row],[Country]],'Country-Region'!A:D,3,0)</f>
        <v>Spain</v>
      </c>
      <c r="AA424" t="str">
        <f>IFERROR(VLOOKUP(Conso_FCST[[#This Row],[Model name]],Prod_T6[[#All],[Model name]:[Product Conso]],2,0),"exclude")</f>
        <v xml:space="preserve">BlueArk X1-15kW-TP </v>
      </c>
    </row>
    <row r="425" spans="1:27" hidden="1">
      <c r="A425" t="s">
        <v>29</v>
      </c>
      <c r="B425" t="s">
        <v>476</v>
      </c>
      <c r="D425" t="s">
        <v>149</v>
      </c>
      <c r="E425" t="s">
        <v>150</v>
      </c>
      <c r="F425" t="s">
        <v>120</v>
      </c>
      <c r="H425" s="184" t="s">
        <v>132</v>
      </c>
      <c r="J425">
        <v>0.4</v>
      </c>
      <c r="N425">
        <v>0.8</v>
      </c>
      <c r="P425">
        <v>0.8</v>
      </c>
      <c r="X425" t="s">
        <v>70</v>
      </c>
      <c r="Y425" t="str">
        <f>VLOOKUP(Conso_FCST[[#This Row],[Country]],'Country-Region'!A:D,4,0)</f>
        <v>Southern Europe Region</v>
      </c>
      <c r="Z425" t="str">
        <f>VLOOKUP(Conso_FCST[[#This Row],[Country]],'Country-Region'!A:D,3,0)</f>
        <v>Spain</v>
      </c>
      <c r="AA425" t="str">
        <f>IFERROR(VLOOKUP(Conso_FCST[[#This Row],[Model name]],Prod_T6[[#All],[Model name]:[Product Conso]],2,0),"exclude")</f>
        <v>HSM-NT60-GH</v>
      </c>
    </row>
    <row r="426" spans="1:27">
      <c r="A426" t="s">
        <v>29</v>
      </c>
      <c r="B426" t="s">
        <v>475</v>
      </c>
      <c r="D426" t="s">
        <v>141</v>
      </c>
      <c r="E426" t="s">
        <v>46</v>
      </c>
      <c r="F426" t="s">
        <v>154</v>
      </c>
      <c r="H426" s="184" t="s">
        <v>117</v>
      </c>
      <c r="N426">
        <v>4</v>
      </c>
      <c r="O426">
        <v>12</v>
      </c>
      <c r="P426">
        <v>12</v>
      </c>
      <c r="Q426">
        <v>4</v>
      </c>
      <c r="X426" t="s">
        <v>27</v>
      </c>
      <c r="Y426" t="str">
        <f>VLOOKUP(Conso_FCST[[#This Row],[Country]],'Country-Region'!A:D,4,0)</f>
        <v>Southern Europe Region</v>
      </c>
      <c r="Z426" t="str">
        <f>VLOOKUP(Conso_FCST[[#This Row],[Country]],'Country-Region'!A:D,3,0)</f>
        <v>Spain</v>
      </c>
      <c r="AA426" t="str">
        <f>IFERROR(VLOOKUP(Conso_FCST[[#This Row],[Model name]],Prod_T6[[#All],[Model name]:[Product Conso]],2,0),"exclude")</f>
        <v>BlueArk X5-50K-100</v>
      </c>
    </row>
    <row r="427" spans="1:27" hidden="1">
      <c r="A427" t="s">
        <v>29</v>
      </c>
      <c r="B427" t="s">
        <v>486</v>
      </c>
      <c r="D427" t="s">
        <v>113</v>
      </c>
      <c r="E427" t="s">
        <v>182</v>
      </c>
      <c r="F427" t="s">
        <v>120</v>
      </c>
      <c r="H427" s="184" t="s">
        <v>132</v>
      </c>
      <c r="K427">
        <v>0.8</v>
      </c>
      <c r="N427">
        <v>0.4</v>
      </c>
      <c r="O427">
        <v>0.8</v>
      </c>
      <c r="P427">
        <v>0.8</v>
      </c>
      <c r="X427" t="s">
        <v>70</v>
      </c>
      <c r="Y427" t="str">
        <f>VLOOKUP(Conso_FCST[[#This Row],[Country]],'Country-Region'!A:D,4,0)</f>
        <v>Southern Europe Region</v>
      </c>
      <c r="Z427" t="str">
        <f>VLOOKUP(Conso_FCST[[#This Row],[Country]],'Country-Region'!A:D,3,0)</f>
        <v>Spain</v>
      </c>
      <c r="AA427" t="str">
        <f>IFERROR(VLOOKUP(Conso_FCST[[#This Row],[Model name]],Prod_T6[[#All],[Model name]:[Product Conso]],2,0),"exclude")</f>
        <v xml:space="preserve">HSM-BE66-GD </v>
      </c>
    </row>
    <row r="428" spans="1:27" hidden="1">
      <c r="A428" t="s">
        <v>29</v>
      </c>
      <c r="B428" t="s">
        <v>486</v>
      </c>
      <c r="D428" t="s">
        <v>149</v>
      </c>
      <c r="E428" t="s">
        <v>150</v>
      </c>
      <c r="F428" t="s">
        <v>154</v>
      </c>
      <c r="H428" s="184" t="s">
        <v>132</v>
      </c>
      <c r="K428">
        <v>1</v>
      </c>
      <c r="N428">
        <v>1.6</v>
      </c>
      <c r="P428">
        <v>1.2</v>
      </c>
      <c r="Q428">
        <v>0.8</v>
      </c>
      <c r="X428" t="s">
        <v>70</v>
      </c>
      <c r="Y428" t="str">
        <f>VLOOKUP(Conso_FCST[[#This Row],[Country]],'Country-Region'!A:D,4,0)</f>
        <v>Southern Europe Region</v>
      </c>
      <c r="Z428" t="str">
        <f>VLOOKUP(Conso_FCST[[#This Row],[Country]],'Country-Region'!A:D,3,0)</f>
        <v>Spain</v>
      </c>
      <c r="AA428" t="str">
        <f>IFERROR(VLOOKUP(Conso_FCST[[#This Row],[Model name]],Prod_T6[[#All],[Model name]:[Product Conso]],2,0),"exclude")</f>
        <v>HSM-NT60-GH</v>
      </c>
    </row>
    <row r="429" spans="1:27" hidden="1">
      <c r="A429" t="s">
        <v>29</v>
      </c>
      <c r="B429" t="s">
        <v>475</v>
      </c>
      <c r="D429" t="s">
        <v>197</v>
      </c>
      <c r="E429" t="s">
        <v>64</v>
      </c>
      <c r="F429" t="s">
        <v>120</v>
      </c>
      <c r="H429" s="184" t="s">
        <v>117</v>
      </c>
      <c r="I429">
        <v>20</v>
      </c>
      <c r="K429">
        <v>15</v>
      </c>
      <c r="L429">
        <v>20</v>
      </c>
      <c r="M429">
        <v>5</v>
      </c>
      <c r="N429">
        <v>15</v>
      </c>
      <c r="O429">
        <v>15</v>
      </c>
      <c r="P429">
        <v>15</v>
      </c>
      <c r="Q429">
        <v>5</v>
      </c>
      <c r="X429" t="s">
        <v>27</v>
      </c>
      <c r="Y429" t="str">
        <f>VLOOKUP(Conso_FCST[[#This Row],[Country]],'Country-Region'!A:D,4,0)</f>
        <v>Southern Europe Region</v>
      </c>
      <c r="Z429" t="str">
        <f>VLOOKUP(Conso_FCST[[#This Row],[Country]],'Country-Region'!A:D,3,0)</f>
        <v>Spain</v>
      </c>
      <c r="AA429" t="str">
        <f>IFERROR(VLOOKUP(Conso_FCST[[#This Row],[Model name]],Prod_T6[[#All],[Model name]:[Product Conso]],2,0),"exclude")</f>
        <v>Gen2 1P 6kw</v>
      </c>
    </row>
    <row r="430" spans="1:27" hidden="1">
      <c r="A430" t="s">
        <v>29</v>
      </c>
      <c r="B430" t="s">
        <v>475</v>
      </c>
      <c r="D430" t="s">
        <v>197</v>
      </c>
      <c r="E430" t="s">
        <v>65</v>
      </c>
      <c r="F430" t="s">
        <v>120</v>
      </c>
      <c r="H430" s="184" t="s">
        <v>117</v>
      </c>
      <c r="I430">
        <v>20</v>
      </c>
      <c r="K430">
        <v>20</v>
      </c>
      <c r="L430">
        <v>20</v>
      </c>
      <c r="M430">
        <v>20</v>
      </c>
      <c r="N430">
        <v>30</v>
      </c>
      <c r="O430">
        <v>35</v>
      </c>
      <c r="P430">
        <v>35</v>
      </c>
      <c r="Q430">
        <v>15</v>
      </c>
      <c r="X430" t="s">
        <v>27</v>
      </c>
      <c r="Y430" t="str">
        <f>VLOOKUP(Conso_FCST[[#This Row],[Country]],'Country-Region'!A:D,4,0)</f>
        <v>Southern Europe Region</v>
      </c>
      <c r="Z430" t="str">
        <f>VLOOKUP(Conso_FCST[[#This Row],[Country]],'Country-Region'!A:D,3,0)</f>
        <v>Spain</v>
      </c>
      <c r="AA430" t="str">
        <f>IFERROR(VLOOKUP(Conso_FCST[[#This Row],[Model name]],Prod_T6[[#All],[Model name]:[Product Conso]],2,0),"exclude")</f>
        <v>Gen2 1P 10kw</v>
      </c>
    </row>
    <row r="431" spans="1:27" hidden="1">
      <c r="A431" t="s">
        <v>29</v>
      </c>
      <c r="B431" t="s">
        <v>487</v>
      </c>
      <c r="D431" t="s">
        <v>134</v>
      </c>
      <c r="E431" t="s">
        <v>135</v>
      </c>
      <c r="F431" t="s">
        <v>120</v>
      </c>
      <c r="H431" s="184" t="s">
        <v>117</v>
      </c>
      <c r="I431">
        <v>0.25</v>
      </c>
      <c r="L431">
        <v>0.1</v>
      </c>
      <c r="M431">
        <v>0.1</v>
      </c>
      <c r="N431">
        <v>0.2</v>
      </c>
      <c r="Q431">
        <v>0.2</v>
      </c>
      <c r="X431" t="s">
        <v>70</v>
      </c>
      <c r="Y431" t="str">
        <f>VLOOKUP(Conso_FCST[[#This Row],[Country]],'Country-Region'!A:D,4,0)</f>
        <v>Southern Europe Region</v>
      </c>
      <c r="Z431" t="str">
        <f>VLOOKUP(Conso_FCST[[#This Row],[Country]],'Country-Region'!A:D,3,0)</f>
        <v>Spain</v>
      </c>
      <c r="AA431" t="str">
        <f>IFERROR(VLOOKUP(Conso_FCST[[#This Row],[Model name]],Prod_T6[[#All],[Model name]:[Product Conso]],2,0),"exclude")</f>
        <v>SPR-BE54-HD</v>
      </c>
    </row>
    <row r="432" spans="1:27" hidden="1">
      <c r="A432" t="s">
        <v>29</v>
      </c>
      <c r="B432" t="s">
        <v>487</v>
      </c>
      <c r="D432" t="s">
        <v>134</v>
      </c>
      <c r="E432" t="s">
        <v>263</v>
      </c>
      <c r="F432" t="s">
        <v>154</v>
      </c>
      <c r="G432" t="s">
        <v>488</v>
      </c>
      <c r="H432" s="184" t="s">
        <v>489</v>
      </c>
      <c r="X432" t="s">
        <v>70</v>
      </c>
      <c r="Y432" t="str">
        <f>VLOOKUP(Conso_FCST[[#This Row],[Country]],'Country-Region'!A:D,4,0)</f>
        <v>Southern Europe Region</v>
      </c>
      <c r="Z432" t="str">
        <f>VLOOKUP(Conso_FCST[[#This Row],[Country]],'Country-Region'!A:D,3,0)</f>
        <v>Spain</v>
      </c>
      <c r="AA432" t="str">
        <f>IFERROR(VLOOKUP(Conso_FCST[[#This Row],[Model name]],Prod_T6[[#All],[Model name]:[Product Conso]],2,0),"exclude")</f>
        <v>SPR-BE66-GD</v>
      </c>
    </row>
    <row r="433" spans="1:27" hidden="1">
      <c r="A433" t="s">
        <v>29</v>
      </c>
      <c r="B433" t="s">
        <v>487</v>
      </c>
      <c r="D433" t="s">
        <v>118</v>
      </c>
      <c r="E433" t="s">
        <v>180</v>
      </c>
      <c r="F433" t="s">
        <v>120</v>
      </c>
      <c r="H433" s="184" t="s">
        <v>117</v>
      </c>
      <c r="I433">
        <v>0</v>
      </c>
      <c r="J433">
        <v>0.8</v>
      </c>
      <c r="K433">
        <v>1.2</v>
      </c>
      <c r="L433">
        <v>0.8</v>
      </c>
      <c r="M433">
        <v>0.4</v>
      </c>
      <c r="N433">
        <v>1.2</v>
      </c>
      <c r="O433">
        <v>1.2</v>
      </c>
      <c r="P433">
        <v>1.2</v>
      </c>
      <c r="Q433">
        <v>0.4</v>
      </c>
      <c r="X433" t="s">
        <v>70</v>
      </c>
      <c r="Y433" t="str">
        <f>VLOOKUP(Conso_FCST[[#This Row],[Country]],'Country-Region'!A:D,4,0)</f>
        <v>Southern Europe Region</v>
      </c>
      <c r="Z433" t="str">
        <f>VLOOKUP(Conso_FCST[[#This Row],[Country]],'Country-Region'!A:D,3,0)</f>
        <v>Spain</v>
      </c>
      <c r="AA433" t="str">
        <f>IFERROR(VLOOKUP(Conso_FCST[[#This Row],[Model name]],Prod_T6[[#All],[Model name]:[Product Conso]],2,0),"exclude")</f>
        <v>P7 RES BLK-P</v>
      </c>
    </row>
    <row r="434" spans="1:27" hidden="1">
      <c r="A434" t="s">
        <v>29</v>
      </c>
      <c r="B434" t="s">
        <v>487</v>
      </c>
      <c r="D434" t="s">
        <v>118</v>
      </c>
      <c r="E434" t="s">
        <v>255</v>
      </c>
      <c r="F434" t="s">
        <v>120</v>
      </c>
      <c r="H434" s="184" t="s">
        <v>117</v>
      </c>
      <c r="I434">
        <v>0.4</v>
      </c>
      <c r="J434">
        <v>1</v>
      </c>
      <c r="K434">
        <v>1</v>
      </c>
      <c r="L434">
        <v>1.2</v>
      </c>
      <c r="M434">
        <v>0.4</v>
      </c>
      <c r="N434">
        <v>1</v>
      </c>
      <c r="O434">
        <v>1.2</v>
      </c>
      <c r="P434">
        <v>2</v>
      </c>
      <c r="Q434">
        <v>1.2</v>
      </c>
      <c r="X434" t="s">
        <v>70</v>
      </c>
      <c r="Y434" t="str">
        <f>VLOOKUP(Conso_FCST[[#This Row],[Country]],'Country-Region'!A:D,4,0)</f>
        <v>Southern Europe Region</v>
      </c>
      <c r="Z434" t="str">
        <f>VLOOKUP(Conso_FCST[[#This Row],[Country]],'Country-Region'!A:D,3,0)</f>
        <v>Spain</v>
      </c>
      <c r="AA434" t="str">
        <f>IFERROR(VLOOKUP(Conso_FCST[[#This Row],[Model name]],Prod_T6[[#All],[Model name]:[Product Conso]],2,0),"exclude")</f>
        <v>P7 COM S BF IT</v>
      </c>
    </row>
    <row r="435" spans="1:27" hidden="1">
      <c r="A435" t="s">
        <v>29</v>
      </c>
      <c r="B435" t="s">
        <v>487</v>
      </c>
      <c r="D435" t="s">
        <v>118</v>
      </c>
      <c r="E435" t="s">
        <v>119</v>
      </c>
      <c r="F435" t="s">
        <v>120</v>
      </c>
      <c r="H435" s="184" t="s">
        <v>117</v>
      </c>
      <c r="I435">
        <v>0.4</v>
      </c>
      <c r="J435">
        <v>0.4</v>
      </c>
      <c r="K435">
        <v>0.4</v>
      </c>
      <c r="L435">
        <v>0.4</v>
      </c>
      <c r="N435">
        <v>0.8</v>
      </c>
      <c r="O435">
        <v>0.4</v>
      </c>
      <c r="P435">
        <v>0.4</v>
      </c>
      <c r="Q435">
        <v>0.4</v>
      </c>
      <c r="X435" t="s">
        <v>70</v>
      </c>
      <c r="Y435" t="str">
        <f>VLOOKUP(Conso_FCST[[#This Row],[Country]],'Country-Region'!A:D,4,0)</f>
        <v>Southern Europe Region</v>
      </c>
      <c r="Z435" t="str">
        <f>VLOOKUP(Conso_FCST[[#This Row],[Country]],'Country-Region'!A:D,3,0)</f>
        <v>Spain</v>
      </c>
      <c r="AA435" t="str">
        <f>IFERROR(VLOOKUP(Conso_FCST[[#This Row],[Model name]],Prod_T6[[#All],[Model name]:[Product Conso]],2,0),"exclude")</f>
        <v>P7 RES BLK 2.0</v>
      </c>
    </row>
    <row r="436" spans="1:27" hidden="1">
      <c r="A436" t="s">
        <v>29</v>
      </c>
      <c r="B436" t="s">
        <v>487</v>
      </c>
      <c r="D436" t="s">
        <v>149</v>
      </c>
      <c r="E436" t="s">
        <v>155</v>
      </c>
      <c r="F436" t="s">
        <v>120</v>
      </c>
      <c r="H436" s="184" t="s">
        <v>132</v>
      </c>
      <c r="I436">
        <v>2</v>
      </c>
      <c r="J436">
        <v>1</v>
      </c>
      <c r="K436">
        <v>2</v>
      </c>
      <c r="L436">
        <v>1.7</v>
      </c>
      <c r="X436" t="s">
        <v>70</v>
      </c>
      <c r="Y436" t="str">
        <f>VLOOKUP(Conso_FCST[[#This Row],[Country]],'Country-Region'!A:D,4,0)</f>
        <v>Southern Europe Region</v>
      </c>
      <c r="Z436" t="str">
        <f>VLOOKUP(Conso_FCST[[#This Row],[Country]],'Country-Region'!A:D,3,0)</f>
        <v>Spain</v>
      </c>
      <c r="AA436" t="str">
        <f>IFERROR(VLOOKUP(Conso_FCST[[#This Row],[Model name]],Prod_T6[[#All],[Model name]:[Product Conso]],2,0),"exclude")</f>
        <v>HSM-NT66-GH</v>
      </c>
    </row>
    <row r="437" spans="1:27" hidden="1">
      <c r="A437" t="s">
        <v>29</v>
      </c>
      <c r="B437" t="s">
        <v>487</v>
      </c>
      <c r="D437" t="s">
        <v>149</v>
      </c>
      <c r="E437" t="s">
        <v>150</v>
      </c>
      <c r="F437" t="s">
        <v>120</v>
      </c>
      <c r="H437" s="184" t="s">
        <v>132</v>
      </c>
      <c r="K437">
        <v>4</v>
      </c>
      <c r="X437" t="s">
        <v>70</v>
      </c>
      <c r="Y437" t="str">
        <f>VLOOKUP(Conso_FCST[[#This Row],[Country]],'Country-Region'!A:D,4,0)</f>
        <v>Southern Europe Region</v>
      </c>
      <c r="Z437" t="str">
        <f>VLOOKUP(Conso_FCST[[#This Row],[Country]],'Country-Region'!A:D,3,0)</f>
        <v>Spain</v>
      </c>
      <c r="AA437" t="str">
        <f>IFERROR(VLOOKUP(Conso_FCST[[#This Row],[Model name]],Prod_T6[[#All],[Model name]:[Product Conso]],2,0),"exclude")</f>
        <v>HSM-NT60-GH</v>
      </c>
    </row>
    <row r="438" spans="1:27" hidden="1">
      <c r="A438" t="s">
        <v>29</v>
      </c>
      <c r="B438" t="s">
        <v>487</v>
      </c>
      <c r="D438" t="s">
        <v>149</v>
      </c>
      <c r="E438" t="s">
        <v>391</v>
      </c>
      <c r="F438" t="s">
        <v>120</v>
      </c>
      <c r="H438" s="184" t="s">
        <v>132</v>
      </c>
      <c r="K438">
        <v>0.8</v>
      </c>
      <c r="L438">
        <v>0.8</v>
      </c>
      <c r="X438" t="s">
        <v>70</v>
      </c>
      <c r="Y438" t="str">
        <f>VLOOKUP(Conso_FCST[[#This Row],[Country]],'Country-Region'!A:D,4,0)</f>
        <v>Southern Europe Region</v>
      </c>
      <c r="Z438" t="str">
        <f>VLOOKUP(Conso_FCST[[#This Row],[Country]],'Country-Region'!A:D,3,0)</f>
        <v>Spain</v>
      </c>
      <c r="AA438" t="str">
        <f>IFERROR(VLOOKUP(Conso_FCST[[#This Row],[Model name]],Prod_T6[[#All],[Model name]:[Product Conso]],2,0),"exclude")</f>
        <v>HSM-NT48-JH</v>
      </c>
    </row>
    <row r="439" spans="1:27" hidden="1">
      <c r="A439" t="s">
        <v>29</v>
      </c>
      <c r="B439" t="s">
        <v>487</v>
      </c>
      <c r="D439" t="s">
        <v>54</v>
      </c>
      <c r="E439" t="s">
        <v>160</v>
      </c>
      <c r="F439" t="s">
        <v>120</v>
      </c>
      <c r="H439" s="184" t="s">
        <v>132</v>
      </c>
      <c r="I439">
        <v>1</v>
      </c>
      <c r="X439" t="s">
        <v>70</v>
      </c>
      <c r="Y439" t="str">
        <f>VLOOKUP(Conso_FCST[[#This Row],[Country]],'Country-Region'!A:D,4,0)</f>
        <v>Southern Europe Region</v>
      </c>
      <c r="Z439" t="str">
        <f>VLOOKUP(Conso_FCST[[#This Row],[Country]],'Country-Region'!A:D,3,0)</f>
        <v>Spain</v>
      </c>
      <c r="AA439" t="str">
        <f>IFERROR(VLOOKUP(Conso_FCST[[#This Row],[Model name]],Prod_T6[[#All],[Model name]:[Product Conso]],2,0),"exclude")</f>
        <v>HSM-ND54-DR</v>
      </c>
    </row>
    <row r="440" spans="1:27" hidden="1">
      <c r="A440" t="s">
        <v>29</v>
      </c>
      <c r="B440" t="s">
        <v>487</v>
      </c>
      <c r="D440" t="s">
        <v>54</v>
      </c>
      <c r="E440" t="s">
        <v>297</v>
      </c>
      <c r="F440" t="s">
        <v>120</v>
      </c>
      <c r="H440" s="184" t="s">
        <v>132</v>
      </c>
      <c r="I440">
        <v>2</v>
      </c>
      <c r="J440">
        <v>1</v>
      </c>
      <c r="X440" t="s">
        <v>70</v>
      </c>
      <c r="Y440" t="str">
        <f>VLOOKUP(Conso_FCST[[#This Row],[Country]],'Country-Region'!A:D,4,0)</f>
        <v>Southern Europe Region</v>
      </c>
      <c r="Z440" t="str">
        <f>VLOOKUP(Conso_FCST[[#This Row],[Country]],'Country-Region'!A:D,3,0)</f>
        <v>Spain</v>
      </c>
      <c r="AA440" t="str">
        <f>IFERROR(VLOOKUP(Conso_FCST[[#This Row],[Model name]],Prod_T6[[#All],[Model name]:[Product Conso]],2,0),"exclude")</f>
        <v>HSM-ND66-GR</v>
      </c>
    </row>
    <row r="441" spans="1:27" hidden="1">
      <c r="A441" t="s">
        <v>29</v>
      </c>
      <c r="B441" t="s">
        <v>487</v>
      </c>
      <c r="D441" t="s">
        <v>113</v>
      </c>
      <c r="E441" t="s">
        <v>153</v>
      </c>
      <c r="F441" t="s">
        <v>120</v>
      </c>
      <c r="H441" s="184" t="s">
        <v>132</v>
      </c>
      <c r="J441">
        <v>2</v>
      </c>
      <c r="L441">
        <v>0.8</v>
      </c>
      <c r="X441" t="s">
        <v>70</v>
      </c>
      <c r="Y441" t="str">
        <f>VLOOKUP(Conso_FCST[[#This Row],[Country]],'Country-Region'!A:D,4,0)</f>
        <v>Southern Europe Region</v>
      </c>
      <c r="Z441" t="str">
        <f>VLOOKUP(Conso_FCST[[#This Row],[Country]],'Country-Region'!A:D,3,0)</f>
        <v>Spain</v>
      </c>
      <c r="AA441" t="str">
        <f>IFERROR(VLOOKUP(Conso_FCST[[#This Row],[Model name]],Prod_T6[[#All],[Model name]:[Product Conso]],2,0),"exclude")</f>
        <v>HSM-BE54-HD</v>
      </c>
    </row>
    <row r="442" spans="1:27" hidden="1">
      <c r="A442" t="s">
        <v>29</v>
      </c>
      <c r="B442" t="s">
        <v>487</v>
      </c>
      <c r="D442" t="s">
        <v>113</v>
      </c>
      <c r="E442" t="s">
        <v>182</v>
      </c>
      <c r="F442" t="s">
        <v>120</v>
      </c>
      <c r="H442" s="184" t="s">
        <v>132</v>
      </c>
      <c r="J442">
        <v>1</v>
      </c>
      <c r="X442" t="s">
        <v>70</v>
      </c>
      <c r="Y442" t="str">
        <f>VLOOKUP(Conso_FCST[[#This Row],[Country]],'Country-Region'!A:D,4,0)</f>
        <v>Southern Europe Region</v>
      </c>
      <c r="Z442" t="str">
        <f>VLOOKUP(Conso_FCST[[#This Row],[Country]],'Country-Region'!A:D,3,0)</f>
        <v>Spain</v>
      </c>
      <c r="AA442" t="str">
        <f>IFERROR(VLOOKUP(Conso_FCST[[#This Row],[Model name]],Prod_T6[[#All],[Model name]:[Product Conso]],2,0),"exclude")</f>
        <v xml:space="preserve">HSM-BE66-GD </v>
      </c>
    </row>
    <row r="443" spans="1:27" hidden="1">
      <c r="A443" t="s">
        <v>29</v>
      </c>
      <c r="B443" t="s">
        <v>487</v>
      </c>
      <c r="D443" t="s">
        <v>54</v>
      </c>
      <c r="E443" t="s">
        <v>299</v>
      </c>
      <c r="F443" t="s">
        <v>120</v>
      </c>
      <c r="G443" t="s">
        <v>490</v>
      </c>
      <c r="H443" s="184" t="s">
        <v>117</v>
      </c>
      <c r="O443">
        <v>3.4</v>
      </c>
      <c r="P443">
        <v>5</v>
      </c>
      <c r="Q443">
        <v>1.2</v>
      </c>
      <c r="X443" t="s">
        <v>70</v>
      </c>
      <c r="Y443" t="str">
        <f>VLOOKUP(Conso_FCST[[#This Row],[Country]],'Country-Region'!A:D,4,0)</f>
        <v>Southern Europe Region</v>
      </c>
      <c r="Z443" t="str">
        <f>VLOOKUP(Conso_FCST[[#This Row],[Country]],'Country-Region'!A:D,3,0)</f>
        <v>Spain</v>
      </c>
      <c r="AA443" t="str">
        <f>IFERROR(VLOOKUP(Conso_FCST[[#This Row],[Model name]],Prod_T6[[#All],[Model name]:[Product Conso]],2,0),"exclude")</f>
        <v>HSM-ND66-GK</v>
      </c>
    </row>
    <row r="444" spans="1:27" hidden="1">
      <c r="A444" t="s">
        <v>29</v>
      </c>
      <c r="B444" t="s">
        <v>486</v>
      </c>
      <c r="D444" t="s">
        <v>149</v>
      </c>
      <c r="E444" t="s">
        <v>155</v>
      </c>
      <c r="F444" t="s">
        <v>154</v>
      </c>
      <c r="H444" s="184" t="s">
        <v>132</v>
      </c>
      <c r="I444">
        <v>2</v>
      </c>
      <c r="N444">
        <v>0.8</v>
      </c>
      <c r="X444" t="s">
        <v>70</v>
      </c>
      <c r="Y444" t="str">
        <f>VLOOKUP(Conso_FCST[[#This Row],[Country]],'Country-Region'!A:D,4,0)</f>
        <v>Southern Europe Region</v>
      </c>
      <c r="Z444" t="str">
        <f>VLOOKUP(Conso_FCST[[#This Row],[Country]],'Country-Region'!A:D,3,0)</f>
        <v>Spain</v>
      </c>
      <c r="AA444" t="str">
        <f>IFERROR(VLOOKUP(Conso_FCST[[#This Row],[Model name]],Prod_T6[[#All],[Model name]:[Product Conso]],2,0),"exclude")</f>
        <v>HSM-NT66-GH</v>
      </c>
    </row>
    <row r="445" spans="1:27" hidden="1">
      <c r="A445" t="s">
        <v>29</v>
      </c>
      <c r="B445" t="s">
        <v>486</v>
      </c>
      <c r="D445" t="s">
        <v>149</v>
      </c>
      <c r="E445" t="s">
        <v>491</v>
      </c>
      <c r="F445" t="s">
        <v>154</v>
      </c>
      <c r="H445" s="184" t="s">
        <v>132</v>
      </c>
      <c r="J445">
        <v>2</v>
      </c>
      <c r="X445" t="s">
        <v>70</v>
      </c>
      <c r="Y445" t="str">
        <f>VLOOKUP(Conso_FCST[[#This Row],[Country]],'Country-Region'!A:D,4,0)</f>
        <v>Southern Europe Region</v>
      </c>
      <c r="Z445" t="str">
        <f>VLOOKUP(Conso_FCST[[#This Row],[Country]],'Country-Region'!A:D,3,0)</f>
        <v>Spain</v>
      </c>
      <c r="AA445" t="str">
        <f>IFERROR(VLOOKUP(Conso_FCST[[#This Row],[Model name]],Prod_T6[[#All],[Model name]:[Product Conso]],2,0),"exclude")</f>
        <v>HSM-NT66-GL</v>
      </c>
    </row>
    <row r="446" spans="1:27" hidden="1">
      <c r="A446" t="s">
        <v>29</v>
      </c>
      <c r="B446" t="s">
        <v>486</v>
      </c>
      <c r="D446" t="s">
        <v>54</v>
      </c>
      <c r="E446" t="s">
        <v>160</v>
      </c>
      <c r="F446" t="s">
        <v>154</v>
      </c>
      <c r="H446" s="184" t="s">
        <v>132</v>
      </c>
      <c r="N446">
        <v>0.8</v>
      </c>
      <c r="X446" t="s">
        <v>70</v>
      </c>
      <c r="Y446" t="str">
        <f>VLOOKUP(Conso_FCST[[#This Row],[Country]],'Country-Region'!A:D,4,0)</f>
        <v>Southern Europe Region</v>
      </c>
      <c r="Z446" t="str">
        <f>VLOOKUP(Conso_FCST[[#This Row],[Country]],'Country-Region'!A:D,3,0)</f>
        <v>Spain</v>
      </c>
      <c r="AA446" t="str">
        <f>IFERROR(VLOOKUP(Conso_FCST[[#This Row],[Model name]],Prod_T6[[#All],[Model name]:[Product Conso]],2,0),"exclude")</f>
        <v>HSM-ND54-DR</v>
      </c>
    </row>
    <row r="447" spans="1:27">
      <c r="A447" t="s">
        <v>29</v>
      </c>
      <c r="B447" t="s">
        <v>475</v>
      </c>
      <c r="D447" t="s">
        <v>141</v>
      </c>
      <c r="E447" t="s">
        <v>50</v>
      </c>
      <c r="F447" t="s">
        <v>154</v>
      </c>
      <c r="H447" s="184" t="s">
        <v>117</v>
      </c>
      <c r="O447">
        <v>2</v>
      </c>
      <c r="P447">
        <v>4</v>
      </c>
      <c r="Q447">
        <v>4</v>
      </c>
      <c r="X447" t="s">
        <v>27</v>
      </c>
      <c r="Y447" t="str">
        <f>VLOOKUP(Conso_FCST[[#This Row],[Country]],'Country-Region'!A:D,4,0)</f>
        <v>Southern Europe Region</v>
      </c>
      <c r="Z447" t="str">
        <f>VLOOKUP(Conso_FCST[[#This Row],[Country]],'Country-Region'!A:D,3,0)</f>
        <v>Spain</v>
      </c>
      <c r="AA447" t="str">
        <f>IFERROR(VLOOKUP(Conso_FCST[[#This Row],[Model name]],Prod_T6[[#All],[Model name]:[Product Conso]],2,0),"exclude")</f>
        <v>BlueArk W10-125K-261</v>
      </c>
    </row>
    <row r="448" spans="1:27" hidden="1">
      <c r="A448" t="s">
        <v>56</v>
      </c>
      <c r="B448" t="s">
        <v>492</v>
      </c>
      <c r="C448" t="s">
        <v>493</v>
      </c>
      <c r="D448" t="s">
        <v>134</v>
      </c>
      <c r="E448" t="s">
        <v>135</v>
      </c>
      <c r="F448" t="s">
        <v>115</v>
      </c>
      <c r="G448" t="s">
        <v>494</v>
      </c>
      <c r="H448" s="184" t="s">
        <v>117</v>
      </c>
      <c r="I448">
        <v>8.5000000000000006E-2</v>
      </c>
      <c r="J448">
        <v>8.5000000000000006E-2</v>
      </c>
      <c r="K448">
        <v>8.5000000000000006E-2</v>
      </c>
      <c r="P448">
        <v>7.1999999999999995E-2</v>
      </c>
      <c r="Q448">
        <v>7.1999999999999995E-2</v>
      </c>
      <c r="X448" t="s">
        <v>70</v>
      </c>
      <c r="Y448" t="str">
        <f>VLOOKUP(Conso_FCST[[#This Row],[Country]],'Country-Region'!A:D,4,0)</f>
        <v>UK Region</v>
      </c>
      <c r="Z448" t="str">
        <f>VLOOKUP(Conso_FCST[[#This Row],[Country]],'Country-Region'!A:D,3,0)</f>
        <v>UK</v>
      </c>
      <c r="AA448" t="str">
        <f>IFERROR(VLOOKUP(Conso_FCST[[#This Row],[Model name]],Prod_T6[[#All],[Model name]:[Product Conso]],2,0),"exclude")</f>
        <v>SPR-BE54-HD</v>
      </c>
    </row>
    <row r="449" spans="1:27" hidden="1">
      <c r="A449" t="s">
        <v>56</v>
      </c>
      <c r="B449" t="s">
        <v>495</v>
      </c>
      <c r="C449" t="s">
        <v>493</v>
      </c>
      <c r="D449" t="s">
        <v>118</v>
      </c>
      <c r="E449" t="s">
        <v>119</v>
      </c>
      <c r="F449" t="s">
        <v>136</v>
      </c>
      <c r="G449" t="s">
        <v>496</v>
      </c>
      <c r="H449" s="184" t="s">
        <v>117</v>
      </c>
      <c r="I449">
        <v>0</v>
      </c>
      <c r="J449">
        <v>0</v>
      </c>
      <c r="K449">
        <v>0.14499999999999999</v>
      </c>
      <c r="L449">
        <v>0</v>
      </c>
      <c r="M449">
        <v>0.1</v>
      </c>
      <c r="N449">
        <v>0</v>
      </c>
      <c r="O449">
        <v>0</v>
      </c>
      <c r="P449">
        <v>0.15</v>
      </c>
      <c r="Q449">
        <v>0.05</v>
      </c>
      <c r="X449" t="s">
        <v>70</v>
      </c>
      <c r="Y449" t="str">
        <f>VLOOKUP(Conso_FCST[[#This Row],[Country]],'Country-Region'!A:D,4,0)</f>
        <v>UK Region</v>
      </c>
      <c r="Z449" t="str">
        <f>VLOOKUP(Conso_FCST[[#This Row],[Country]],'Country-Region'!A:D,3,0)</f>
        <v>UK</v>
      </c>
      <c r="AA449" t="str">
        <f>IFERROR(VLOOKUP(Conso_FCST[[#This Row],[Model name]],Prod_T6[[#All],[Model name]:[Product Conso]],2,0),"exclude")</f>
        <v>P7 RES BLK 2.0</v>
      </c>
    </row>
    <row r="450" spans="1:27" hidden="1">
      <c r="A450" t="s">
        <v>56</v>
      </c>
      <c r="B450" t="s">
        <v>497</v>
      </c>
      <c r="C450" t="s">
        <v>498</v>
      </c>
      <c r="D450" t="s">
        <v>149</v>
      </c>
      <c r="E450" t="s">
        <v>152</v>
      </c>
      <c r="F450" t="s">
        <v>136</v>
      </c>
      <c r="G450" t="s">
        <v>499</v>
      </c>
      <c r="H450" s="184" t="s">
        <v>117</v>
      </c>
      <c r="L450">
        <v>0.879</v>
      </c>
      <c r="M450">
        <v>0.879</v>
      </c>
      <c r="N450">
        <v>0.879</v>
      </c>
      <c r="X450" t="s">
        <v>70</v>
      </c>
      <c r="Y450" t="str">
        <f>VLOOKUP(Conso_FCST[[#This Row],[Country]],'Country-Region'!A:D,4,0)</f>
        <v>UK Region</v>
      </c>
      <c r="Z450" t="str">
        <f>VLOOKUP(Conso_FCST[[#This Row],[Country]],'Country-Region'!A:D,3,0)</f>
        <v>UK</v>
      </c>
      <c r="AA450" t="str">
        <f>IFERROR(VLOOKUP(Conso_FCST[[#This Row],[Model name]],Prod_T6[[#All],[Model name]:[Product Conso]],2,0),"exclude")</f>
        <v>HSM-NT48-HH</v>
      </c>
    </row>
    <row r="451" spans="1:27" hidden="1">
      <c r="A451" t="s">
        <v>56</v>
      </c>
      <c r="B451" t="s">
        <v>500</v>
      </c>
      <c r="C451" t="s">
        <v>498</v>
      </c>
      <c r="D451" t="s">
        <v>54</v>
      </c>
      <c r="E451" t="s">
        <v>166</v>
      </c>
      <c r="F451" t="s">
        <v>136</v>
      </c>
      <c r="G451" t="s">
        <v>501</v>
      </c>
      <c r="H451" s="184" t="s">
        <v>117</v>
      </c>
      <c r="L451">
        <v>0.45</v>
      </c>
      <c r="M451">
        <v>0.45</v>
      </c>
      <c r="N451">
        <v>0.9</v>
      </c>
      <c r="X451" t="s">
        <v>70</v>
      </c>
      <c r="Y451" t="str">
        <f>VLOOKUP(Conso_FCST[[#This Row],[Country]],'Country-Region'!A:D,4,0)</f>
        <v>UK Region</v>
      </c>
      <c r="Z451" t="str">
        <f>VLOOKUP(Conso_FCST[[#This Row],[Country]],'Country-Region'!A:D,3,0)</f>
        <v>UK</v>
      </c>
      <c r="AA451" t="str">
        <f>IFERROR(VLOOKUP(Conso_FCST[[#This Row],[Model name]],Prod_T6[[#All],[Model name]:[Product Conso]],2,0),"exclude")</f>
        <v>HSM-ND66-GR</v>
      </c>
    </row>
    <row r="452" spans="1:27" hidden="1">
      <c r="A452" t="s">
        <v>56</v>
      </c>
      <c r="B452" t="s">
        <v>500</v>
      </c>
      <c r="C452" t="s">
        <v>498</v>
      </c>
      <c r="D452" t="s">
        <v>54</v>
      </c>
      <c r="E452" t="s">
        <v>166</v>
      </c>
      <c r="F452" t="s">
        <v>130</v>
      </c>
      <c r="G452" t="s">
        <v>502</v>
      </c>
      <c r="H452" s="184" t="s">
        <v>117</v>
      </c>
      <c r="J452">
        <v>0.45</v>
      </c>
      <c r="X452" t="s">
        <v>70</v>
      </c>
      <c r="Y452" t="str">
        <f>VLOOKUP(Conso_FCST[[#This Row],[Country]],'Country-Region'!A:D,4,0)</f>
        <v>UK Region</v>
      </c>
      <c r="Z452" t="str">
        <f>VLOOKUP(Conso_FCST[[#This Row],[Country]],'Country-Region'!A:D,3,0)</f>
        <v>UK</v>
      </c>
      <c r="AA452" t="str">
        <f>IFERROR(VLOOKUP(Conso_FCST[[#This Row],[Model name]],Prod_T6[[#All],[Model name]:[Product Conso]],2,0),"exclude")</f>
        <v>HSM-ND66-GR</v>
      </c>
    </row>
    <row r="453" spans="1:27" hidden="1">
      <c r="A453" t="s">
        <v>56</v>
      </c>
      <c r="B453" t="s">
        <v>500</v>
      </c>
      <c r="C453" t="s">
        <v>498</v>
      </c>
      <c r="D453" t="s">
        <v>54</v>
      </c>
      <c r="E453" t="s">
        <v>170</v>
      </c>
      <c r="F453" t="s">
        <v>130</v>
      </c>
      <c r="G453" t="s">
        <v>501</v>
      </c>
      <c r="H453" s="184" t="s">
        <v>117</v>
      </c>
      <c r="J453">
        <v>2.6779999999999999</v>
      </c>
      <c r="X453" t="s">
        <v>70</v>
      </c>
      <c r="Y453" t="str">
        <f>VLOOKUP(Conso_FCST[[#This Row],[Country]],'Country-Region'!A:D,4,0)</f>
        <v>UK Region</v>
      </c>
      <c r="Z453" t="str">
        <f>VLOOKUP(Conso_FCST[[#This Row],[Country]],'Country-Region'!A:D,3,0)</f>
        <v>UK</v>
      </c>
      <c r="AA453" t="str">
        <f>IFERROR(VLOOKUP(Conso_FCST[[#This Row],[Model name]],Prod_T6[[#All],[Model name]:[Product Conso]],2,0),"exclude")</f>
        <v>HSM-ND66-GR</v>
      </c>
    </row>
    <row r="454" spans="1:27" hidden="1">
      <c r="A454" t="s">
        <v>56</v>
      </c>
      <c r="B454" t="s">
        <v>500</v>
      </c>
      <c r="C454" t="s">
        <v>498</v>
      </c>
      <c r="D454" t="s">
        <v>54</v>
      </c>
      <c r="E454" t="s">
        <v>160</v>
      </c>
      <c r="F454" t="s">
        <v>130</v>
      </c>
      <c r="G454" t="s">
        <v>503</v>
      </c>
      <c r="H454" s="184" t="s">
        <v>117</v>
      </c>
      <c r="J454">
        <v>1.3080000000000001</v>
      </c>
      <c r="X454" t="s">
        <v>70</v>
      </c>
      <c r="Y454" t="str">
        <f>VLOOKUP(Conso_FCST[[#This Row],[Country]],'Country-Region'!A:D,4,0)</f>
        <v>UK Region</v>
      </c>
      <c r="Z454" t="str">
        <f>VLOOKUP(Conso_FCST[[#This Row],[Country]],'Country-Region'!A:D,3,0)</f>
        <v>UK</v>
      </c>
      <c r="AA454" t="str">
        <f>IFERROR(VLOOKUP(Conso_FCST[[#This Row],[Model name]],Prod_T6[[#All],[Model name]:[Product Conso]],2,0),"exclude")</f>
        <v>HSM-ND54-DR</v>
      </c>
    </row>
    <row r="455" spans="1:27" hidden="1">
      <c r="A455" t="s">
        <v>56</v>
      </c>
      <c r="B455" t="s">
        <v>500</v>
      </c>
      <c r="C455" t="s">
        <v>498</v>
      </c>
      <c r="D455" t="s">
        <v>54</v>
      </c>
      <c r="E455" t="s">
        <v>129</v>
      </c>
      <c r="F455" t="s">
        <v>136</v>
      </c>
      <c r="G455" t="s">
        <v>504</v>
      </c>
      <c r="H455" s="184" t="s">
        <v>117</v>
      </c>
      <c r="J455">
        <v>0.42099999999999999</v>
      </c>
      <c r="K455">
        <v>0.42099999999999999</v>
      </c>
      <c r="X455" t="s">
        <v>70</v>
      </c>
      <c r="Y455" t="str">
        <f>VLOOKUP(Conso_FCST[[#This Row],[Country]],'Country-Region'!A:D,4,0)</f>
        <v>UK Region</v>
      </c>
      <c r="Z455" t="str">
        <f>VLOOKUP(Conso_FCST[[#This Row],[Country]],'Country-Region'!A:D,3,0)</f>
        <v>UK</v>
      </c>
      <c r="AA455" t="str">
        <f>IFERROR(VLOOKUP(Conso_FCST[[#This Row],[Model name]],Prod_T6[[#All],[Model name]:[Product Conso]],2,0),"exclude")</f>
        <v>HSM-ND48-DR</v>
      </c>
    </row>
    <row r="456" spans="1:27" hidden="1">
      <c r="A456" t="s">
        <v>56</v>
      </c>
      <c r="B456" t="s">
        <v>500</v>
      </c>
      <c r="C456" t="s">
        <v>498</v>
      </c>
      <c r="D456" t="s">
        <v>54</v>
      </c>
      <c r="E456" t="s">
        <v>129</v>
      </c>
      <c r="F456" t="s">
        <v>130</v>
      </c>
      <c r="G456" t="s">
        <v>505</v>
      </c>
      <c r="H456" s="184" t="s">
        <v>117</v>
      </c>
      <c r="J456">
        <v>0.84199999999999997</v>
      </c>
      <c r="K456">
        <v>0.84199999999999997</v>
      </c>
      <c r="L456">
        <v>0.84199999999999997</v>
      </c>
      <c r="M456">
        <v>0.84199999999999997</v>
      </c>
      <c r="N456">
        <v>0.84199999999999997</v>
      </c>
      <c r="O456">
        <v>0.84199999999999997</v>
      </c>
      <c r="P456">
        <v>0.42099999999999999</v>
      </c>
      <c r="X456" t="s">
        <v>70</v>
      </c>
      <c r="Y456" t="str">
        <f>VLOOKUP(Conso_FCST[[#This Row],[Country]],'Country-Region'!A:D,4,0)</f>
        <v>UK Region</v>
      </c>
      <c r="Z456" t="str">
        <f>VLOOKUP(Conso_FCST[[#This Row],[Country]],'Country-Region'!A:D,3,0)</f>
        <v>UK</v>
      </c>
      <c r="AA456" t="str">
        <f>IFERROR(VLOOKUP(Conso_FCST[[#This Row],[Model name]],Prod_T6[[#All],[Model name]:[Product Conso]],2,0),"exclude")</f>
        <v>HSM-ND48-DR</v>
      </c>
    </row>
    <row r="457" spans="1:27" hidden="1">
      <c r="A457" t="s">
        <v>56</v>
      </c>
      <c r="B457" t="s">
        <v>500</v>
      </c>
      <c r="C457" t="s">
        <v>498</v>
      </c>
      <c r="D457" t="s">
        <v>314</v>
      </c>
      <c r="E457" t="s">
        <v>372</v>
      </c>
      <c r="F457" t="s">
        <v>130</v>
      </c>
      <c r="G457" t="s">
        <v>506</v>
      </c>
      <c r="H457" s="184" t="s">
        <v>117</v>
      </c>
      <c r="J457">
        <v>1.218</v>
      </c>
      <c r="X457" t="s">
        <v>70</v>
      </c>
      <c r="Y457" t="str">
        <f>VLOOKUP(Conso_FCST[[#This Row],[Country]],'Country-Region'!A:D,4,0)</f>
        <v>UK Region</v>
      </c>
      <c r="Z457" t="str">
        <f>VLOOKUP(Conso_FCST[[#This Row],[Country]],'Country-Region'!A:D,3,0)</f>
        <v>UK</v>
      </c>
      <c r="AA457" t="str">
        <f>IFERROR(VLOOKUP(Conso_FCST[[#This Row],[Model name]],Prod_T6[[#All],[Model name]:[Product Conso]],2,0),"exclude")</f>
        <v>TCL-MR470DT182-58NS</v>
      </c>
    </row>
    <row r="458" spans="1:27" hidden="1">
      <c r="A458" t="s">
        <v>56</v>
      </c>
      <c r="B458" t="s">
        <v>500</v>
      </c>
      <c r="C458" t="s">
        <v>498</v>
      </c>
      <c r="D458" t="s">
        <v>113</v>
      </c>
      <c r="E458" t="s">
        <v>153</v>
      </c>
      <c r="F458" t="s">
        <v>136</v>
      </c>
      <c r="G458" t="s">
        <v>507</v>
      </c>
      <c r="H458" s="184" t="s">
        <v>117</v>
      </c>
      <c r="M458">
        <v>0.439</v>
      </c>
      <c r="N458">
        <v>0.439</v>
      </c>
      <c r="X458" t="s">
        <v>70</v>
      </c>
      <c r="Y458" t="str">
        <f>VLOOKUP(Conso_FCST[[#This Row],[Country]],'Country-Region'!A:D,4,0)</f>
        <v>UK Region</v>
      </c>
      <c r="Z458" t="str">
        <f>VLOOKUP(Conso_FCST[[#This Row],[Country]],'Country-Region'!A:D,3,0)</f>
        <v>UK</v>
      </c>
      <c r="AA458" t="str">
        <f>IFERROR(VLOOKUP(Conso_FCST[[#This Row],[Model name]],Prod_T6[[#All],[Model name]:[Product Conso]],2,0),"exclude")</f>
        <v>HSM-BE54-HD</v>
      </c>
    </row>
    <row r="459" spans="1:27">
      <c r="A459" t="s">
        <v>56</v>
      </c>
      <c r="B459" t="s">
        <v>500</v>
      </c>
      <c r="C459" t="s">
        <v>498</v>
      </c>
      <c r="D459" t="s">
        <v>141</v>
      </c>
      <c r="E459" t="s">
        <v>46</v>
      </c>
      <c r="F459" t="s">
        <v>115</v>
      </c>
      <c r="G459" t="s">
        <v>508</v>
      </c>
      <c r="H459" s="184" t="s">
        <v>117</v>
      </c>
      <c r="X459" t="s">
        <v>27</v>
      </c>
      <c r="Y459" t="str">
        <f>VLOOKUP(Conso_FCST[[#This Row],[Country]],'Country-Region'!A:D,4,0)</f>
        <v>UK Region</v>
      </c>
      <c r="Z459" t="str">
        <f>VLOOKUP(Conso_FCST[[#This Row],[Country]],'Country-Region'!A:D,3,0)</f>
        <v>UK</v>
      </c>
      <c r="AA459" t="str">
        <f>IFERROR(VLOOKUP(Conso_FCST[[#This Row],[Model name]],Prod_T6[[#All],[Model name]:[Product Conso]],2,0),"exclude")</f>
        <v>BlueArk X5-50K-100</v>
      </c>
    </row>
    <row r="460" spans="1:27" hidden="1">
      <c r="A460" t="s">
        <v>56</v>
      </c>
      <c r="B460" t="s">
        <v>500</v>
      </c>
      <c r="C460" t="s">
        <v>498</v>
      </c>
      <c r="D460" t="s">
        <v>113</v>
      </c>
      <c r="E460" t="s">
        <v>153</v>
      </c>
      <c r="F460" t="s">
        <v>136</v>
      </c>
      <c r="G460" t="s">
        <v>509</v>
      </c>
      <c r="H460" s="184" t="s">
        <v>117</v>
      </c>
      <c r="K460">
        <v>4</v>
      </c>
      <c r="L460">
        <v>16</v>
      </c>
      <c r="M460">
        <v>0.94199999999999995</v>
      </c>
      <c r="N460">
        <v>0.94199999999999995</v>
      </c>
      <c r="X460" t="s">
        <v>70</v>
      </c>
      <c r="Y460" t="str">
        <f>VLOOKUP(Conso_FCST[[#This Row],[Country]],'Country-Region'!A:D,4,0)</f>
        <v>UK Region</v>
      </c>
      <c r="Z460" t="str">
        <f>VLOOKUP(Conso_FCST[[#This Row],[Country]],'Country-Region'!A:D,3,0)</f>
        <v>UK</v>
      </c>
      <c r="AA460" t="str">
        <f>IFERROR(VLOOKUP(Conso_FCST[[#This Row],[Model name]],Prod_T6[[#All],[Model name]:[Product Conso]],2,0),"exclude")</f>
        <v>HSM-BE54-HD</v>
      </c>
    </row>
    <row r="461" spans="1:27" hidden="1">
      <c r="A461" t="s">
        <v>56</v>
      </c>
      <c r="B461" t="s">
        <v>500</v>
      </c>
      <c r="C461" t="s">
        <v>498</v>
      </c>
      <c r="D461" t="s">
        <v>113</v>
      </c>
      <c r="E461" t="s">
        <v>153</v>
      </c>
      <c r="F461" t="s">
        <v>136</v>
      </c>
      <c r="G461" t="s">
        <v>510</v>
      </c>
      <c r="H461" s="184" t="s">
        <v>117</v>
      </c>
      <c r="L461">
        <v>0.439</v>
      </c>
      <c r="M461">
        <v>0.439</v>
      </c>
      <c r="N461">
        <v>0.439</v>
      </c>
      <c r="X461" t="s">
        <v>70</v>
      </c>
      <c r="Y461" t="str">
        <f>VLOOKUP(Conso_FCST[[#This Row],[Country]],'Country-Region'!A:D,4,0)</f>
        <v>UK Region</v>
      </c>
      <c r="Z461" t="str">
        <f>VLOOKUP(Conso_FCST[[#This Row],[Country]],'Country-Region'!A:D,3,0)</f>
        <v>UK</v>
      </c>
      <c r="AA461" t="str">
        <f>IFERROR(VLOOKUP(Conso_FCST[[#This Row],[Model name]],Prod_T6[[#All],[Model name]:[Product Conso]],2,0),"exclude")</f>
        <v>HSM-BE54-HD</v>
      </c>
    </row>
    <row r="462" spans="1:27" hidden="1">
      <c r="A462" t="s">
        <v>56</v>
      </c>
      <c r="B462" t="s">
        <v>500</v>
      </c>
      <c r="C462" t="s">
        <v>498</v>
      </c>
      <c r="D462" t="s">
        <v>113</v>
      </c>
      <c r="E462" t="s">
        <v>153</v>
      </c>
      <c r="F462" t="s">
        <v>136</v>
      </c>
      <c r="G462" t="s">
        <v>511</v>
      </c>
      <c r="H462" s="184" t="s">
        <v>117</v>
      </c>
      <c r="M462">
        <v>0.439</v>
      </c>
      <c r="N462">
        <v>0.439</v>
      </c>
      <c r="X462" t="s">
        <v>70</v>
      </c>
      <c r="Y462" t="str">
        <f>VLOOKUP(Conso_FCST[[#This Row],[Country]],'Country-Region'!A:D,4,0)</f>
        <v>UK Region</v>
      </c>
      <c r="Z462" t="str">
        <f>VLOOKUP(Conso_FCST[[#This Row],[Country]],'Country-Region'!A:D,3,0)</f>
        <v>UK</v>
      </c>
      <c r="AA462" t="str">
        <f>IFERROR(VLOOKUP(Conso_FCST[[#This Row],[Model name]],Prod_T6[[#All],[Model name]:[Product Conso]],2,0),"exclude")</f>
        <v>HSM-BE54-HD</v>
      </c>
    </row>
    <row r="463" spans="1:27" hidden="1">
      <c r="A463" t="s">
        <v>56</v>
      </c>
      <c r="B463" t="s">
        <v>500</v>
      </c>
      <c r="C463" t="s">
        <v>512</v>
      </c>
      <c r="D463" t="s">
        <v>113</v>
      </c>
      <c r="E463" t="s">
        <v>153</v>
      </c>
      <c r="F463" t="s">
        <v>136</v>
      </c>
      <c r="G463" t="s">
        <v>513</v>
      </c>
      <c r="H463" s="184" t="s">
        <v>117</v>
      </c>
      <c r="X463" t="s">
        <v>70</v>
      </c>
      <c r="Y463" t="str">
        <f>VLOOKUP(Conso_FCST[[#This Row],[Country]],'Country-Region'!A:D,4,0)</f>
        <v>UK Region</v>
      </c>
      <c r="Z463" t="str">
        <f>VLOOKUP(Conso_FCST[[#This Row],[Country]],'Country-Region'!A:D,3,0)</f>
        <v>UK</v>
      </c>
      <c r="AA463" t="str">
        <f>IFERROR(VLOOKUP(Conso_FCST[[#This Row],[Model name]],Prod_T6[[#All],[Model name]:[Product Conso]],2,0),"exclude")</f>
        <v>HSM-BE54-HD</v>
      </c>
    </row>
    <row r="464" spans="1:27" hidden="1">
      <c r="A464" t="s">
        <v>56</v>
      </c>
      <c r="B464" t="s">
        <v>500</v>
      </c>
      <c r="C464" t="s">
        <v>27</v>
      </c>
      <c r="D464" t="s">
        <v>197</v>
      </c>
      <c r="E464" t="s">
        <v>63</v>
      </c>
      <c r="F464" t="s">
        <v>213</v>
      </c>
      <c r="G464" t="s">
        <v>514</v>
      </c>
      <c r="H464" s="184" t="s">
        <v>117</v>
      </c>
      <c r="N464">
        <v>4</v>
      </c>
      <c r="O464">
        <v>10</v>
      </c>
      <c r="P464">
        <v>10</v>
      </c>
      <c r="Q464">
        <v>2</v>
      </c>
      <c r="X464" t="s">
        <v>27</v>
      </c>
      <c r="Y464" t="str">
        <f>VLOOKUP(Conso_FCST[[#This Row],[Country]],'Country-Region'!A:D,4,0)</f>
        <v>UK Region</v>
      </c>
      <c r="Z464" t="str">
        <f>VLOOKUP(Conso_FCST[[#This Row],[Country]],'Country-Region'!A:D,3,0)</f>
        <v>UK</v>
      </c>
      <c r="AA464" t="str">
        <f>IFERROR(VLOOKUP(Conso_FCST[[#This Row],[Model name]],Prod_T6[[#All],[Model name]:[Product Conso]],2,0),"exclude")</f>
        <v>Gen2 BAT 5kWh</v>
      </c>
    </row>
    <row r="465" spans="1:27" hidden="1">
      <c r="A465" t="s">
        <v>56</v>
      </c>
      <c r="B465" t="s">
        <v>500</v>
      </c>
      <c r="C465" t="s">
        <v>27</v>
      </c>
      <c r="D465" t="s">
        <v>197</v>
      </c>
      <c r="E465" t="s">
        <v>515</v>
      </c>
      <c r="F465" t="s">
        <v>213</v>
      </c>
      <c r="G465" t="s">
        <v>516</v>
      </c>
      <c r="H465" s="184" t="s">
        <v>117</v>
      </c>
      <c r="O465">
        <v>8</v>
      </c>
      <c r="P465">
        <v>10</v>
      </c>
      <c r="Q465">
        <v>3</v>
      </c>
      <c r="X465" t="s">
        <v>27</v>
      </c>
      <c r="Y465" t="str">
        <f>VLOOKUP(Conso_FCST[[#This Row],[Country]],'Country-Region'!A:D,4,0)</f>
        <v>UK Region</v>
      </c>
      <c r="Z465" t="str">
        <f>VLOOKUP(Conso_FCST[[#This Row],[Country]],'Country-Region'!A:D,3,0)</f>
        <v>UK</v>
      </c>
      <c r="AA465" t="str">
        <f>IFERROR(VLOOKUP(Conso_FCST[[#This Row],[Model name]],Prod_T6[[#All],[Model name]:[Product Conso]],2,0),"exclude")</f>
        <v>Gen2 1P 6kw</v>
      </c>
    </row>
    <row r="466" spans="1:27" hidden="1">
      <c r="A466" t="s">
        <v>56</v>
      </c>
      <c r="B466" t="s">
        <v>500</v>
      </c>
      <c r="C466" t="s">
        <v>27</v>
      </c>
      <c r="D466" t="s">
        <v>197</v>
      </c>
      <c r="E466" t="s">
        <v>517</v>
      </c>
      <c r="F466" t="s">
        <v>213</v>
      </c>
      <c r="G466" t="s">
        <v>518</v>
      </c>
      <c r="H466" s="184" t="s">
        <v>117</v>
      </c>
      <c r="N466">
        <v>2</v>
      </c>
      <c r="O466">
        <v>8</v>
      </c>
      <c r="P466">
        <v>10</v>
      </c>
      <c r="Q466">
        <v>3</v>
      </c>
      <c r="X466" t="s">
        <v>27</v>
      </c>
      <c r="Y466" t="str">
        <f>VLOOKUP(Conso_FCST[[#This Row],[Country]],'Country-Region'!A:D,4,0)</f>
        <v>UK Region</v>
      </c>
      <c r="Z466" t="str">
        <f>VLOOKUP(Conso_FCST[[#This Row],[Country]],'Country-Region'!A:D,3,0)</f>
        <v>UK</v>
      </c>
      <c r="AA466" t="str">
        <f>IFERROR(VLOOKUP(Conso_FCST[[#This Row],[Model name]],Prod_T6[[#All],[Model name]:[Product Conso]],2,0),"exclude")</f>
        <v>Gen2 1P 5kw</v>
      </c>
    </row>
    <row r="467" spans="1:27" hidden="1">
      <c r="A467" t="s">
        <v>56</v>
      </c>
      <c r="B467" t="s">
        <v>500</v>
      </c>
      <c r="C467" t="s">
        <v>27</v>
      </c>
      <c r="D467" t="s">
        <v>197</v>
      </c>
      <c r="E467" t="s">
        <v>65</v>
      </c>
      <c r="F467" t="s">
        <v>213</v>
      </c>
      <c r="G467" t="s">
        <v>519</v>
      </c>
      <c r="H467" s="184" t="s">
        <v>117</v>
      </c>
      <c r="O467">
        <v>5</v>
      </c>
      <c r="P467">
        <v>5</v>
      </c>
      <c r="Q467">
        <v>1</v>
      </c>
      <c r="X467" t="s">
        <v>27</v>
      </c>
      <c r="Y467" t="str">
        <f>VLOOKUP(Conso_FCST[[#This Row],[Country]],'Country-Region'!A:D,4,0)</f>
        <v>UK Region</v>
      </c>
      <c r="Z467" t="str">
        <f>VLOOKUP(Conso_FCST[[#This Row],[Country]],'Country-Region'!A:D,3,0)</f>
        <v>UK</v>
      </c>
      <c r="AA467" t="str">
        <f>IFERROR(VLOOKUP(Conso_FCST[[#This Row],[Model name]],Prod_T6[[#All],[Model name]:[Product Conso]],2,0),"exclude")</f>
        <v>Gen2 1P 10kw</v>
      </c>
    </row>
    <row r="468" spans="1:27" hidden="1">
      <c r="A468" t="s">
        <v>56</v>
      </c>
      <c r="B468" t="s">
        <v>520</v>
      </c>
      <c r="C468" t="s">
        <v>493</v>
      </c>
      <c r="D468" t="s">
        <v>54</v>
      </c>
      <c r="E468" t="s">
        <v>160</v>
      </c>
      <c r="F468" t="s">
        <v>130</v>
      </c>
      <c r="G468" t="s">
        <v>521</v>
      </c>
      <c r="H468" s="184" t="s">
        <v>117</v>
      </c>
      <c r="I468">
        <v>0</v>
      </c>
      <c r="J468">
        <v>1.75</v>
      </c>
      <c r="K468">
        <v>3.5</v>
      </c>
      <c r="L468">
        <v>2</v>
      </c>
      <c r="M468">
        <v>2</v>
      </c>
      <c r="N468">
        <v>3.5</v>
      </c>
      <c r="O468">
        <v>2.6</v>
      </c>
      <c r="P468">
        <v>2.6</v>
      </c>
      <c r="Q468">
        <v>2.6</v>
      </c>
      <c r="X468" t="s">
        <v>70</v>
      </c>
      <c r="Y468" t="str">
        <f>VLOOKUP(Conso_FCST[[#This Row],[Country]],'Country-Region'!A:D,4,0)</f>
        <v>UK Region</v>
      </c>
      <c r="Z468" t="str">
        <f>VLOOKUP(Conso_FCST[[#This Row],[Country]],'Country-Region'!A:D,3,0)</f>
        <v>UK</v>
      </c>
      <c r="AA468" t="str">
        <f>IFERROR(VLOOKUP(Conso_FCST[[#This Row],[Model name]],Prod_T6[[#All],[Model name]:[Product Conso]],2,0),"exclude")</f>
        <v>HSM-ND54-DR</v>
      </c>
    </row>
    <row r="469" spans="1:27" hidden="1">
      <c r="A469" t="s">
        <v>56</v>
      </c>
      <c r="B469" t="s">
        <v>500</v>
      </c>
      <c r="C469" t="s">
        <v>512</v>
      </c>
      <c r="D469" t="s">
        <v>118</v>
      </c>
      <c r="E469" t="s">
        <v>180</v>
      </c>
      <c r="F469" t="s">
        <v>156</v>
      </c>
      <c r="G469" t="s">
        <v>522</v>
      </c>
      <c r="H469" s="184" t="s">
        <v>117</v>
      </c>
      <c r="I469">
        <v>7.4999999999999997E-2</v>
      </c>
      <c r="J469">
        <v>7.4999999999999997E-2</v>
      </c>
      <c r="K469">
        <v>7.4999999999999997E-2</v>
      </c>
      <c r="L469">
        <v>7.4999999999999997E-2</v>
      </c>
      <c r="M469">
        <v>7.4999999999999997E-2</v>
      </c>
      <c r="N469">
        <v>7.4999999999999997E-2</v>
      </c>
      <c r="O469">
        <v>7.4999999999999997E-2</v>
      </c>
      <c r="P469">
        <v>7.4999999999999997E-2</v>
      </c>
      <c r="Q469">
        <v>7.4999999999999997E-2</v>
      </c>
      <c r="X469" t="s">
        <v>70</v>
      </c>
      <c r="Y469" t="str">
        <f>VLOOKUP(Conso_FCST[[#This Row],[Country]],'Country-Region'!A:D,4,0)</f>
        <v>UK Region</v>
      </c>
      <c r="Z469" t="str">
        <f>VLOOKUP(Conso_FCST[[#This Row],[Country]],'Country-Region'!A:D,3,0)</f>
        <v>UK</v>
      </c>
      <c r="AA469" t="str">
        <f>IFERROR(VLOOKUP(Conso_FCST[[#This Row],[Model name]],Prod_T6[[#All],[Model name]:[Product Conso]],2,0),"exclude")</f>
        <v>P7 RES BLK-P</v>
      </c>
    </row>
    <row r="470" spans="1:27" hidden="1">
      <c r="A470" t="s">
        <v>56</v>
      </c>
      <c r="B470" t="s">
        <v>523</v>
      </c>
      <c r="C470" t="s">
        <v>512</v>
      </c>
      <c r="D470" t="s">
        <v>118</v>
      </c>
      <c r="E470" t="s">
        <v>119</v>
      </c>
      <c r="F470" t="s">
        <v>156</v>
      </c>
      <c r="H470" s="184" t="s">
        <v>117</v>
      </c>
      <c r="I470">
        <v>3.2000000000000001E-2</v>
      </c>
      <c r="K470">
        <v>3.3000000000000002E-2</v>
      </c>
      <c r="M470">
        <v>3.3000000000000002E-2</v>
      </c>
      <c r="O470">
        <v>3.3000000000000002E-2</v>
      </c>
      <c r="Q470">
        <v>3.3000000000000002E-2</v>
      </c>
      <c r="X470" t="s">
        <v>70</v>
      </c>
      <c r="Y470" t="str">
        <f>VLOOKUP(Conso_FCST[[#This Row],[Country]],'Country-Region'!A:D,4,0)</f>
        <v>UK Region</v>
      </c>
      <c r="Z470" t="str">
        <f>VLOOKUP(Conso_FCST[[#This Row],[Country]],'Country-Region'!A:D,3,0)</f>
        <v>UK</v>
      </c>
      <c r="AA470" t="str">
        <f>IFERROR(VLOOKUP(Conso_FCST[[#This Row],[Model name]],Prod_T6[[#All],[Model name]:[Product Conso]],2,0),"exclude")</f>
        <v>P7 RES BLK 2.0</v>
      </c>
    </row>
    <row r="471" spans="1:27" hidden="1">
      <c r="A471" t="s">
        <v>56</v>
      </c>
      <c r="B471" t="s">
        <v>524</v>
      </c>
      <c r="C471" t="s">
        <v>512</v>
      </c>
      <c r="D471" t="s">
        <v>118</v>
      </c>
      <c r="E471" t="s">
        <v>119</v>
      </c>
      <c r="F471" t="s">
        <v>156</v>
      </c>
      <c r="H471" s="184" t="s">
        <v>117</v>
      </c>
      <c r="I471">
        <v>1.6E-2</v>
      </c>
      <c r="J471">
        <v>1.6E-2</v>
      </c>
      <c r="K471">
        <v>1.6E-2</v>
      </c>
      <c r="L471">
        <v>1.6E-2</v>
      </c>
      <c r="M471">
        <v>1.6E-2</v>
      </c>
      <c r="N471">
        <v>1.6E-2</v>
      </c>
      <c r="O471">
        <v>1.6E-2</v>
      </c>
      <c r="P471">
        <v>1.6E-2</v>
      </c>
      <c r="Q471">
        <v>1.6E-2</v>
      </c>
      <c r="X471" t="s">
        <v>70</v>
      </c>
      <c r="Y471" t="str">
        <f>VLOOKUP(Conso_FCST[[#This Row],[Country]],'Country-Region'!A:D,4,0)</f>
        <v>UK Region</v>
      </c>
      <c r="Z471" t="str">
        <f>VLOOKUP(Conso_FCST[[#This Row],[Country]],'Country-Region'!A:D,3,0)</f>
        <v>UK</v>
      </c>
      <c r="AA471" t="str">
        <f>IFERROR(VLOOKUP(Conso_FCST[[#This Row],[Model name]],Prod_T6[[#All],[Model name]:[Product Conso]],2,0),"exclude")</f>
        <v>P7 RES BLK 2.0</v>
      </c>
    </row>
    <row r="472" spans="1:27" hidden="1">
      <c r="A472" t="s">
        <v>56</v>
      </c>
      <c r="B472" t="s">
        <v>525</v>
      </c>
      <c r="C472" t="s">
        <v>512</v>
      </c>
      <c r="D472" t="s">
        <v>149</v>
      </c>
      <c r="E472" t="s">
        <v>152</v>
      </c>
      <c r="F472" t="s">
        <v>136</v>
      </c>
      <c r="G472" t="s">
        <v>526</v>
      </c>
      <c r="H472" s="184" t="s">
        <v>117</v>
      </c>
      <c r="P472">
        <v>0.82399999999999995</v>
      </c>
      <c r="Q472">
        <v>0.82399999999999995</v>
      </c>
      <c r="X472" t="s">
        <v>70</v>
      </c>
      <c r="Y472" t="str">
        <f>VLOOKUP(Conso_FCST[[#This Row],[Country]],'Country-Region'!A:D,4,0)</f>
        <v>UK Region</v>
      </c>
      <c r="Z472" t="str">
        <f>VLOOKUP(Conso_FCST[[#This Row],[Country]],'Country-Region'!A:D,3,0)</f>
        <v>UK</v>
      </c>
      <c r="AA472" t="str">
        <f>IFERROR(VLOOKUP(Conso_FCST[[#This Row],[Model name]],Prod_T6[[#All],[Model name]:[Product Conso]],2,0),"exclude")</f>
        <v>HSM-NT48-HH</v>
      </c>
    </row>
    <row r="473" spans="1:27" hidden="1">
      <c r="A473" t="s">
        <v>56</v>
      </c>
      <c r="B473" t="s">
        <v>527</v>
      </c>
      <c r="C473" t="s">
        <v>512</v>
      </c>
      <c r="D473" t="s">
        <v>54</v>
      </c>
      <c r="E473" t="s">
        <v>528</v>
      </c>
      <c r="F473" t="s">
        <v>115</v>
      </c>
      <c r="G473" t="s">
        <v>529</v>
      </c>
      <c r="H473" s="184" t="s">
        <v>117</v>
      </c>
      <c r="L473">
        <v>11.5</v>
      </c>
      <c r="X473" t="s">
        <v>70</v>
      </c>
      <c r="Y473" t="str">
        <f>VLOOKUP(Conso_FCST[[#This Row],[Country]],'Country-Region'!A:D,4,0)</f>
        <v>UK Region</v>
      </c>
      <c r="Z473" t="str">
        <f>VLOOKUP(Conso_FCST[[#This Row],[Country]],'Country-Region'!A:D,3,0)</f>
        <v>UK</v>
      </c>
      <c r="AA473" t="str">
        <f>IFERROR(VLOOKUP(Conso_FCST[[#This Row],[Model name]],Prod_T6[[#All],[Model name]:[Product Conso]],2,0),"exclude")</f>
        <v>HSM-ND54-DR CFP</v>
      </c>
    </row>
    <row r="474" spans="1:27" hidden="1">
      <c r="A474" t="s">
        <v>56</v>
      </c>
      <c r="B474" t="s">
        <v>527</v>
      </c>
      <c r="C474" t="s">
        <v>512</v>
      </c>
      <c r="D474" t="s">
        <v>54</v>
      </c>
      <c r="E474" t="s">
        <v>121</v>
      </c>
      <c r="F474" t="s">
        <v>120</v>
      </c>
      <c r="G474" t="s">
        <v>530</v>
      </c>
      <c r="H474" s="184" t="s">
        <v>117</v>
      </c>
      <c r="M474">
        <v>2</v>
      </c>
      <c r="N474">
        <v>2</v>
      </c>
      <c r="X474" t="s">
        <v>70</v>
      </c>
      <c r="Y474" t="str">
        <f>VLOOKUP(Conso_FCST[[#This Row],[Country]],'Country-Region'!A:D,4,0)</f>
        <v>UK Region</v>
      </c>
      <c r="Z474" t="str">
        <f>VLOOKUP(Conso_FCST[[#This Row],[Country]],'Country-Region'!A:D,3,0)</f>
        <v>UK</v>
      </c>
      <c r="AA474" t="str">
        <f>IFERROR(VLOOKUP(Conso_FCST[[#This Row],[Model name]],Prod_T6[[#All],[Model name]:[Product Conso]],2,0),"exclude")</f>
        <v>HSM-ND54-DR</v>
      </c>
    </row>
    <row r="475" spans="1:27" hidden="1">
      <c r="A475" t="s">
        <v>56</v>
      </c>
      <c r="B475" t="s">
        <v>527</v>
      </c>
      <c r="C475" t="s">
        <v>498</v>
      </c>
      <c r="D475" t="s">
        <v>113</v>
      </c>
      <c r="E475" t="s">
        <v>153</v>
      </c>
      <c r="F475" t="s">
        <v>136</v>
      </c>
      <c r="G475" t="s">
        <v>531</v>
      </c>
      <c r="H475" s="184" t="s">
        <v>117</v>
      </c>
      <c r="P475">
        <v>4.5</v>
      </c>
      <c r="X475" t="s">
        <v>70</v>
      </c>
      <c r="Y475" t="str">
        <f>VLOOKUP(Conso_FCST[[#This Row],[Country]],'Country-Region'!A:D,4,0)</f>
        <v>UK Region</v>
      </c>
      <c r="Z475" t="str">
        <f>VLOOKUP(Conso_FCST[[#This Row],[Country]],'Country-Region'!A:D,3,0)</f>
        <v>UK</v>
      </c>
      <c r="AA475" t="str">
        <f>IFERROR(VLOOKUP(Conso_FCST[[#This Row],[Model name]],Prod_T6[[#All],[Model name]:[Product Conso]],2,0),"exclude")</f>
        <v>HSM-BE54-HD</v>
      </c>
    </row>
    <row r="476" spans="1:27" hidden="1">
      <c r="A476" t="s">
        <v>56</v>
      </c>
      <c r="B476" t="s">
        <v>527</v>
      </c>
      <c r="C476" t="s">
        <v>512</v>
      </c>
      <c r="D476" t="s">
        <v>113</v>
      </c>
      <c r="E476" t="s">
        <v>153</v>
      </c>
      <c r="F476" t="s">
        <v>130</v>
      </c>
      <c r="G476" t="s">
        <v>532</v>
      </c>
      <c r="H476" s="184" t="s">
        <v>117</v>
      </c>
      <c r="L476">
        <v>0.47099999999999997</v>
      </c>
      <c r="O476">
        <v>5.2</v>
      </c>
      <c r="X476" t="s">
        <v>70</v>
      </c>
      <c r="Y476" t="str">
        <f>VLOOKUP(Conso_FCST[[#This Row],[Country]],'Country-Region'!A:D,4,0)</f>
        <v>UK Region</v>
      </c>
      <c r="Z476" t="str">
        <f>VLOOKUP(Conso_FCST[[#This Row],[Country]],'Country-Region'!A:D,3,0)</f>
        <v>UK</v>
      </c>
      <c r="AA476" t="str">
        <f>IFERROR(VLOOKUP(Conso_FCST[[#This Row],[Model name]],Prod_T6[[#All],[Model name]:[Product Conso]],2,0),"exclude")</f>
        <v>HSM-BE54-HD</v>
      </c>
    </row>
    <row r="477" spans="1:27" hidden="1">
      <c r="A477" t="s">
        <v>56</v>
      </c>
      <c r="B477" t="s">
        <v>533</v>
      </c>
      <c r="C477" t="s">
        <v>493</v>
      </c>
      <c r="D477" t="s">
        <v>134</v>
      </c>
      <c r="E477" t="s">
        <v>135</v>
      </c>
      <c r="F477" t="s">
        <v>115</v>
      </c>
      <c r="G477" t="s">
        <v>534</v>
      </c>
      <c r="H477" s="184" t="s">
        <v>117</v>
      </c>
      <c r="I477">
        <v>0.13</v>
      </c>
      <c r="J477">
        <v>0.13</v>
      </c>
      <c r="K477">
        <v>0.13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0.14499999999999999</v>
      </c>
      <c r="X477" t="s">
        <v>70</v>
      </c>
      <c r="Y477" t="str">
        <f>VLOOKUP(Conso_FCST[[#This Row],[Country]],'Country-Region'!A:D,4,0)</f>
        <v>UK Region</v>
      </c>
      <c r="Z477" t="str">
        <f>VLOOKUP(Conso_FCST[[#This Row],[Country]],'Country-Region'!A:D,3,0)</f>
        <v>UK</v>
      </c>
      <c r="AA477" t="str">
        <f>IFERROR(VLOOKUP(Conso_FCST[[#This Row],[Model name]],Prod_T6[[#All],[Model name]:[Product Conso]],2,0),"exclude")</f>
        <v>SPR-BE54-HD</v>
      </c>
    </row>
    <row r="478" spans="1:27" hidden="1">
      <c r="A478" t="s">
        <v>56</v>
      </c>
      <c r="B478" t="s">
        <v>533</v>
      </c>
      <c r="C478" t="s">
        <v>493</v>
      </c>
      <c r="D478" t="s">
        <v>118</v>
      </c>
      <c r="E478" t="s">
        <v>180</v>
      </c>
      <c r="F478" t="s">
        <v>130</v>
      </c>
      <c r="G478" t="s">
        <v>534</v>
      </c>
      <c r="H478" s="184" t="s">
        <v>117</v>
      </c>
      <c r="I478">
        <v>0.13</v>
      </c>
      <c r="J478">
        <v>0.13</v>
      </c>
      <c r="K478">
        <v>0.13</v>
      </c>
      <c r="L478">
        <v>0.13</v>
      </c>
      <c r="M478">
        <v>0.13</v>
      </c>
      <c r="N478">
        <v>0.13</v>
      </c>
      <c r="O478">
        <v>0.13</v>
      </c>
      <c r="P478">
        <v>0.13</v>
      </c>
      <c r="Q478">
        <v>0.13</v>
      </c>
      <c r="X478" t="s">
        <v>70</v>
      </c>
      <c r="Y478" t="str">
        <f>VLOOKUP(Conso_FCST[[#This Row],[Country]],'Country-Region'!A:D,4,0)</f>
        <v>UK Region</v>
      </c>
      <c r="Z478" t="str">
        <f>VLOOKUP(Conso_FCST[[#This Row],[Country]],'Country-Region'!A:D,3,0)</f>
        <v>UK</v>
      </c>
      <c r="AA478" t="str">
        <f>IFERROR(VLOOKUP(Conso_FCST[[#This Row],[Model name]],Prod_T6[[#All],[Model name]:[Product Conso]],2,0),"exclude")</f>
        <v>P7 RES BLK-P</v>
      </c>
    </row>
    <row r="479" spans="1:27" hidden="1">
      <c r="A479" t="s">
        <v>56</v>
      </c>
      <c r="B479" t="s">
        <v>535</v>
      </c>
      <c r="C479" t="s">
        <v>493</v>
      </c>
      <c r="D479" t="s">
        <v>118</v>
      </c>
      <c r="E479" t="s">
        <v>145</v>
      </c>
      <c r="F479" t="s">
        <v>130</v>
      </c>
      <c r="G479" t="s">
        <v>536</v>
      </c>
      <c r="H479" s="184" t="s">
        <v>117</v>
      </c>
      <c r="I479">
        <v>0.03</v>
      </c>
      <c r="J479">
        <v>0</v>
      </c>
      <c r="K479">
        <v>0.03</v>
      </c>
      <c r="L479">
        <v>0</v>
      </c>
      <c r="M479">
        <v>0</v>
      </c>
      <c r="N479">
        <v>0.03</v>
      </c>
      <c r="O479">
        <v>0.03</v>
      </c>
      <c r="P479">
        <v>0.03</v>
      </c>
      <c r="Q479">
        <v>0</v>
      </c>
      <c r="X479" t="s">
        <v>70</v>
      </c>
      <c r="Y479" t="str">
        <f>VLOOKUP(Conso_FCST[[#This Row],[Country]],'Country-Region'!A:D,4,0)</f>
        <v>UK Region</v>
      </c>
      <c r="Z479" t="str">
        <f>VLOOKUP(Conso_FCST[[#This Row],[Country]],'Country-Region'!A:D,3,0)</f>
        <v>UK</v>
      </c>
      <c r="AA479" t="str">
        <f>IFERROR(VLOOKUP(Conso_FCST[[#This Row],[Model name]],Prod_T6[[#All],[Model name]:[Product Conso]],2,0),"exclude")</f>
        <v>P7 RES BLK 2.0</v>
      </c>
    </row>
    <row r="480" spans="1:27" hidden="1">
      <c r="A480" t="s">
        <v>56</v>
      </c>
      <c r="B480" t="s">
        <v>537</v>
      </c>
      <c r="C480" t="s">
        <v>512</v>
      </c>
      <c r="D480" t="s">
        <v>118</v>
      </c>
      <c r="E480" t="s">
        <v>180</v>
      </c>
      <c r="F480" t="s">
        <v>156</v>
      </c>
      <c r="H480" s="184" t="s">
        <v>117</v>
      </c>
      <c r="I480">
        <v>3.6999999999999998E-2</v>
      </c>
      <c r="J480">
        <v>3.6999999999999998E-2</v>
      </c>
      <c r="K480">
        <v>3.6999999999999998E-2</v>
      </c>
      <c r="L480">
        <v>3.6999999999999998E-2</v>
      </c>
      <c r="M480">
        <v>3.6999999999999998E-2</v>
      </c>
      <c r="N480">
        <v>3.6999999999999998E-2</v>
      </c>
      <c r="O480">
        <v>3.6999999999999998E-2</v>
      </c>
      <c r="P480">
        <v>3.6999999999999998E-2</v>
      </c>
      <c r="Q480">
        <v>3.6999999999999998E-2</v>
      </c>
      <c r="X480" t="s">
        <v>70</v>
      </c>
      <c r="Y480" t="str">
        <f>VLOOKUP(Conso_FCST[[#This Row],[Country]],'Country-Region'!A:D,4,0)</f>
        <v>UK Region</v>
      </c>
      <c r="Z480" t="str">
        <f>VLOOKUP(Conso_FCST[[#This Row],[Country]],'Country-Region'!A:D,3,0)</f>
        <v>UK</v>
      </c>
      <c r="AA480" t="str">
        <f>IFERROR(VLOOKUP(Conso_FCST[[#This Row],[Model name]],Prod_T6[[#All],[Model name]:[Product Conso]],2,0),"exclude")</f>
        <v>P7 RES BLK-P</v>
      </c>
    </row>
    <row r="481" spans="1:27" hidden="1">
      <c r="A481" t="s">
        <v>56</v>
      </c>
      <c r="B481" t="s">
        <v>537</v>
      </c>
      <c r="C481" t="s">
        <v>512</v>
      </c>
      <c r="D481" t="s">
        <v>118</v>
      </c>
      <c r="E481" t="s">
        <v>119</v>
      </c>
      <c r="F481" t="s">
        <v>156</v>
      </c>
      <c r="H481" s="184" t="s">
        <v>117</v>
      </c>
      <c r="I481">
        <v>4.1000000000000002E-2</v>
      </c>
      <c r="J481">
        <v>4.1000000000000002E-2</v>
      </c>
      <c r="K481">
        <v>4.1000000000000002E-2</v>
      </c>
      <c r="L481">
        <v>4.1000000000000002E-2</v>
      </c>
      <c r="M481">
        <v>4.1000000000000002E-2</v>
      </c>
      <c r="N481">
        <v>4.1000000000000002E-2</v>
      </c>
      <c r="O481">
        <v>4.1000000000000002E-2</v>
      </c>
      <c r="P481">
        <v>4.1000000000000002E-2</v>
      </c>
      <c r="Q481">
        <v>4.1000000000000002E-2</v>
      </c>
      <c r="X481" t="s">
        <v>70</v>
      </c>
      <c r="Y481" t="str">
        <f>VLOOKUP(Conso_FCST[[#This Row],[Country]],'Country-Region'!A:D,4,0)</f>
        <v>UK Region</v>
      </c>
      <c r="Z481" t="str">
        <f>VLOOKUP(Conso_FCST[[#This Row],[Country]],'Country-Region'!A:D,3,0)</f>
        <v>UK</v>
      </c>
      <c r="AA481" t="str">
        <f>IFERROR(VLOOKUP(Conso_FCST[[#This Row],[Model name]],Prod_T6[[#All],[Model name]:[Product Conso]],2,0),"exclude")</f>
        <v>P7 RES BLK 2.0</v>
      </c>
    </row>
    <row r="482" spans="1:27" hidden="1">
      <c r="A482" t="s">
        <v>56</v>
      </c>
      <c r="B482" t="s">
        <v>538</v>
      </c>
      <c r="C482" t="s">
        <v>493</v>
      </c>
      <c r="D482" t="s">
        <v>134</v>
      </c>
      <c r="E482" t="s">
        <v>135</v>
      </c>
      <c r="F482" t="s">
        <v>115</v>
      </c>
      <c r="G482" t="s">
        <v>539</v>
      </c>
      <c r="H482" s="184" t="s">
        <v>117</v>
      </c>
      <c r="I482">
        <v>0.13</v>
      </c>
      <c r="J482">
        <v>0.13</v>
      </c>
      <c r="K482">
        <v>0.13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0.14499999999999999</v>
      </c>
      <c r="X482" t="s">
        <v>70</v>
      </c>
      <c r="Y482" t="str">
        <f>VLOOKUP(Conso_FCST[[#This Row],[Country]],'Country-Region'!A:D,4,0)</f>
        <v>UK Region</v>
      </c>
      <c r="Z482" t="str">
        <f>VLOOKUP(Conso_FCST[[#This Row],[Country]],'Country-Region'!A:D,3,0)</f>
        <v>UK</v>
      </c>
      <c r="AA482" t="str">
        <f>IFERROR(VLOOKUP(Conso_FCST[[#This Row],[Model name]],Prod_T6[[#All],[Model name]:[Product Conso]],2,0),"exclude")</f>
        <v>SPR-BE54-HD</v>
      </c>
    </row>
    <row r="483" spans="1:27" hidden="1">
      <c r="A483" t="s">
        <v>56</v>
      </c>
      <c r="B483" t="s">
        <v>538</v>
      </c>
      <c r="C483" t="s">
        <v>493</v>
      </c>
      <c r="D483" t="s">
        <v>118</v>
      </c>
      <c r="E483" t="s">
        <v>119</v>
      </c>
      <c r="F483" t="s">
        <v>130</v>
      </c>
      <c r="G483" t="s">
        <v>539</v>
      </c>
      <c r="H483" s="184" t="s">
        <v>117</v>
      </c>
      <c r="I483">
        <v>0.13</v>
      </c>
      <c r="J483">
        <v>0.13</v>
      </c>
      <c r="K483">
        <v>0.13</v>
      </c>
      <c r="L483">
        <v>0.13</v>
      </c>
      <c r="M483">
        <v>0</v>
      </c>
      <c r="N483">
        <v>0.13</v>
      </c>
      <c r="O483">
        <v>0.13</v>
      </c>
      <c r="P483">
        <v>0</v>
      </c>
      <c r="Q483">
        <v>0</v>
      </c>
      <c r="X483" t="s">
        <v>70</v>
      </c>
      <c r="Y483" t="str">
        <f>VLOOKUP(Conso_FCST[[#This Row],[Country]],'Country-Region'!A:D,4,0)</f>
        <v>UK Region</v>
      </c>
      <c r="Z483" t="str">
        <f>VLOOKUP(Conso_FCST[[#This Row],[Country]],'Country-Region'!A:D,3,0)</f>
        <v>UK</v>
      </c>
      <c r="AA483" t="str">
        <f>IFERROR(VLOOKUP(Conso_FCST[[#This Row],[Model name]],Prod_T6[[#All],[Model name]:[Product Conso]],2,0),"exclude")</f>
        <v>P7 RES BLK 2.0</v>
      </c>
    </row>
    <row r="484" spans="1:27" hidden="1">
      <c r="A484" t="s">
        <v>56</v>
      </c>
      <c r="B484" t="s">
        <v>540</v>
      </c>
      <c r="C484" t="s">
        <v>498</v>
      </c>
      <c r="D484" t="s">
        <v>149</v>
      </c>
      <c r="E484" t="s">
        <v>152</v>
      </c>
      <c r="F484" t="s">
        <v>213</v>
      </c>
      <c r="H484" s="184" t="s">
        <v>117</v>
      </c>
      <c r="J484">
        <v>1.72</v>
      </c>
      <c r="L484">
        <v>1.72</v>
      </c>
      <c r="X484" t="s">
        <v>70</v>
      </c>
      <c r="Y484" t="str">
        <f>VLOOKUP(Conso_FCST[[#This Row],[Country]],'Country-Region'!A:D,4,0)</f>
        <v>UK Region</v>
      </c>
      <c r="Z484" t="str">
        <f>VLOOKUP(Conso_FCST[[#This Row],[Country]],'Country-Region'!A:D,3,0)</f>
        <v>UK</v>
      </c>
      <c r="AA484" t="str">
        <f>IFERROR(VLOOKUP(Conso_FCST[[#This Row],[Model name]],Prod_T6[[#All],[Model name]:[Product Conso]],2,0),"exclude")</f>
        <v>HSM-NT48-HH</v>
      </c>
    </row>
    <row r="485" spans="1:27" hidden="1">
      <c r="A485" t="s">
        <v>56</v>
      </c>
      <c r="B485" t="s">
        <v>540</v>
      </c>
      <c r="C485" t="s">
        <v>498</v>
      </c>
      <c r="D485" t="s">
        <v>54</v>
      </c>
      <c r="E485" t="s">
        <v>159</v>
      </c>
      <c r="F485" t="s">
        <v>213</v>
      </c>
      <c r="G485" t="s">
        <v>541</v>
      </c>
      <c r="H485" s="184" t="s">
        <v>117</v>
      </c>
      <c r="J485">
        <v>2.34</v>
      </c>
      <c r="L485">
        <v>2.34</v>
      </c>
      <c r="X485" t="s">
        <v>70</v>
      </c>
      <c r="Y485" t="str">
        <f>VLOOKUP(Conso_FCST[[#This Row],[Country]],'Country-Region'!A:D,4,0)</f>
        <v>UK Region</v>
      </c>
      <c r="Z485" t="str">
        <f>VLOOKUP(Conso_FCST[[#This Row],[Country]],'Country-Region'!A:D,3,0)</f>
        <v>UK</v>
      </c>
      <c r="AA485" t="str">
        <f>IFERROR(VLOOKUP(Conso_FCST[[#This Row],[Model name]],Prod_T6[[#All],[Model name]:[Product Conso]],2,0),"exclude")</f>
        <v>HSM-ND48-DR</v>
      </c>
    </row>
    <row r="486" spans="1:27">
      <c r="A486" t="s">
        <v>56</v>
      </c>
      <c r="B486" t="s">
        <v>542</v>
      </c>
      <c r="C486" t="s">
        <v>512</v>
      </c>
      <c r="D486" t="s">
        <v>141</v>
      </c>
      <c r="E486" t="s">
        <v>46</v>
      </c>
      <c r="F486" t="s">
        <v>115</v>
      </c>
      <c r="H486" s="184" t="s">
        <v>117</v>
      </c>
      <c r="L486">
        <v>1</v>
      </c>
      <c r="M486">
        <v>2</v>
      </c>
      <c r="N486">
        <v>2</v>
      </c>
      <c r="O486">
        <v>2</v>
      </c>
      <c r="P486">
        <v>2</v>
      </c>
      <c r="Q486">
        <v>2</v>
      </c>
      <c r="X486" t="s">
        <v>27</v>
      </c>
      <c r="Y486" t="str">
        <f>VLOOKUP(Conso_FCST[[#This Row],[Country]],'Country-Region'!A:D,4,0)</f>
        <v>UK Region</v>
      </c>
      <c r="Z486" t="str">
        <f>VLOOKUP(Conso_FCST[[#This Row],[Country]],'Country-Region'!A:D,3,0)</f>
        <v>UK</v>
      </c>
      <c r="AA486" t="str">
        <f>IFERROR(VLOOKUP(Conso_FCST[[#This Row],[Model name]],Prod_T6[[#All],[Model name]:[Product Conso]],2,0),"exclude")</f>
        <v>BlueArk X5-50K-100</v>
      </c>
    </row>
    <row r="487" spans="1:27" hidden="1">
      <c r="A487" t="s">
        <v>56</v>
      </c>
      <c r="B487" t="s">
        <v>542</v>
      </c>
      <c r="C487" t="s">
        <v>512</v>
      </c>
      <c r="D487" t="s">
        <v>54</v>
      </c>
      <c r="E487" t="s">
        <v>170</v>
      </c>
      <c r="F487" t="s">
        <v>115</v>
      </c>
      <c r="G487" t="s">
        <v>543</v>
      </c>
      <c r="H487" s="184" t="s">
        <v>117</v>
      </c>
      <c r="O487">
        <v>1.9</v>
      </c>
      <c r="X487" t="s">
        <v>70</v>
      </c>
      <c r="Y487" t="str">
        <f>VLOOKUP(Conso_FCST[[#This Row],[Country]],'Country-Region'!A:D,4,0)</f>
        <v>UK Region</v>
      </c>
      <c r="Z487" t="str">
        <f>VLOOKUP(Conso_FCST[[#This Row],[Country]],'Country-Region'!A:D,3,0)</f>
        <v>UK</v>
      </c>
      <c r="AA487" t="str">
        <f>IFERROR(VLOOKUP(Conso_FCST[[#This Row],[Model name]],Prod_T6[[#All],[Model name]:[Product Conso]],2,0),"exclude")</f>
        <v>HSM-ND66-GR</v>
      </c>
    </row>
    <row r="488" spans="1:27" hidden="1">
      <c r="A488" t="s">
        <v>56</v>
      </c>
      <c r="B488" t="s">
        <v>542</v>
      </c>
      <c r="C488" t="s">
        <v>512</v>
      </c>
      <c r="D488" t="s">
        <v>314</v>
      </c>
      <c r="E488" t="s">
        <v>372</v>
      </c>
      <c r="F488" t="s">
        <v>130</v>
      </c>
      <c r="G488" t="s">
        <v>544</v>
      </c>
      <c r="H488" s="184" t="s">
        <v>117</v>
      </c>
      <c r="I488">
        <v>2</v>
      </c>
      <c r="J488">
        <v>1.6</v>
      </c>
      <c r="K488">
        <v>1.35</v>
      </c>
      <c r="O488">
        <v>1.35</v>
      </c>
      <c r="P488">
        <v>1.35</v>
      </c>
      <c r="Q488">
        <v>0.45</v>
      </c>
      <c r="X488" t="s">
        <v>70</v>
      </c>
      <c r="Y488" t="str">
        <f>VLOOKUP(Conso_FCST[[#This Row],[Country]],'Country-Region'!A:D,4,0)</f>
        <v>UK Region</v>
      </c>
      <c r="Z488" t="str">
        <f>VLOOKUP(Conso_FCST[[#This Row],[Country]],'Country-Region'!A:D,3,0)</f>
        <v>UK</v>
      </c>
      <c r="AA488" t="str">
        <f>IFERROR(VLOOKUP(Conso_FCST[[#This Row],[Model name]],Prod_T6[[#All],[Model name]:[Product Conso]],2,0),"exclude")</f>
        <v>TCL-MR470DT182-58NS</v>
      </c>
    </row>
    <row r="489" spans="1:27" hidden="1">
      <c r="A489" t="s">
        <v>56</v>
      </c>
      <c r="B489" t="s">
        <v>545</v>
      </c>
      <c r="C489" t="s">
        <v>498</v>
      </c>
      <c r="D489" t="s">
        <v>54</v>
      </c>
      <c r="E489" t="s">
        <v>159</v>
      </c>
      <c r="F489" t="s">
        <v>136</v>
      </c>
      <c r="H489" s="184" t="s">
        <v>117</v>
      </c>
      <c r="J489">
        <v>0.82399999999999995</v>
      </c>
      <c r="X489" t="s">
        <v>70</v>
      </c>
      <c r="Y489" t="str">
        <f>VLOOKUP(Conso_FCST[[#This Row],[Country]],'Country-Region'!A:D,4,0)</f>
        <v>UK Region</v>
      </c>
      <c r="Z489" t="str">
        <f>VLOOKUP(Conso_FCST[[#This Row],[Country]],'Country-Region'!A:D,3,0)</f>
        <v>UK</v>
      </c>
      <c r="AA489" t="str">
        <f>IFERROR(VLOOKUP(Conso_FCST[[#This Row],[Model name]],Prod_T6[[#All],[Model name]:[Product Conso]],2,0),"exclude")</f>
        <v>HSM-ND48-DR</v>
      </c>
    </row>
    <row r="490" spans="1:27" hidden="1">
      <c r="A490" t="s">
        <v>56</v>
      </c>
      <c r="B490" t="s">
        <v>545</v>
      </c>
      <c r="C490" t="s">
        <v>498</v>
      </c>
      <c r="D490" t="s">
        <v>54</v>
      </c>
      <c r="E490" t="s">
        <v>121</v>
      </c>
      <c r="F490" t="s">
        <v>115</v>
      </c>
      <c r="H490" s="184" t="s">
        <v>117</v>
      </c>
      <c r="J490">
        <v>1.296</v>
      </c>
      <c r="X490" t="s">
        <v>70</v>
      </c>
      <c r="Y490" t="str">
        <f>VLOOKUP(Conso_FCST[[#This Row],[Country]],'Country-Region'!A:D,4,0)</f>
        <v>UK Region</v>
      </c>
      <c r="Z490" t="str">
        <f>VLOOKUP(Conso_FCST[[#This Row],[Country]],'Country-Region'!A:D,3,0)</f>
        <v>UK</v>
      </c>
      <c r="AA490" t="str">
        <f>IFERROR(VLOOKUP(Conso_FCST[[#This Row],[Model name]],Prod_T6[[#All],[Model name]:[Product Conso]],2,0),"exclude")</f>
        <v>HSM-ND54-DR</v>
      </c>
    </row>
    <row r="491" spans="1:27" hidden="1">
      <c r="A491" t="s">
        <v>56</v>
      </c>
      <c r="B491" t="s">
        <v>523</v>
      </c>
      <c r="C491" t="s">
        <v>512</v>
      </c>
      <c r="D491" t="s">
        <v>118</v>
      </c>
      <c r="E491" t="s">
        <v>180</v>
      </c>
      <c r="F491" t="s">
        <v>156</v>
      </c>
      <c r="H491" s="184" t="s">
        <v>117</v>
      </c>
      <c r="K491">
        <v>1.7999999999999999E-2</v>
      </c>
      <c r="M491">
        <v>1.7999999999999999E-2</v>
      </c>
      <c r="O491">
        <v>1.7999999999999999E-2</v>
      </c>
      <c r="Q491">
        <v>1.7999999999999999E-2</v>
      </c>
      <c r="X491" t="s">
        <v>70</v>
      </c>
      <c r="Y491" t="str">
        <f>VLOOKUP(Conso_FCST[[#This Row],[Country]],'Country-Region'!A:D,4,0)</f>
        <v>UK Region</v>
      </c>
      <c r="Z491" t="str">
        <f>VLOOKUP(Conso_FCST[[#This Row],[Country]],'Country-Region'!A:D,3,0)</f>
        <v>UK</v>
      </c>
      <c r="AA491" t="str">
        <f>IFERROR(VLOOKUP(Conso_FCST[[#This Row],[Model name]],Prod_T6[[#All],[Model name]:[Product Conso]],2,0),"exclude")</f>
        <v>P7 RES BLK-P</v>
      </c>
    </row>
    <row r="492" spans="1:27" hidden="1">
      <c r="A492" t="s">
        <v>56</v>
      </c>
      <c r="B492" t="s">
        <v>500</v>
      </c>
      <c r="C492" t="s">
        <v>498</v>
      </c>
      <c r="D492" t="s">
        <v>314</v>
      </c>
      <c r="E492" t="s">
        <v>372</v>
      </c>
      <c r="F492" t="s">
        <v>115</v>
      </c>
      <c r="G492" t="s">
        <v>546</v>
      </c>
      <c r="H492" s="184" t="s">
        <v>117</v>
      </c>
      <c r="I492">
        <v>10</v>
      </c>
      <c r="K492">
        <v>25</v>
      </c>
      <c r="X492" t="s">
        <v>70</v>
      </c>
      <c r="Y492" t="str">
        <f>VLOOKUP(Conso_FCST[[#This Row],[Country]],'Country-Region'!A:D,4,0)</f>
        <v>UK Region</v>
      </c>
      <c r="Z492" t="str">
        <f>VLOOKUP(Conso_FCST[[#This Row],[Country]],'Country-Region'!A:D,3,0)</f>
        <v>UK</v>
      </c>
      <c r="AA492" t="str">
        <f>IFERROR(VLOOKUP(Conso_FCST[[#This Row],[Model name]],Prod_T6[[#All],[Model name]:[Product Conso]],2,0),"exclude")</f>
        <v>TCL-MR470DT182-58NS</v>
      </c>
    </row>
    <row r="493" spans="1:27" hidden="1">
      <c r="A493" t="s">
        <v>56</v>
      </c>
      <c r="B493" t="s">
        <v>500</v>
      </c>
      <c r="C493" t="s">
        <v>493</v>
      </c>
      <c r="D493" t="s">
        <v>118</v>
      </c>
      <c r="E493" t="s">
        <v>119</v>
      </c>
      <c r="F493" t="s">
        <v>115</v>
      </c>
      <c r="H493" s="184" t="s">
        <v>117</v>
      </c>
      <c r="I493">
        <v>0</v>
      </c>
      <c r="J493">
        <v>0.22</v>
      </c>
      <c r="K493">
        <v>0.6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X493" t="s">
        <v>70</v>
      </c>
      <c r="Y493" t="str">
        <f>VLOOKUP(Conso_FCST[[#This Row],[Country]],'Country-Region'!A:D,4,0)</f>
        <v>UK Region</v>
      </c>
      <c r="Z493" t="str">
        <f>VLOOKUP(Conso_FCST[[#This Row],[Country]],'Country-Region'!A:D,3,0)</f>
        <v>UK</v>
      </c>
      <c r="AA493" t="str">
        <f>IFERROR(VLOOKUP(Conso_FCST[[#This Row],[Model name]],Prod_T6[[#All],[Model name]:[Product Conso]],2,0),"exclude")</f>
        <v>P7 RES BLK 2.0</v>
      </c>
    </row>
    <row r="494" spans="1:27" hidden="1">
      <c r="A494" t="s">
        <v>56</v>
      </c>
      <c r="B494" t="s">
        <v>500</v>
      </c>
      <c r="C494" t="s">
        <v>512</v>
      </c>
      <c r="D494" t="s">
        <v>118</v>
      </c>
      <c r="E494" t="s">
        <v>119</v>
      </c>
      <c r="F494" t="s">
        <v>156</v>
      </c>
      <c r="G494" t="s">
        <v>547</v>
      </c>
      <c r="H494" s="184" t="s">
        <v>117</v>
      </c>
      <c r="I494">
        <v>9.8000000000000004E-2</v>
      </c>
      <c r="J494">
        <v>0.13300000000000001</v>
      </c>
      <c r="K494">
        <v>0.1</v>
      </c>
      <c r="L494">
        <v>0.1</v>
      </c>
      <c r="M494">
        <v>0.1</v>
      </c>
      <c r="N494">
        <v>0.1</v>
      </c>
      <c r="O494">
        <v>0.1</v>
      </c>
      <c r="P494">
        <v>0.1</v>
      </c>
      <c r="Q494">
        <v>0.1</v>
      </c>
      <c r="X494" t="s">
        <v>70</v>
      </c>
      <c r="Y494" t="str">
        <f>VLOOKUP(Conso_FCST[[#This Row],[Country]],'Country-Region'!A:D,4,0)</f>
        <v>UK Region</v>
      </c>
      <c r="Z494" t="str">
        <f>VLOOKUP(Conso_FCST[[#This Row],[Country]],'Country-Region'!A:D,3,0)</f>
        <v>UK</v>
      </c>
      <c r="AA494" t="str">
        <f>IFERROR(VLOOKUP(Conso_FCST[[#This Row],[Model name]],Prod_T6[[#All],[Model name]:[Product Conso]],2,0),"exclude")</f>
        <v>P7 RES BLK 2.0</v>
      </c>
    </row>
    <row r="495" spans="1:27" hidden="1">
      <c r="A495" t="s">
        <v>56</v>
      </c>
      <c r="B495" t="s">
        <v>548</v>
      </c>
      <c r="C495" t="s">
        <v>498</v>
      </c>
      <c r="D495" t="s">
        <v>118</v>
      </c>
      <c r="E495" t="s">
        <v>123</v>
      </c>
      <c r="F495" t="s">
        <v>130</v>
      </c>
      <c r="G495" t="s">
        <v>549</v>
      </c>
      <c r="H495" s="184" t="s">
        <v>132</v>
      </c>
      <c r="J495">
        <v>2.0499999999999998</v>
      </c>
      <c r="L495">
        <v>2.0499999999999998</v>
      </c>
      <c r="N495">
        <v>2.0499999999999998</v>
      </c>
      <c r="X495" t="s">
        <v>70</v>
      </c>
      <c r="Y495" t="str">
        <f>VLOOKUP(Conso_FCST[[#This Row],[Country]],'Country-Region'!A:D,4,0)</f>
        <v>UK Region</v>
      </c>
      <c r="Z495" t="str">
        <f>VLOOKUP(Conso_FCST[[#This Row],[Country]],'Country-Region'!A:D,3,0)</f>
        <v>UK</v>
      </c>
      <c r="AA495" t="str">
        <f>IFERROR(VLOOKUP(Conso_FCST[[#This Row],[Model name]],Prod_T6[[#All],[Model name]:[Product Conso]],2,0),"exclude")</f>
        <v>P7 RES BLK-P</v>
      </c>
    </row>
    <row r="496" spans="1:27" hidden="1">
      <c r="A496" t="s">
        <v>56</v>
      </c>
      <c r="B496" t="s">
        <v>550</v>
      </c>
      <c r="C496" t="s">
        <v>498</v>
      </c>
      <c r="D496" t="s">
        <v>118</v>
      </c>
      <c r="E496" t="s">
        <v>119</v>
      </c>
      <c r="F496" t="s">
        <v>130</v>
      </c>
      <c r="H496" s="184" t="s">
        <v>132</v>
      </c>
      <c r="I496">
        <v>3.9744000000000002</v>
      </c>
      <c r="X496" t="s">
        <v>70</v>
      </c>
      <c r="Y496" t="str">
        <f>VLOOKUP(Conso_FCST[[#This Row],[Country]],'Country-Region'!A:D,4,0)</f>
        <v>UK Region</v>
      </c>
      <c r="Z496" t="str">
        <f>VLOOKUP(Conso_FCST[[#This Row],[Country]],'Country-Region'!A:D,3,0)</f>
        <v>UK</v>
      </c>
      <c r="AA496" t="str">
        <f>IFERROR(VLOOKUP(Conso_FCST[[#This Row],[Model name]],Prod_T6[[#All],[Model name]:[Product Conso]],2,0),"exclude")</f>
        <v>P7 RES BLK 2.0</v>
      </c>
    </row>
    <row r="497" spans="1:27" hidden="1">
      <c r="A497" t="s">
        <v>56</v>
      </c>
      <c r="B497" t="s">
        <v>548</v>
      </c>
      <c r="C497" t="s">
        <v>498</v>
      </c>
      <c r="D497" t="s">
        <v>54</v>
      </c>
      <c r="E497" t="s">
        <v>129</v>
      </c>
      <c r="F497" t="s">
        <v>213</v>
      </c>
      <c r="H497" s="184" t="s">
        <v>132</v>
      </c>
      <c r="J497">
        <v>5.04</v>
      </c>
      <c r="X497" t="s">
        <v>70</v>
      </c>
      <c r="Y497" t="str">
        <f>VLOOKUP(Conso_FCST[[#This Row],[Country]],'Country-Region'!A:D,4,0)</f>
        <v>UK Region</v>
      </c>
      <c r="Z497" t="str">
        <f>VLOOKUP(Conso_FCST[[#This Row],[Country]],'Country-Region'!A:D,3,0)</f>
        <v>UK</v>
      </c>
      <c r="AA497" t="str">
        <f>IFERROR(VLOOKUP(Conso_FCST[[#This Row],[Model name]],Prod_T6[[#All],[Model name]:[Product Conso]],2,0),"exclude")</f>
        <v>HSM-ND48-DR</v>
      </c>
    </row>
    <row r="498" spans="1:27" hidden="1">
      <c r="A498" t="s">
        <v>56</v>
      </c>
      <c r="B498" t="s">
        <v>548</v>
      </c>
      <c r="C498" t="s">
        <v>498</v>
      </c>
      <c r="D498" t="s">
        <v>54</v>
      </c>
      <c r="E498" t="s">
        <v>159</v>
      </c>
      <c r="F498" t="s">
        <v>213</v>
      </c>
      <c r="H498" s="184" t="s">
        <v>132</v>
      </c>
      <c r="L498">
        <v>2.66</v>
      </c>
      <c r="M498">
        <v>2.66</v>
      </c>
      <c r="N498">
        <v>2.66</v>
      </c>
      <c r="X498" t="s">
        <v>70</v>
      </c>
      <c r="Y498" t="str">
        <f>VLOOKUP(Conso_FCST[[#This Row],[Country]],'Country-Region'!A:D,4,0)</f>
        <v>UK Region</v>
      </c>
      <c r="Z498" t="str">
        <f>VLOOKUP(Conso_FCST[[#This Row],[Country]],'Country-Region'!A:D,3,0)</f>
        <v>UK</v>
      </c>
      <c r="AA498" t="str">
        <f>IFERROR(VLOOKUP(Conso_FCST[[#This Row],[Model name]],Prod_T6[[#All],[Model name]:[Product Conso]],2,0),"exclude")</f>
        <v>HSM-ND48-DR</v>
      </c>
    </row>
    <row r="499" spans="1:27" hidden="1">
      <c r="A499" t="s">
        <v>56</v>
      </c>
      <c r="B499" t="s">
        <v>548</v>
      </c>
      <c r="C499" t="s">
        <v>498</v>
      </c>
      <c r="D499" t="s">
        <v>149</v>
      </c>
      <c r="E499" t="s">
        <v>152</v>
      </c>
      <c r="F499" t="s">
        <v>213</v>
      </c>
      <c r="G499" t="s">
        <v>551</v>
      </c>
      <c r="H499" s="184" t="s">
        <v>132</v>
      </c>
      <c r="J499">
        <v>1.72</v>
      </c>
      <c r="K499">
        <v>1.72</v>
      </c>
      <c r="M499">
        <v>3.44</v>
      </c>
      <c r="X499" t="s">
        <v>70</v>
      </c>
      <c r="Y499" t="str">
        <f>VLOOKUP(Conso_FCST[[#This Row],[Country]],'Country-Region'!A:D,4,0)</f>
        <v>UK Region</v>
      </c>
      <c r="Z499" t="str">
        <f>VLOOKUP(Conso_FCST[[#This Row],[Country]],'Country-Region'!A:D,3,0)</f>
        <v>UK</v>
      </c>
      <c r="AA499" t="str">
        <f>IFERROR(VLOOKUP(Conso_FCST[[#This Row],[Model name]],Prod_T6[[#All],[Model name]:[Product Conso]],2,0),"exclude")</f>
        <v>HSM-NT48-HH</v>
      </c>
    </row>
    <row r="500" spans="1:27" hidden="1">
      <c r="A500" t="s">
        <v>56</v>
      </c>
      <c r="B500" t="s">
        <v>548</v>
      </c>
      <c r="C500" t="s">
        <v>498</v>
      </c>
      <c r="D500" t="s">
        <v>314</v>
      </c>
      <c r="E500" t="s">
        <v>372</v>
      </c>
      <c r="F500" t="s">
        <v>115</v>
      </c>
      <c r="H500" s="184" t="s">
        <v>132</v>
      </c>
      <c r="M500">
        <v>2.3820000000000001</v>
      </c>
      <c r="X500" t="s">
        <v>70</v>
      </c>
      <c r="Y500" t="str">
        <f>VLOOKUP(Conso_FCST[[#This Row],[Country]],'Country-Region'!A:D,4,0)</f>
        <v>UK Region</v>
      </c>
      <c r="Z500" t="str">
        <f>VLOOKUP(Conso_FCST[[#This Row],[Country]],'Country-Region'!A:D,3,0)</f>
        <v>UK</v>
      </c>
      <c r="AA500" t="str">
        <f>IFERROR(VLOOKUP(Conso_FCST[[#This Row],[Model name]],Prod_T6[[#All],[Model name]:[Product Conso]],2,0),"exclude")</f>
        <v>TCL-MR470DT182-58NS</v>
      </c>
    </row>
    <row r="501" spans="1:27" hidden="1">
      <c r="A501" t="s">
        <v>56</v>
      </c>
      <c r="B501" t="s">
        <v>548</v>
      </c>
      <c r="C501" t="s">
        <v>498</v>
      </c>
      <c r="D501" t="s">
        <v>118</v>
      </c>
      <c r="E501" t="s">
        <v>119</v>
      </c>
      <c r="F501" t="s">
        <v>115</v>
      </c>
      <c r="H501" s="184" t="s">
        <v>132</v>
      </c>
      <c r="L501">
        <v>4.0999999999999996</v>
      </c>
      <c r="N501">
        <v>4.0999999999999996</v>
      </c>
      <c r="X501" t="s">
        <v>70</v>
      </c>
      <c r="Y501" t="str">
        <f>VLOOKUP(Conso_FCST[[#This Row],[Country]],'Country-Region'!A:D,4,0)</f>
        <v>UK Region</v>
      </c>
      <c r="Z501" t="str">
        <f>VLOOKUP(Conso_FCST[[#This Row],[Country]],'Country-Region'!A:D,3,0)</f>
        <v>UK</v>
      </c>
      <c r="AA501" t="str">
        <f>IFERROR(VLOOKUP(Conso_FCST[[#This Row],[Model name]],Prod_T6[[#All],[Model name]:[Product Conso]],2,0),"exclude")</f>
        <v>P7 RES BLK 2.0</v>
      </c>
    </row>
    <row r="502" spans="1:27" hidden="1">
      <c r="A502" t="s">
        <v>56</v>
      </c>
      <c r="B502" t="s">
        <v>548</v>
      </c>
      <c r="C502" t="s">
        <v>498</v>
      </c>
      <c r="D502" t="s">
        <v>118</v>
      </c>
      <c r="E502" t="s">
        <v>145</v>
      </c>
      <c r="F502" t="s">
        <v>156</v>
      </c>
      <c r="G502" t="s">
        <v>552</v>
      </c>
      <c r="H502" s="184" t="s">
        <v>132</v>
      </c>
      <c r="J502">
        <v>4.3</v>
      </c>
      <c r="X502" t="s">
        <v>70</v>
      </c>
      <c r="Y502" t="str">
        <f>VLOOKUP(Conso_FCST[[#This Row],[Country]],'Country-Region'!A:D,4,0)</f>
        <v>UK Region</v>
      </c>
      <c r="Z502" t="str">
        <f>VLOOKUP(Conso_FCST[[#This Row],[Country]],'Country-Region'!A:D,3,0)</f>
        <v>UK</v>
      </c>
      <c r="AA502" t="str">
        <f>IFERROR(VLOOKUP(Conso_FCST[[#This Row],[Model name]],Prod_T6[[#All],[Model name]:[Product Conso]],2,0),"exclude")</f>
        <v>P7 RES BLK 2.0</v>
      </c>
    </row>
    <row r="503" spans="1:27" hidden="1">
      <c r="A503" t="s">
        <v>56</v>
      </c>
      <c r="B503" t="s">
        <v>548</v>
      </c>
      <c r="C503" t="s">
        <v>498</v>
      </c>
      <c r="D503" t="s">
        <v>276</v>
      </c>
      <c r="E503" t="s">
        <v>553</v>
      </c>
      <c r="F503" t="s">
        <v>130</v>
      </c>
      <c r="H503" s="184" t="s">
        <v>132</v>
      </c>
      <c r="I503">
        <v>1.274</v>
      </c>
      <c r="X503" t="s">
        <v>70</v>
      </c>
      <c r="Y503" t="str">
        <f>VLOOKUP(Conso_FCST[[#This Row],[Country]],'Country-Region'!A:D,4,0)</f>
        <v>UK Region</v>
      </c>
      <c r="Z503" t="str">
        <f>VLOOKUP(Conso_FCST[[#This Row],[Country]],'Country-Region'!A:D,3,0)</f>
        <v>UK</v>
      </c>
      <c r="AA503" t="str">
        <f>IFERROR(VLOOKUP(Conso_FCST[[#This Row],[Model name]],Prod_T6[[#All],[Model name]:[Product Conso]],2,0),"exclude")</f>
        <v>SPR-BD54-DC</v>
      </c>
    </row>
    <row r="504" spans="1:27" hidden="1">
      <c r="A504" t="s">
        <v>56</v>
      </c>
      <c r="B504" t="s">
        <v>554</v>
      </c>
      <c r="C504" t="s">
        <v>493</v>
      </c>
      <c r="D504" t="s">
        <v>118</v>
      </c>
      <c r="E504" t="s">
        <v>119</v>
      </c>
      <c r="F504" t="s">
        <v>136</v>
      </c>
      <c r="G504" t="s">
        <v>555</v>
      </c>
      <c r="H504" s="184" t="s">
        <v>117</v>
      </c>
      <c r="I504">
        <v>0</v>
      </c>
      <c r="J504">
        <v>0</v>
      </c>
      <c r="K504">
        <v>0.5</v>
      </c>
      <c r="L504">
        <v>0</v>
      </c>
      <c r="M504">
        <v>0</v>
      </c>
      <c r="N504">
        <v>0</v>
      </c>
      <c r="O504">
        <v>0</v>
      </c>
      <c r="P504">
        <v>0.2</v>
      </c>
      <c r="Q504">
        <v>0</v>
      </c>
      <c r="X504" t="s">
        <v>70</v>
      </c>
      <c r="Y504" t="str">
        <f>VLOOKUP(Conso_FCST[[#This Row],[Country]],'Country-Region'!A:D,4,0)</f>
        <v>UK Region</v>
      </c>
      <c r="Z504" t="str">
        <f>VLOOKUP(Conso_FCST[[#This Row],[Country]],'Country-Region'!A:D,3,0)</f>
        <v>UK</v>
      </c>
      <c r="AA504" t="str">
        <f>IFERROR(VLOOKUP(Conso_FCST[[#This Row],[Model name]],Prod_T6[[#All],[Model name]:[Product Conso]],2,0),"exclude")</f>
        <v>P7 RES BLK 2.0</v>
      </c>
    </row>
    <row r="505" spans="1:27" hidden="1">
      <c r="A505" t="s">
        <v>56</v>
      </c>
      <c r="B505" t="s">
        <v>556</v>
      </c>
      <c r="C505" t="s">
        <v>512</v>
      </c>
      <c r="D505" t="s">
        <v>118</v>
      </c>
      <c r="E505" t="s">
        <v>119</v>
      </c>
      <c r="F505" t="s">
        <v>156</v>
      </c>
      <c r="H505" s="184" t="s">
        <v>117</v>
      </c>
      <c r="I505">
        <v>6.6000000000000003E-2</v>
      </c>
      <c r="J505">
        <v>6.6000000000000003E-2</v>
      </c>
      <c r="K505">
        <v>3.3000000000000002E-2</v>
      </c>
      <c r="L505">
        <v>6.6000000000000003E-2</v>
      </c>
      <c r="M505">
        <v>6.6000000000000003E-2</v>
      </c>
      <c r="N505">
        <v>6.6000000000000003E-2</v>
      </c>
      <c r="O505">
        <v>6.6000000000000003E-2</v>
      </c>
      <c r="P505">
        <v>6.6000000000000003E-2</v>
      </c>
      <c r="Q505">
        <v>6.6000000000000003E-2</v>
      </c>
      <c r="X505" t="s">
        <v>70</v>
      </c>
      <c r="Y505" t="str">
        <f>VLOOKUP(Conso_FCST[[#This Row],[Country]],'Country-Region'!A:D,4,0)</f>
        <v>UK Region</v>
      </c>
      <c r="Z505" t="str">
        <f>VLOOKUP(Conso_FCST[[#This Row],[Country]],'Country-Region'!A:D,3,0)</f>
        <v>UK</v>
      </c>
      <c r="AA505" t="str">
        <f>IFERROR(VLOOKUP(Conso_FCST[[#This Row],[Model name]],Prod_T6[[#All],[Model name]:[Product Conso]],2,0),"exclude")</f>
        <v>P7 RES BLK 2.0</v>
      </c>
    </row>
    <row r="506" spans="1:27" hidden="1">
      <c r="A506" t="s">
        <v>56</v>
      </c>
      <c r="B506" t="s">
        <v>557</v>
      </c>
      <c r="C506" t="s">
        <v>493</v>
      </c>
      <c r="D506" t="s">
        <v>118</v>
      </c>
      <c r="E506" t="s">
        <v>119</v>
      </c>
      <c r="F506" t="s">
        <v>136</v>
      </c>
      <c r="G506" t="s">
        <v>558</v>
      </c>
      <c r="H506" s="184" t="s">
        <v>117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X506" t="s">
        <v>70</v>
      </c>
      <c r="Y506" t="str">
        <f>VLOOKUP(Conso_FCST[[#This Row],[Country]],'Country-Region'!A:D,4,0)</f>
        <v>UK Region</v>
      </c>
      <c r="Z506" t="str">
        <f>VLOOKUP(Conso_FCST[[#This Row],[Country]],'Country-Region'!A:D,3,0)</f>
        <v>UK</v>
      </c>
      <c r="AA506" t="str">
        <f>IFERROR(VLOOKUP(Conso_FCST[[#This Row],[Model name]],Prod_T6[[#All],[Model name]:[Product Conso]],2,0),"exclude")</f>
        <v>P7 RES BLK 2.0</v>
      </c>
    </row>
    <row r="507" spans="1:27" hidden="1">
      <c r="A507" t="s">
        <v>56</v>
      </c>
      <c r="B507" t="s">
        <v>559</v>
      </c>
      <c r="C507" t="s">
        <v>493</v>
      </c>
      <c r="D507" t="s">
        <v>118</v>
      </c>
      <c r="E507" t="s">
        <v>119</v>
      </c>
      <c r="F507" t="s">
        <v>130</v>
      </c>
      <c r="H507" s="184" t="s">
        <v>117</v>
      </c>
      <c r="I507">
        <v>0.03</v>
      </c>
      <c r="J507">
        <v>0.03</v>
      </c>
      <c r="K507">
        <v>0.03</v>
      </c>
      <c r="L507">
        <v>0.03</v>
      </c>
      <c r="M507">
        <v>0.03</v>
      </c>
      <c r="N507">
        <v>0.03</v>
      </c>
      <c r="O507">
        <v>0.03</v>
      </c>
      <c r="P507">
        <v>0.03</v>
      </c>
      <c r="Q507">
        <v>0.03</v>
      </c>
      <c r="X507" t="s">
        <v>70</v>
      </c>
      <c r="Y507" t="str">
        <f>VLOOKUP(Conso_FCST[[#This Row],[Country]],'Country-Region'!A:D,4,0)</f>
        <v>UK Region</v>
      </c>
      <c r="Z507" t="str">
        <f>VLOOKUP(Conso_FCST[[#This Row],[Country]],'Country-Region'!A:D,3,0)</f>
        <v>UK</v>
      </c>
      <c r="AA507" t="str">
        <f>IFERROR(VLOOKUP(Conso_FCST[[#This Row],[Model name]],Prod_T6[[#All],[Model name]:[Product Conso]],2,0),"exclude")</f>
        <v>P7 RES BLK 2.0</v>
      </c>
    </row>
    <row r="508" spans="1:27" hidden="1">
      <c r="A508" t="s">
        <v>56</v>
      </c>
      <c r="B508" t="s">
        <v>559</v>
      </c>
      <c r="C508" t="s">
        <v>493</v>
      </c>
      <c r="D508" t="s">
        <v>134</v>
      </c>
      <c r="E508" t="s">
        <v>135</v>
      </c>
      <c r="F508" t="s">
        <v>115</v>
      </c>
      <c r="H508" s="184" t="s">
        <v>117</v>
      </c>
      <c r="I508">
        <v>0.03</v>
      </c>
      <c r="J508">
        <v>0.03</v>
      </c>
      <c r="K508">
        <v>0.03</v>
      </c>
      <c r="Q508">
        <v>0.03</v>
      </c>
      <c r="X508" t="s">
        <v>70</v>
      </c>
      <c r="Y508" t="str">
        <f>VLOOKUP(Conso_FCST[[#This Row],[Country]],'Country-Region'!A:D,4,0)</f>
        <v>UK Region</v>
      </c>
      <c r="Z508" t="str">
        <f>VLOOKUP(Conso_FCST[[#This Row],[Country]],'Country-Region'!A:D,3,0)</f>
        <v>UK</v>
      </c>
      <c r="AA508" t="str">
        <f>IFERROR(VLOOKUP(Conso_FCST[[#This Row],[Model name]],Prod_T6[[#All],[Model name]:[Product Conso]],2,0),"exclude")</f>
        <v>SPR-BE54-HD</v>
      </c>
    </row>
    <row r="509" spans="1:27" hidden="1">
      <c r="A509" t="s">
        <v>56</v>
      </c>
      <c r="B509" t="s">
        <v>560</v>
      </c>
      <c r="C509" t="s">
        <v>512</v>
      </c>
      <c r="D509" t="s">
        <v>149</v>
      </c>
      <c r="E509" t="s">
        <v>152</v>
      </c>
      <c r="F509" t="s">
        <v>156</v>
      </c>
      <c r="H509" s="184" t="s">
        <v>117</v>
      </c>
      <c r="M509">
        <v>0.43099999999999999</v>
      </c>
      <c r="X509" t="s">
        <v>70</v>
      </c>
      <c r="Y509" t="str">
        <f>VLOOKUP(Conso_FCST[[#This Row],[Country]],'Country-Region'!A:D,4,0)</f>
        <v>UK Region</v>
      </c>
      <c r="Z509" t="str">
        <f>VLOOKUP(Conso_FCST[[#This Row],[Country]],'Country-Region'!A:D,3,0)</f>
        <v>UK</v>
      </c>
      <c r="AA509" t="str">
        <f>IFERROR(VLOOKUP(Conso_FCST[[#This Row],[Model name]],Prod_T6[[#All],[Model name]:[Product Conso]],2,0),"exclude")</f>
        <v>HSM-NT48-HH</v>
      </c>
    </row>
    <row r="510" spans="1:27" hidden="1">
      <c r="A510" t="s">
        <v>56</v>
      </c>
      <c r="B510" t="s">
        <v>560</v>
      </c>
      <c r="C510" t="s">
        <v>512</v>
      </c>
      <c r="D510" t="s">
        <v>113</v>
      </c>
      <c r="E510" t="s">
        <v>561</v>
      </c>
      <c r="F510" t="s">
        <v>156</v>
      </c>
      <c r="H510" s="184" t="s">
        <v>117</v>
      </c>
      <c r="N510">
        <v>0.43099999999999999</v>
      </c>
      <c r="X510" t="s">
        <v>70</v>
      </c>
      <c r="Y510" t="str">
        <f>VLOOKUP(Conso_FCST[[#This Row],[Country]],'Country-Region'!A:D,4,0)</f>
        <v>UK Region</v>
      </c>
      <c r="Z510" t="str">
        <f>VLOOKUP(Conso_FCST[[#This Row],[Country]],'Country-Region'!A:D,3,0)</f>
        <v>UK</v>
      </c>
      <c r="AA510" t="str">
        <f>IFERROR(VLOOKUP(Conso_FCST[[#This Row],[Model name]],Prod_T6[[#All],[Model name]:[Product Conso]],2,0),"exclude")</f>
        <v>HSM-BE54-DD</v>
      </c>
    </row>
    <row r="511" spans="1:27">
      <c r="A511" t="s">
        <v>56</v>
      </c>
      <c r="B511" t="s">
        <v>560</v>
      </c>
      <c r="C511" t="s">
        <v>512</v>
      </c>
      <c r="D511" t="s">
        <v>141</v>
      </c>
      <c r="E511" t="s">
        <v>50</v>
      </c>
      <c r="F511" t="s">
        <v>115</v>
      </c>
      <c r="H511" s="184" t="s">
        <v>117</v>
      </c>
      <c r="O511">
        <v>2</v>
      </c>
      <c r="X511" t="s">
        <v>27</v>
      </c>
      <c r="Y511" t="str">
        <f>VLOOKUP(Conso_FCST[[#This Row],[Country]],'Country-Region'!A:D,4,0)</f>
        <v>UK Region</v>
      </c>
      <c r="Z511" t="str">
        <f>VLOOKUP(Conso_FCST[[#This Row],[Country]],'Country-Region'!A:D,3,0)</f>
        <v>UK</v>
      </c>
      <c r="AA511" t="str">
        <f>IFERROR(VLOOKUP(Conso_FCST[[#This Row],[Model name]],Prod_T6[[#All],[Model name]:[Product Conso]],2,0),"exclude")</f>
        <v>BlueArk W10-125K-261</v>
      </c>
    </row>
    <row r="512" spans="1:27">
      <c r="A512" t="s">
        <v>56</v>
      </c>
      <c r="B512" t="s">
        <v>560</v>
      </c>
      <c r="C512" t="s">
        <v>512</v>
      </c>
      <c r="D512" t="s">
        <v>141</v>
      </c>
      <c r="E512" t="s">
        <v>46</v>
      </c>
      <c r="F512" t="s">
        <v>156</v>
      </c>
      <c r="G512" t="s">
        <v>562</v>
      </c>
      <c r="H512" s="184" t="s">
        <v>117</v>
      </c>
      <c r="J512">
        <v>0.39700000000000002</v>
      </c>
      <c r="L512">
        <v>2</v>
      </c>
      <c r="O512">
        <v>4</v>
      </c>
      <c r="P512">
        <v>4</v>
      </c>
      <c r="Q512">
        <v>4</v>
      </c>
      <c r="X512" t="s">
        <v>27</v>
      </c>
      <c r="Y512" t="str">
        <f>VLOOKUP(Conso_FCST[[#This Row],[Country]],'Country-Region'!A:D,4,0)</f>
        <v>UK Region</v>
      </c>
      <c r="Z512" t="str">
        <f>VLOOKUP(Conso_FCST[[#This Row],[Country]],'Country-Region'!A:D,3,0)</f>
        <v>UK</v>
      </c>
      <c r="AA512" t="str">
        <f>IFERROR(VLOOKUP(Conso_FCST[[#This Row],[Model name]],Prod_T6[[#All],[Model name]:[Product Conso]],2,0),"exclude")</f>
        <v>BlueArk X5-50K-100</v>
      </c>
    </row>
    <row r="513" spans="1:27" hidden="1">
      <c r="A513" t="s">
        <v>56</v>
      </c>
      <c r="B513" t="s">
        <v>492</v>
      </c>
      <c r="C513" t="s">
        <v>493</v>
      </c>
      <c r="D513" t="s">
        <v>118</v>
      </c>
      <c r="E513" t="s">
        <v>119</v>
      </c>
      <c r="F513" t="s">
        <v>130</v>
      </c>
      <c r="G513" t="s">
        <v>494</v>
      </c>
      <c r="H513" s="184" t="s">
        <v>117</v>
      </c>
      <c r="I513">
        <v>8.5000000000000006E-2</v>
      </c>
      <c r="J513">
        <v>8.5000000000000006E-2</v>
      </c>
      <c r="K513">
        <v>8.5000000000000006E-2</v>
      </c>
      <c r="L513">
        <v>8.5000000000000006E-2</v>
      </c>
      <c r="M513">
        <v>8.5000000000000006E-2</v>
      </c>
      <c r="N513">
        <v>8.5000000000000006E-2</v>
      </c>
      <c r="O513">
        <v>8.5000000000000006E-2</v>
      </c>
      <c r="P513">
        <v>8.5000000000000006E-2</v>
      </c>
      <c r="Q513">
        <v>8.5000000000000006E-2</v>
      </c>
      <c r="X513" t="s">
        <v>70</v>
      </c>
      <c r="Y513" t="str">
        <f>VLOOKUP(Conso_FCST[[#This Row],[Country]],'Country-Region'!A:D,4,0)</f>
        <v>UK Region</v>
      </c>
      <c r="Z513" t="str">
        <f>VLOOKUP(Conso_FCST[[#This Row],[Country]],'Country-Region'!A:D,3,0)</f>
        <v>UK</v>
      </c>
      <c r="AA513" t="str">
        <f>IFERROR(VLOOKUP(Conso_FCST[[#This Row],[Model name]],Prod_T6[[#All],[Model name]:[Product Conso]],2,0),"exclude")</f>
        <v>P7 RES BLK 2.0</v>
      </c>
    </row>
    <row r="514" spans="1:27" hidden="1">
      <c r="A514" t="s">
        <v>56</v>
      </c>
      <c r="B514" t="s">
        <v>548</v>
      </c>
      <c r="C514" t="s">
        <v>498</v>
      </c>
      <c r="D514" t="s">
        <v>54</v>
      </c>
      <c r="E514" t="s">
        <v>129</v>
      </c>
      <c r="F514" t="s">
        <v>130</v>
      </c>
      <c r="H514" s="184" t="s">
        <v>132</v>
      </c>
      <c r="I514">
        <v>6.3179999999999996</v>
      </c>
      <c r="X514" t="s">
        <v>70</v>
      </c>
      <c r="Y514" t="str">
        <f>VLOOKUP(Conso_FCST[[#This Row],[Country]],'Country-Region'!A:D,4,0)</f>
        <v>UK Region</v>
      </c>
      <c r="Z514" t="str">
        <f>VLOOKUP(Conso_FCST[[#This Row],[Country]],'Country-Region'!A:D,3,0)</f>
        <v>UK</v>
      </c>
      <c r="AA514" t="str">
        <f>IFERROR(VLOOKUP(Conso_FCST[[#This Row],[Model name]],Prod_T6[[#All],[Model name]:[Product Conso]],2,0),"exclude")</f>
        <v>HSM-ND48-DR</v>
      </c>
    </row>
    <row r="515" spans="1:27" hidden="1">
      <c r="A515" t="s">
        <v>56</v>
      </c>
      <c r="B515" t="s">
        <v>563</v>
      </c>
      <c r="C515" t="s">
        <v>498</v>
      </c>
      <c r="D515" t="s">
        <v>134</v>
      </c>
      <c r="E515" t="s">
        <v>135</v>
      </c>
      <c r="F515" t="s">
        <v>136</v>
      </c>
      <c r="H515" s="184" t="s">
        <v>117</v>
      </c>
      <c r="X515" t="s">
        <v>70</v>
      </c>
      <c r="Y515" t="str">
        <f>VLOOKUP(Conso_FCST[[#This Row],[Country]],'Country-Region'!A:D,4,0)</f>
        <v>UK Region</v>
      </c>
      <c r="Z515" t="str">
        <f>VLOOKUP(Conso_FCST[[#This Row],[Country]],'Country-Region'!A:D,3,0)</f>
        <v>UK</v>
      </c>
      <c r="AA515" t="str">
        <f>IFERROR(VLOOKUP(Conso_FCST[[#This Row],[Model name]],Prod_T6[[#All],[Model name]:[Product Conso]],2,0),"exclude")</f>
        <v>SPR-BE54-HD</v>
      </c>
    </row>
    <row r="516" spans="1:27" hidden="1">
      <c r="A516" t="s">
        <v>56</v>
      </c>
      <c r="B516" t="s">
        <v>564</v>
      </c>
      <c r="C516" t="s">
        <v>498</v>
      </c>
      <c r="D516" t="s">
        <v>113</v>
      </c>
      <c r="E516" t="s">
        <v>153</v>
      </c>
      <c r="F516" t="s">
        <v>136</v>
      </c>
      <c r="G516" t="s">
        <v>531</v>
      </c>
      <c r="H516" s="184" t="s">
        <v>117</v>
      </c>
      <c r="P516">
        <v>4.5</v>
      </c>
      <c r="X516" t="s">
        <v>70</v>
      </c>
      <c r="Y516" t="str">
        <f>VLOOKUP(Conso_FCST[[#This Row],[Country]],'Country-Region'!A:D,4,0)</f>
        <v>UK Region</v>
      </c>
      <c r="Z516" t="str">
        <f>VLOOKUP(Conso_FCST[[#This Row],[Country]],'Country-Region'!A:D,3,0)</f>
        <v>UK</v>
      </c>
      <c r="AA516" t="str">
        <f>IFERROR(VLOOKUP(Conso_FCST[[#This Row],[Model name]],Prod_T6[[#All],[Model name]:[Product Conso]],2,0),"exclude")</f>
        <v>HSM-BE54-HD</v>
      </c>
    </row>
    <row r="517" spans="1:27" hidden="1">
      <c r="A517" t="s">
        <v>56</v>
      </c>
      <c r="B517" t="s">
        <v>565</v>
      </c>
      <c r="C517" t="s">
        <v>493</v>
      </c>
      <c r="D517" t="s">
        <v>118</v>
      </c>
      <c r="E517" t="s">
        <v>119</v>
      </c>
      <c r="F517" t="s">
        <v>130</v>
      </c>
      <c r="G517" t="s">
        <v>566</v>
      </c>
      <c r="H517" s="184" t="s">
        <v>117</v>
      </c>
      <c r="I517">
        <v>0</v>
      </c>
      <c r="J517">
        <v>0</v>
      </c>
      <c r="K517">
        <v>0.125</v>
      </c>
      <c r="L517">
        <v>0</v>
      </c>
      <c r="M517">
        <v>0.14499999999999999</v>
      </c>
      <c r="N517">
        <v>0.23100000000000001</v>
      </c>
      <c r="O517">
        <v>0</v>
      </c>
      <c r="P517">
        <v>0.125</v>
      </c>
      <c r="Q517">
        <v>0.25</v>
      </c>
      <c r="X517" t="s">
        <v>70</v>
      </c>
      <c r="Y517" t="str">
        <f>VLOOKUP(Conso_FCST[[#This Row],[Country]],'Country-Region'!A:D,4,0)</f>
        <v>UK Region</v>
      </c>
      <c r="Z517" t="str">
        <f>VLOOKUP(Conso_FCST[[#This Row],[Country]],'Country-Region'!A:D,3,0)</f>
        <v>UK</v>
      </c>
      <c r="AA517" t="str">
        <f>IFERROR(VLOOKUP(Conso_FCST[[#This Row],[Model name]],Prod_T6[[#All],[Model name]:[Product Conso]],2,0),"exclude")</f>
        <v>P7 RES BLK 2.0</v>
      </c>
    </row>
    <row r="518" spans="1:27" hidden="1">
      <c r="A518" t="s">
        <v>56</v>
      </c>
      <c r="B518" t="s">
        <v>500</v>
      </c>
      <c r="C518" t="s">
        <v>512</v>
      </c>
      <c r="D518" t="s">
        <v>276</v>
      </c>
      <c r="E518" t="s">
        <v>553</v>
      </c>
      <c r="F518" t="s">
        <v>156</v>
      </c>
      <c r="G518" t="s">
        <v>567</v>
      </c>
      <c r="H518" s="184" t="s">
        <v>117</v>
      </c>
      <c r="L518">
        <v>0.105</v>
      </c>
      <c r="M518">
        <v>0.105</v>
      </c>
      <c r="N518">
        <v>0.105</v>
      </c>
      <c r="O518">
        <v>0.2</v>
      </c>
      <c r="P518">
        <v>0.2</v>
      </c>
      <c r="Q518">
        <v>0.2</v>
      </c>
      <c r="X518" t="s">
        <v>70</v>
      </c>
      <c r="Y518" t="str">
        <f>VLOOKUP(Conso_FCST[[#This Row],[Country]],'Country-Region'!A:D,4,0)</f>
        <v>UK Region</v>
      </c>
      <c r="Z518" t="str">
        <f>VLOOKUP(Conso_FCST[[#This Row],[Country]],'Country-Region'!A:D,3,0)</f>
        <v>UK</v>
      </c>
      <c r="AA518" t="str">
        <f>IFERROR(VLOOKUP(Conso_FCST[[#This Row],[Model name]],Prod_T6[[#All],[Model name]:[Product Conso]],2,0),"exclude")</f>
        <v>SPR-BD54-DC</v>
      </c>
    </row>
    <row r="519" spans="1:27" hidden="1">
      <c r="A519" t="s">
        <v>56</v>
      </c>
      <c r="B519" t="s">
        <v>568</v>
      </c>
      <c r="C519" t="s">
        <v>512</v>
      </c>
      <c r="D519" t="s">
        <v>118</v>
      </c>
      <c r="E519" t="s">
        <v>180</v>
      </c>
      <c r="F519" t="s">
        <v>156</v>
      </c>
      <c r="H519" s="184" t="s">
        <v>117</v>
      </c>
      <c r="I519">
        <v>5.6000000000000001E-2</v>
      </c>
      <c r="J519">
        <v>5.6000000000000001E-2</v>
      </c>
      <c r="K519">
        <v>5.6000000000000001E-2</v>
      </c>
      <c r="L519">
        <v>3.6999999999999998E-2</v>
      </c>
      <c r="M519">
        <v>3.6999999999999998E-2</v>
      </c>
      <c r="N519">
        <v>3.6999999999999998E-2</v>
      </c>
      <c r="O519">
        <v>3.6999999999999998E-2</v>
      </c>
      <c r="P519">
        <v>3.6999999999999998E-2</v>
      </c>
      <c r="Q519">
        <v>3.6999999999999998E-2</v>
      </c>
      <c r="X519" t="s">
        <v>70</v>
      </c>
      <c r="Y519" t="str">
        <f>VLOOKUP(Conso_FCST[[#This Row],[Country]],'Country-Region'!A:D,4,0)</f>
        <v>UK Region</v>
      </c>
      <c r="Z519" t="str">
        <f>VLOOKUP(Conso_FCST[[#This Row],[Country]],'Country-Region'!A:D,3,0)</f>
        <v>UK</v>
      </c>
      <c r="AA519" t="str">
        <f>IFERROR(VLOOKUP(Conso_FCST[[#This Row],[Model name]],Prod_T6[[#All],[Model name]:[Product Conso]],2,0),"exclude")</f>
        <v>P7 RES BLK-P</v>
      </c>
    </row>
    <row r="520" spans="1:27" hidden="1">
      <c r="A520" t="s">
        <v>56</v>
      </c>
      <c r="B520" t="s">
        <v>568</v>
      </c>
      <c r="C520" t="s">
        <v>512</v>
      </c>
      <c r="D520" t="s">
        <v>118</v>
      </c>
      <c r="E520" t="s">
        <v>119</v>
      </c>
      <c r="F520" t="s">
        <v>156</v>
      </c>
      <c r="H520" s="184" t="s">
        <v>117</v>
      </c>
      <c r="I520">
        <v>0.13</v>
      </c>
      <c r="J520">
        <v>0.13</v>
      </c>
      <c r="K520">
        <v>0.13</v>
      </c>
      <c r="L520">
        <v>6.6000000000000003E-2</v>
      </c>
      <c r="M520">
        <v>6.6000000000000003E-2</v>
      </c>
      <c r="N520">
        <v>6.6000000000000003E-2</v>
      </c>
      <c r="O520">
        <v>6.6000000000000003E-2</v>
      </c>
      <c r="P520">
        <v>6.6000000000000003E-2</v>
      </c>
      <c r="Q520">
        <v>6.6000000000000003E-2</v>
      </c>
      <c r="X520" t="s">
        <v>70</v>
      </c>
      <c r="Y520" t="str">
        <f>VLOOKUP(Conso_FCST[[#This Row],[Country]],'Country-Region'!A:D,4,0)</f>
        <v>UK Region</v>
      </c>
      <c r="Z520" t="str">
        <f>VLOOKUP(Conso_FCST[[#This Row],[Country]],'Country-Region'!A:D,3,0)</f>
        <v>UK</v>
      </c>
      <c r="AA520" t="str">
        <f>IFERROR(VLOOKUP(Conso_FCST[[#This Row],[Model name]],Prod_T6[[#All],[Model name]:[Product Conso]],2,0),"exclude")</f>
        <v>P7 RES BLK 2.0</v>
      </c>
    </row>
    <row r="521" spans="1:27" hidden="1">
      <c r="A521" t="s">
        <v>56</v>
      </c>
      <c r="B521" t="s">
        <v>568</v>
      </c>
      <c r="C521" t="s">
        <v>512</v>
      </c>
      <c r="D521" t="s">
        <v>276</v>
      </c>
      <c r="E521" t="s">
        <v>553</v>
      </c>
      <c r="F521" t="s">
        <v>156</v>
      </c>
      <c r="H521" s="184" t="s">
        <v>117</v>
      </c>
      <c r="M521">
        <v>0.05</v>
      </c>
      <c r="N521">
        <v>0.05</v>
      </c>
      <c r="O521">
        <v>7.0000000000000007E-2</v>
      </c>
      <c r="P521">
        <v>7.0000000000000007E-2</v>
      </c>
      <c r="Q521">
        <v>7.0000000000000007E-2</v>
      </c>
      <c r="X521" t="s">
        <v>70</v>
      </c>
      <c r="Y521" t="str">
        <f>VLOOKUP(Conso_FCST[[#This Row],[Country]],'Country-Region'!A:D,4,0)</f>
        <v>UK Region</v>
      </c>
      <c r="Z521" t="str">
        <f>VLOOKUP(Conso_FCST[[#This Row],[Country]],'Country-Region'!A:D,3,0)</f>
        <v>UK</v>
      </c>
      <c r="AA521" t="str">
        <f>IFERROR(VLOOKUP(Conso_FCST[[#This Row],[Model name]],Prod_T6[[#All],[Model name]:[Product Conso]],2,0),"exclude")</f>
        <v>SPR-BD54-DC</v>
      </c>
    </row>
    <row r="522" spans="1:27" hidden="1">
      <c r="A522" t="s">
        <v>56</v>
      </c>
      <c r="B522" t="s">
        <v>569</v>
      </c>
      <c r="C522" t="s">
        <v>512</v>
      </c>
      <c r="D522" t="s">
        <v>118</v>
      </c>
      <c r="E522" t="s">
        <v>180</v>
      </c>
      <c r="F522" t="s">
        <v>156</v>
      </c>
      <c r="H522" s="184" t="s">
        <v>117</v>
      </c>
      <c r="I522">
        <v>7.2999999999999995E-2</v>
      </c>
      <c r="J522">
        <v>7.2999999999999995E-2</v>
      </c>
      <c r="K522">
        <v>7.2999999999999995E-2</v>
      </c>
      <c r="L522">
        <v>8.3000000000000004E-2</v>
      </c>
      <c r="M522">
        <v>8.3000000000000004E-2</v>
      </c>
      <c r="N522">
        <v>8.3000000000000004E-2</v>
      </c>
      <c r="O522">
        <v>8.3000000000000004E-2</v>
      </c>
      <c r="P522">
        <v>8.3000000000000004E-2</v>
      </c>
      <c r="Q522">
        <v>8.3000000000000004E-2</v>
      </c>
      <c r="X522" t="s">
        <v>70</v>
      </c>
      <c r="Y522" t="str">
        <f>VLOOKUP(Conso_FCST[[#This Row],[Country]],'Country-Region'!A:D,4,0)</f>
        <v>UK Region</v>
      </c>
      <c r="Z522" t="str">
        <f>VLOOKUP(Conso_FCST[[#This Row],[Country]],'Country-Region'!A:D,3,0)</f>
        <v>UK</v>
      </c>
      <c r="AA522" t="str">
        <f>IFERROR(VLOOKUP(Conso_FCST[[#This Row],[Model name]],Prod_T6[[#All],[Model name]:[Product Conso]],2,0),"exclude")</f>
        <v>P7 RES BLK-P</v>
      </c>
    </row>
    <row r="523" spans="1:27" hidden="1">
      <c r="A523" t="s">
        <v>56</v>
      </c>
      <c r="B523" t="s">
        <v>570</v>
      </c>
      <c r="C523" t="s">
        <v>498</v>
      </c>
      <c r="D523" t="s">
        <v>54</v>
      </c>
      <c r="E523" t="s">
        <v>129</v>
      </c>
      <c r="F523" t="s">
        <v>136</v>
      </c>
      <c r="G523" t="s">
        <v>571</v>
      </c>
      <c r="H523" s="184" t="s">
        <v>117</v>
      </c>
      <c r="O523">
        <v>0.84199999999999997</v>
      </c>
      <c r="X523" t="s">
        <v>70</v>
      </c>
      <c r="Y523" t="str">
        <f>VLOOKUP(Conso_FCST[[#This Row],[Country]],'Country-Region'!A:D,4,0)</f>
        <v>UK Region</v>
      </c>
      <c r="Z523" t="str">
        <f>VLOOKUP(Conso_FCST[[#This Row],[Country]],'Country-Region'!A:D,3,0)</f>
        <v>UK</v>
      </c>
      <c r="AA523" t="str">
        <f>IFERROR(VLOOKUP(Conso_FCST[[#This Row],[Model name]],Prod_T6[[#All],[Model name]:[Product Conso]],2,0),"exclude")</f>
        <v>HSM-ND48-DR</v>
      </c>
    </row>
    <row r="524" spans="1:27" hidden="1">
      <c r="A524" t="s">
        <v>56</v>
      </c>
      <c r="B524" t="s">
        <v>570</v>
      </c>
      <c r="C524" t="s">
        <v>498</v>
      </c>
      <c r="D524" t="s">
        <v>113</v>
      </c>
      <c r="E524" t="s">
        <v>153</v>
      </c>
      <c r="F524" t="s">
        <v>136</v>
      </c>
      <c r="G524" t="s">
        <v>531</v>
      </c>
      <c r="H524" s="184" t="s">
        <v>117</v>
      </c>
      <c r="O524">
        <v>0.90700000000000003</v>
      </c>
      <c r="P524">
        <v>0.90700000000000003</v>
      </c>
      <c r="X524" t="s">
        <v>70</v>
      </c>
      <c r="Y524" t="str">
        <f>VLOOKUP(Conso_FCST[[#This Row],[Country]],'Country-Region'!A:D,4,0)</f>
        <v>UK Region</v>
      </c>
      <c r="Z524" t="str">
        <f>VLOOKUP(Conso_FCST[[#This Row],[Country]],'Country-Region'!A:D,3,0)</f>
        <v>UK</v>
      </c>
      <c r="AA524" t="str">
        <f>IFERROR(VLOOKUP(Conso_FCST[[#This Row],[Model name]],Prod_T6[[#All],[Model name]:[Product Conso]],2,0),"exclude")</f>
        <v>HSM-BE54-HD</v>
      </c>
    </row>
    <row r="525" spans="1:27">
      <c r="A525" t="s">
        <v>56</v>
      </c>
      <c r="B525" t="s">
        <v>570</v>
      </c>
      <c r="C525" t="s">
        <v>498</v>
      </c>
      <c r="D525" t="s">
        <v>141</v>
      </c>
      <c r="E525" t="s">
        <v>50</v>
      </c>
      <c r="F525" t="s">
        <v>115</v>
      </c>
      <c r="H525" s="184" t="s">
        <v>117</v>
      </c>
      <c r="N525">
        <v>1</v>
      </c>
      <c r="O525">
        <v>2</v>
      </c>
      <c r="X525" t="s">
        <v>27</v>
      </c>
      <c r="Y525" t="str">
        <f>VLOOKUP(Conso_FCST[[#This Row],[Country]],'Country-Region'!A:D,4,0)</f>
        <v>UK Region</v>
      </c>
      <c r="Z525" t="str">
        <f>VLOOKUP(Conso_FCST[[#This Row],[Country]],'Country-Region'!A:D,3,0)</f>
        <v>UK</v>
      </c>
      <c r="AA525" t="str">
        <f>IFERROR(VLOOKUP(Conso_FCST[[#This Row],[Model name]],Prod_T6[[#All],[Model name]:[Product Conso]],2,0),"exclude")</f>
        <v>BlueArk W10-125K-261</v>
      </c>
    </row>
    <row r="526" spans="1:27" hidden="1">
      <c r="A526" t="s">
        <v>56</v>
      </c>
      <c r="B526" t="s">
        <v>572</v>
      </c>
      <c r="C526" t="s">
        <v>512</v>
      </c>
      <c r="D526" t="s">
        <v>54</v>
      </c>
      <c r="E526" t="s">
        <v>166</v>
      </c>
      <c r="F526" t="s">
        <v>136</v>
      </c>
      <c r="H526" s="184" t="s">
        <v>117</v>
      </c>
      <c r="N526">
        <v>1</v>
      </c>
      <c r="X526" t="s">
        <v>70</v>
      </c>
      <c r="Y526" t="str">
        <f>VLOOKUP(Conso_FCST[[#This Row],[Country]],'Country-Region'!A:D,4,0)</f>
        <v>UK Region</v>
      </c>
      <c r="Z526" t="str">
        <f>VLOOKUP(Conso_FCST[[#This Row],[Country]],'Country-Region'!A:D,3,0)</f>
        <v>UK</v>
      </c>
      <c r="AA526" t="str">
        <f>IFERROR(VLOOKUP(Conso_FCST[[#This Row],[Model name]],Prod_T6[[#All],[Model name]:[Product Conso]],2,0),"exclude")</f>
        <v>HSM-ND66-GR</v>
      </c>
    </row>
    <row r="527" spans="1:27" hidden="1">
      <c r="A527" t="s">
        <v>56</v>
      </c>
      <c r="B527" t="s">
        <v>573</v>
      </c>
      <c r="C527" t="s">
        <v>493</v>
      </c>
      <c r="D527" t="s">
        <v>118</v>
      </c>
      <c r="E527" t="s">
        <v>119</v>
      </c>
      <c r="F527" t="s">
        <v>130</v>
      </c>
      <c r="G527" t="s">
        <v>574</v>
      </c>
      <c r="H527" s="184" t="s">
        <v>117</v>
      </c>
      <c r="I527">
        <v>0</v>
      </c>
      <c r="J527">
        <v>0</v>
      </c>
      <c r="K527">
        <v>0.56999999999999995</v>
      </c>
      <c r="L527">
        <v>0</v>
      </c>
      <c r="M527">
        <v>0</v>
      </c>
      <c r="N527">
        <v>0</v>
      </c>
      <c r="O527">
        <v>0</v>
      </c>
      <c r="P527">
        <v>0.125</v>
      </c>
      <c r="Q527">
        <v>0</v>
      </c>
      <c r="X527" t="s">
        <v>70</v>
      </c>
      <c r="Y527" t="str">
        <f>VLOOKUP(Conso_FCST[[#This Row],[Country]],'Country-Region'!A:D,4,0)</f>
        <v>UK Region</v>
      </c>
      <c r="Z527" t="str">
        <f>VLOOKUP(Conso_FCST[[#This Row],[Country]],'Country-Region'!A:D,3,0)</f>
        <v>UK</v>
      </c>
      <c r="AA527" t="str">
        <f>IFERROR(VLOOKUP(Conso_FCST[[#This Row],[Model name]],Prod_T6[[#All],[Model name]:[Product Conso]],2,0),"exclude")</f>
        <v>P7 RES BLK 2.0</v>
      </c>
    </row>
    <row r="528" spans="1:27" hidden="1">
      <c r="A528" t="s">
        <v>56</v>
      </c>
      <c r="B528" t="s">
        <v>575</v>
      </c>
      <c r="C528" t="s">
        <v>493</v>
      </c>
      <c r="D528" t="s">
        <v>134</v>
      </c>
      <c r="E528" t="s">
        <v>135</v>
      </c>
      <c r="F528" t="s">
        <v>115</v>
      </c>
      <c r="G528" t="s">
        <v>576</v>
      </c>
      <c r="H528" s="184" t="s">
        <v>117</v>
      </c>
      <c r="I528">
        <v>0</v>
      </c>
      <c r="J528">
        <v>0.13</v>
      </c>
      <c r="K528">
        <v>0.13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7.1999999999999995E-2</v>
      </c>
      <c r="X528" t="s">
        <v>70</v>
      </c>
      <c r="Y528" t="str">
        <f>VLOOKUP(Conso_FCST[[#This Row],[Country]],'Country-Region'!A:D,4,0)</f>
        <v>UK Region</v>
      </c>
      <c r="Z528" t="str">
        <f>VLOOKUP(Conso_FCST[[#This Row],[Country]],'Country-Region'!A:D,3,0)</f>
        <v>UK</v>
      </c>
      <c r="AA528" t="str">
        <f>IFERROR(VLOOKUP(Conso_FCST[[#This Row],[Model name]],Prod_T6[[#All],[Model name]:[Product Conso]],2,0),"exclude")</f>
        <v>SPR-BE54-HD</v>
      </c>
    </row>
    <row r="529" spans="1:27" hidden="1">
      <c r="A529" t="s">
        <v>56</v>
      </c>
      <c r="B529" t="s">
        <v>577</v>
      </c>
      <c r="C529" t="s">
        <v>493</v>
      </c>
      <c r="D529" t="s">
        <v>134</v>
      </c>
      <c r="E529" t="s">
        <v>135</v>
      </c>
      <c r="F529" t="s">
        <v>115</v>
      </c>
      <c r="G529" t="s">
        <v>534</v>
      </c>
      <c r="H529" s="184" t="s">
        <v>117</v>
      </c>
      <c r="I529">
        <v>0</v>
      </c>
      <c r="J529">
        <v>0</v>
      </c>
      <c r="K529">
        <v>0.15</v>
      </c>
      <c r="L529">
        <v>0</v>
      </c>
      <c r="Q529">
        <v>0.14299999999999999</v>
      </c>
      <c r="X529" t="s">
        <v>70</v>
      </c>
      <c r="Y529" t="str">
        <f>VLOOKUP(Conso_FCST[[#This Row],[Country]],'Country-Region'!A:D,4,0)</f>
        <v>UK Region</v>
      </c>
      <c r="Z529" t="str">
        <f>VLOOKUP(Conso_FCST[[#This Row],[Country]],'Country-Region'!A:D,3,0)</f>
        <v>UK</v>
      </c>
      <c r="AA529" t="str">
        <f>IFERROR(VLOOKUP(Conso_FCST[[#This Row],[Model name]],Prod_T6[[#All],[Model name]:[Product Conso]],2,0),"exclude")</f>
        <v>SPR-BE54-HD</v>
      </c>
    </row>
    <row r="530" spans="1:27" hidden="1">
      <c r="A530" t="s">
        <v>56</v>
      </c>
      <c r="B530" t="s">
        <v>577</v>
      </c>
      <c r="C530" t="s">
        <v>493</v>
      </c>
      <c r="D530" t="s">
        <v>118</v>
      </c>
      <c r="E530" t="s">
        <v>180</v>
      </c>
      <c r="F530" t="s">
        <v>130</v>
      </c>
      <c r="G530" t="s">
        <v>534</v>
      </c>
      <c r="H530" s="184" t="s">
        <v>117</v>
      </c>
      <c r="I530">
        <v>0</v>
      </c>
      <c r="J530">
        <v>0</v>
      </c>
      <c r="K530">
        <v>0.13</v>
      </c>
      <c r="L530">
        <v>0</v>
      </c>
      <c r="M530">
        <v>0.252</v>
      </c>
      <c r="P530">
        <v>7.1999999999999995E-2</v>
      </c>
      <c r="X530" t="s">
        <v>70</v>
      </c>
      <c r="Y530" t="str">
        <f>VLOOKUP(Conso_FCST[[#This Row],[Country]],'Country-Region'!A:D,4,0)</f>
        <v>UK Region</v>
      </c>
      <c r="Z530" t="str">
        <f>VLOOKUP(Conso_FCST[[#This Row],[Country]],'Country-Region'!A:D,3,0)</f>
        <v>UK</v>
      </c>
      <c r="AA530" t="str">
        <f>IFERROR(VLOOKUP(Conso_FCST[[#This Row],[Model name]],Prod_T6[[#All],[Model name]:[Product Conso]],2,0),"exclude")</f>
        <v>P7 RES BLK-P</v>
      </c>
    </row>
    <row r="531" spans="1:27" hidden="1">
      <c r="A531" t="s">
        <v>56</v>
      </c>
      <c r="B531" t="s">
        <v>578</v>
      </c>
      <c r="C531" t="s">
        <v>512</v>
      </c>
      <c r="D531" t="s">
        <v>118</v>
      </c>
      <c r="E531" t="s">
        <v>119</v>
      </c>
      <c r="F531" t="s">
        <v>156</v>
      </c>
      <c r="H531" s="184" t="s">
        <v>117</v>
      </c>
      <c r="K531">
        <v>3.3000000000000002E-2</v>
      </c>
      <c r="M531">
        <v>3.3000000000000002E-2</v>
      </c>
      <c r="O531">
        <v>3.3000000000000002E-2</v>
      </c>
      <c r="Q531">
        <v>3.3000000000000002E-2</v>
      </c>
      <c r="X531" t="s">
        <v>70</v>
      </c>
      <c r="Y531" t="str">
        <f>VLOOKUP(Conso_FCST[[#This Row],[Country]],'Country-Region'!A:D,4,0)</f>
        <v>UK Region</v>
      </c>
      <c r="Z531" t="str">
        <f>VLOOKUP(Conso_FCST[[#This Row],[Country]],'Country-Region'!A:D,3,0)</f>
        <v>UK</v>
      </c>
      <c r="AA531" t="str">
        <f>IFERROR(VLOOKUP(Conso_FCST[[#This Row],[Model name]],Prod_T6[[#All],[Model name]:[Product Conso]],2,0),"exclude")</f>
        <v>P7 RES BLK 2.0</v>
      </c>
    </row>
    <row r="532" spans="1:27" hidden="1">
      <c r="A532" t="s">
        <v>56</v>
      </c>
      <c r="B532" t="s">
        <v>579</v>
      </c>
      <c r="C532" t="s">
        <v>493</v>
      </c>
      <c r="D532" t="s">
        <v>118</v>
      </c>
      <c r="E532" t="s">
        <v>180</v>
      </c>
      <c r="F532" t="s">
        <v>130</v>
      </c>
      <c r="G532" t="s">
        <v>580</v>
      </c>
      <c r="H532" s="184" t="s">
        <v>117</v>
      </c>
      <c r="I532">
        <v>0.17499999999999999</v>
      </c>
      <c r="J532">
        <v>0</v>
      </c>
      <c r="K532">
        <v>0.44500000000000001</v>
      </c>
      <c r="L532">
        <v>0.44500000000000001</v>
      </c>
      <c r="M532">
        <v>0.44500000000000001</v>
      </c>
      <c r="N532">
        <v>0.44500000000000001</v>
      </c>
      <c r="O532">
        <v>0.44500000000000001</v>
      </c>
      <c r="P532">
        <v>0.44500000000000001</v>
      </c>
      <c r="Q532">
        <v>7.4999999999999997E-2</v>
      </c>
      <c r="X532" t="s">
        <v>70</v>
      </c>
      <c r="Y532" t="str">
        <f>VLOOKUP(Conso_FCST[[#This Row],[Country]],'Country-Region'!A:D,4,0)</f>
        <v>UK Region</v>
      </c>
      <c r="Z532" t="str">
        <f>VLOOKUP(Conso_FCST[[#This Row],[Country]],'Country-Region'!A:D,3,0)</f>
        <v>UK</v>
      </c>
      <c r="AA532" t="str">
        <f>IFERROR(VLOOKUP(Conso_FCST[[#This Row],[Model name]],Prod_T6[[#All],[Model name]:[Product Conso]],2,0),"exclude")</f>
        <v>P7 RES BLK-P</v>
      </c>
    </row>
    <row r="533" spans="1:27" hidden="1">
      <c r="A533" t="s">
        <v>56</v>
      </c>
      <c r="B533" t="s">
        <v>579</v>
      </c>
      <c r="C533" t="s">
        <v>493</v>
      </c>
      <c r="D533" t="s">
        <v>134</v>
      </c>
      <c r="E533" t="s">
        <v>135</v>
      </c>
      <c r="F533" t="s">
        <v>115</v>
      </c>
      <c r="G533" t="s">
        <v>580</v>
      </c>
      <c r="H533" s="184" t="s">
        <v>117</v>
      </c>
      <c r="I533">
        <v>0.17499999999999999</v>
      </c>
      <c r="J533">
        <v>0</v>
      </c>
      <c r="K533">
        <v>0.44500000000000001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0.3</v>
      </c>
      <c r="X533" t="s">
        <v>70</v>
      </c>
      <c r="Y533" t="str">
        <f>VLOOKUP(Conso_FCST[[#This Row],[Country]],'Country-Region'!A:D,4,0)</f>
        <v>UK Region</v>
      </c>
      <c r="Z533" t="str">
        <f>VLOOKUP(Conso_FCST[[#This Row],[Country]],'Country-Region'!A:D,3,0)</f>
        <v>UK</v>
      </c>
      <c r="AA533" t="str">
        <f>IFERROR(VLOOKUP(Conso_FCST[[#This Row],[Model name]],Prod_T6[[#All],[Model name]:[Product Conso]],2,0),"exclude")</f>
        <v>SPR-BE54-HD</v>
      </c>
    </row>
    <row r="534" spans="1:27" hidden="1">
      <c r="A534" t="s">
        <v>56</v>
      </c>
      <c r="B534" t="s">
        <v>581</v>
      </c>
      <c r="C534" t="s">
        <v>512</v>
      </c>
      <c r="D534" t="s">
        <v>149</v>
      </c>
      <c r="E534" t="s">
        <v>152</v>
      </c>
      <c r="F534" t="s">
        <v>115</v>
      </c>
      <c r="G534" t="s">
        <v>582</v>
      </c>
      <c r="H534" s="184" t="s">
        <v>117</v>
      </c>
      <c r="N534">
        <v>1</v>
      </c>
      <c r="O534">
        <v>1</v>
      </c>
      <c r="P534">
        <v>1</v>
      </c>
      <c r="X534" t="s">
        <v>70</v>
      </c>
      <c r="Y534" t="str">
        <f>VLOOKUP(Conso_FCST[[#This Row],[Country]],'Country-Region'!A:D,4,0)</f>
        <v>UK Region</v>
      </c>
      <c r="Z534" t="str">
        <f>VLOOKUP(Conso_FCST[[#This Row],[Country]],'Country-Region'!A:D,3,0)</f>
        <v>UK</v>
      </c>
      <c r="AA534" t="str">
        <f>IFERROR(VLOOKUP(Conso_FCST[[#This Row],[Model name]],Prod_T6[[#All],[Model name]:[Product Conso]],2,0),"exclude")</f>
        <v>HSM-NT48-HH</v>
      </c>
    </row>
    <row r="535" spans="1:27" hidden="1">
      <c r="A535" t="s">
        <v>56</v>
      </c>
      <c r="B535" t="s">
        <v>581</v>
      </c>
      <c r="C535" t="s">
        <v>512</v>
      </c>
      <c r="D535" t="s">
        <v>118</v>
      </c>
      <c r="E535" t="s">
        <v>119</v>
      </c>
      <c r="F535" t="s">
        <v>156</v>
      </c>
      <c r="H535" s="184" t="s">
        <v>117</v>
      </c>
      <c r="I535">
        <v>6.6000000000000003E-2</v>
      </c>
      <c r="J535">
        <v>6.6000000000000003E-2</v>
      </c>
      <c r="K535">
        <v>6.6000000000000003E-2</v>
      </c>
      <c r="L535">
        <v>6.6000000000000003E-2</v>
      </c>
      <c r="M535">
        <v>6.6000000000000003E-2</v>
      </c>
      <c r="N535">
        <v>6.6000000000000003E-2</v>
      </c>
      <c r="O535">
        <v>6.6000000000000003E-2</v>
      </c>
      <c r="P535">
        <v>6.6000000000000003E-2</v>
      </c>
      <c r="Q535">
        <v>6.6000000000000003E-2</v>
      </c>
      <c r="X535" t="s">
        <v>70</v>
      </c>
      <c r="Y535" t="str">
        <f>VLOOKUP(Conso_FCST[[#This Row],[Country]],'Country-Region'!A:D,4,0)</f>
        <v>UK Region</v>
      </c>
      <c r="Z535" t="str">
        <f>VLOOKUP(Conso_FCST[[#This Row],[Country]],'Country-Region'!A:D,3,0)</f>
        <v>UK</v>
      </c>
      <c r="AA535" t="str">
        <f>IFERROR(VLOOKUP(Conso_FCST[[#This Row],[Model name]],Prod_T6[[#All],[Model name]:[Product Conso]],2,0),"exclude")</f>
        <v>P7 RES BLK 2.0</v>
      </c>
    </row>
    <row r="536" spans="1:27" hidden="1">
      <c r="A536" t="s">
        <v>56</v>
      </c>
      <c r="B536" t="s">
        <v>581</v>
      </c>
      <c r="C536" t="s">
        <v>512</v>
      </c>
      <c r="D536" t="s">
        <v>118</v>
      </c>
      <c r="E536" t="s">
        <v>123</v>
      </c>
      <c r="F536" t="s">
        <v>156</v>
      </c>
      <c r="G536" t="s">
        <v>583</v>
      </c>
      <c r="H536" s="184" t="s">
        <v>117</v>
      </c>
      <c r="K536">
        <v>0.3</v>
      </c>
      <c r="M536">
        <v>0.3</v>
      </c>
      <c r="N536">
        <v>0.3</v>
      </c>
      <c r="O536">
        <v>0.3</v>
      </c>
      <c r="P536">
        <v>0.3</v>
      </c>
      <c r="X536" t="s">
        <v>70</v>
      </c>
      <c r="Y536" t="str">
        <f>VLOOKUP(Conso_FCST[[#This Row],[Country]],'Country-Region'!A:D,4,0)</f>
        <v>UK Region</v>
      </c>
      <c r="Z536" t="str">
        <f>VLOOKUP(Conso_FCST[[#This Row],[Country]],'Country-Region'!A:D,3,0)</f>
        <v>UK</v>
      </c>
      <c r="AA536" t="str">
        <f>IFERROR(VLOOKUP(Conso_FCST[[#This Row],[Model name]],Prod_T6[[#All],[Model name]:[Product Conso]],2,0),"exclude")</f>
        <v>P7 RES BLK-P</v>
      </c>
    </row>
    <row r="537" spans="1:27" hidden="1">
      <c r="A537" t="s">
        <v>56</v>
      </c>
      <c r="B537" t="s">
        <v>565</v>
      </c>
      <c r="C537" t="s">
        <v>493</v>
      </c>
      <c r="D537" t="s">
        <v>134</v>
      </c>
      <c r="E537" t="s">
        <v>135</v>
      </c>
      <c r="F537" t="s">
        <v>115</v>
      </c>
      <c r="G537" t="s">
        <v>566</v>
      </c>
      <c r="H537" s="184" t="s">
        <v>117</v>
      </c>
      <c r="I537">
        <v>0</v>
      </c>
      <c r="J537">
        <v>0</v>
      </c>
      <c r="K537">
        <v>0.125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0.17499999999999999</v>
      </c>
      <c r="X537" t="s">
        <v>70</v>
      </c>
      <c r="Y537" t="str">
        <f>VLOOKUP(Conso_FCST[[#This Row],[Country]],'Country-Region'!A:D,4,0)</f>
        <v>UK Region</v>
      </c>
      <c r="Z537" t="str">
        <f>VLOOKUP(Conso_FCST[[#This Row],[Country]],'Country-Region'!A:D,3,0)</f>
        <v>UK</v>
      </c>
      <c r="AA537" t="str">
        <f>IFERROR(VLOOKUP(Conso_FCST[[#This Row],[Model name]],Prod_T6[[#All],[Model name]:[Product Conso]],2,0),"exclude")</f>
        <v>SPR-BE54-HD</v>
      </c>
    </row>
    <row r="538" spans="1:27" hidden="1">
      <c r="A538" t="s">
        <v>56</v>
      </c>
      <c r="B538" t="s">
        <v>575</v>
      </c>
      <c r="C538" t="s">
        <v>493</v>
      </c>
      <c r="D538" t="s">
        <v>118</v>
      </c>
      <c r="E538" t="s">
        <v>119</v>
      </c>
      <c r="F538" t="s">
        <v>130</v>
      </c>
      <c r="G538" t="s">
        <v>576</v>
      </c>
      <c r="H538" s="184" t="s">
        <v>117</v>
      </c>
      <c r="I538">
        <v>0</v>
      </c>
      <c r="J538">
        <v>0.13</v>
      </c>
      <c r="K538">
        <v>0.13</v>
      </c>
      <c r="L538">
        <v>0.13</v>
      </c>
      <c r="M538">
        <v>0</v>
      </c>
      <c r="N538">
        <v>0.13</v>
      </c>
      <c r="O538">
        <v>0</v>
      </c>
      <c r="P538">
        <v>0.13</v>
      </c>
      <c r="Q538">
        <v>0</v>
      </c>
      <c r="X538" t="s">
        <v>70</v>
      </c>
      <c r="Y538" t="str">
        <f>VLOOKUP(Conso_FCST[[#This Row],[Country]],'Country-Region'!A:D,4,0)</f>
        <v>UK Region</v>
      </c>
      <c r="Z538" t="str">
        <f>VLOOKUP(Conso_FCST[[#This Row],[Country]],'Country-Region'!A:D,3,0)</f>
        <v>UK</v>
      </c>
      <c r="AA538" t="str">
        <f>IFERROR(VLOOKUP(Conso_FCST[[#This Row],[Model name]],Prod_T6[[#All],[Model name]:[Product Conso]],2,0),"exclude")</f>
        <v>P7 RES BLK 2.0</v>
      </c>
    </row>
    <row r="539" spans="1:27" hidden="1">
      <c r="A539" t="s">
        <v>56</v>
      </c>
      <c r="B539" t="s">
        <v>573</v>
      </c>
      <c r="C539" t="s">
        <v>493</v>
      </c>
      <c r="D539" t="s">
        <v>314</v>
      </c>
      <c r="E539" t="s">
        <v>315</v>
      </c>
      <c r="F539" t="s">
        <v>136</v>
      </c>
      <c r="G539" t="s">
        <v>584</v>
      </c>
      <c r="H539" s="184" t="s">
        <v>117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Q539">
        <v>0</v>
      </c>
      <c r="X539" t="s">
        <v>70</v>
      </c>
      <c r="Y539" t="str">
        <f>VLOOKUP(Conso_FCST[[#This Row],[Country]],'Country-Region'!A:D,4,0)</f>
        <v>UK Region</v>
      </c>
      <c r="Z539" t="str">
        <f>VLOOKUP(Conso_FCST[[#This Row],[Country]],'Country-Region'!A:D,3,0)</f>
        <v>UK</v>
      </c>
      <c r="AA539" t="str">
        <f>IFERROR(VLOOKUP(Conso_FCST[[#This Row],[Model name]],Prod_T6[[#All],[Model name]:[Product Conso]],2,0),"exclude")</f>
        <v>TCL-MR470DT182-58NS</v>
      </c>
    </row>
    <row r="540" spans="1:27" hidden="1">
      <c r="A540" t="s">
        <v>585</v>
      </c>
      <c r="B540" t="s">
        <v>586</v>
      </c>
      <c r="D540" t="s">
        <v>118</v>
      </c>
      <c r="E540" t="s">
        <v>119</v>
      </c>
      <c r="F540" t="s">
        <v>213</v>
      </c>
      <c r="G540" t="s">
        <v>587</v>
      </c>
      <c r="H540" s="184" t="s">
        <v>117</v>
      </c>
      <c r="J540" t="s">
        <v>257</v>
      </c>
      <c r="K540">
        <v>0.8</v>
      </c>
      <c r="X540" t="s">
        <v>70</v>
      </c>
      <c r="Y540" t="str">
        <f>VLOOKUP(Conso_FCST[[#This Row],[Country]],'Country-Region'!A:D,4,0)</f>
        <v>Central and Eastern Europe Region</v>
      </c>
      <c r="Z540" t="str">
        <f>VLOOKUP(Conso_FCST[[#This Row],[Country]],'Country-Region'!A:D,3,0)</f>
        <v>C&amp;E EU</v>
      </c>
      <c r="AA540" t="str">
        <f>IFERROR(VLOOKUP(Conso_FCST[[#This Row],[Model name]],Prod_T6[[#All],[Model name]:[Product Conso]],2,0),"exclude")</f>
        <v>P7 RES BLK 2.0</v>
      </c>
    </row>
    <row r="541" spans="1:27" hidden="1">
      <c r="A541" t="s">
        <v>585</v>
      </c>
      <c r="B541" t="s">
        <v>586</v>
      </c>
      <c r="D541" t="s">
        <v>118</v>
      </c>
      <c r="E541" t="s">
        <v>255</v>
      </c>
      <c r="F541" t="s">
        <v>213</v>
      </c>
      <c r="G541" t="s">
        <v>588</v>
      </c>
      <c r="H541" s="184" t="s">
        <v>117</v>
      </c>
      <c r="J541" t="s">
        <v>257</v>
      </c>
      <c r="K541">
        <v>0.8</v>
      </c>
      <c r="X541" t="s">
        <v>70</v>
      </c>
      <c r="Y541" t="str">
        <f>VLOOKUP(Conso_FCST[[#This Row],[Country]],'Country-Region'!A:D,4,0)</f>
        <v>Central and Eastern Europe Region</v>
      </c>
      <c r="Z541" t="str">
        <f>VLOOKUP(Conso_FCST[[#This Row],[Country]],'Country-Region'!A:D,3,0)</f>
        <v>C&amp;E EU</v>
      </c>
      <c r="AA541" t="str">
        <f>IFERROR(VLOOKUP(Conso_FCST[[#This Row],[Model name]],Prod_T6[[#All],[Model name]:[Product Conso]],2,0),"exclude")</f>
        <v>P7 COM S BF IT</v>
      </c>
    </row>
    <row r="542" spans="1:27" hidden="1">
      <c r="A542" t="s">
        <v>91</v>
      </c>
      <c r="B542" t="s">
        <v>365</v>
      </c>
      <c r="C542" t="s">
        <v>369</v>
      </c>
      <c r="D542" t="s">
        <v>149</v>
      </c>
      <c r="E542" t="s">
        <v>155</v>
      </c>
      <c r="F542" t="s">
        <v>136</v>
      </c>
      <c r="H542" s="184" t="s">
        <v>117</v>
      </c>
      <c r="L542">
        <v>0</v>
      </c>
      <c r="O542">
        <v>0</v>
      </c>
      <c r="X542" t="s">
        <v>70</v>
      </c>
      <c r="Y542" t="str">
        <f>VLOOKUP(Conso_FCST[[#This Row],[Country]],'Country-Region'!A:D,4,0)</f>
        <v>Italy Region</v>
      </c>
      <c r="Z542" t="str">
        <f>VLOOKUP(Conso_FCST[[#This Row],[Country]],'Country-Region'!A:D,3,0)</f>
        <v>Italy</v>
      </c>
      <c r="AA542" t="str">
        <f>IFERROR(VLOOKUP(Conso_FCST[[#This Row],[Model name]],Prod_T6[[#All],[Model name]:[Product Conso]],2,0),"exclude")</f>
        <v>HSM-NT66-GH</v>
      </c>
    </row>
    <row r="543" spans="1:27" hidden="1">
      <c r="A543" t="s">
        <v>91</v>
      </c>
      <c r="B543" t="s">
        <v>365</v>
      </c>
      <c r="C543" t="s">
        <v>369</v>
      </c>
      <c r="D543" t="s">
        <v>149</v>
      </c>
      <c r="E543" t="s">
        <v>491</v>
      </c>
      <c r="F543" t="s">
        <v>136</v>
      </c>
      <c r="H543" s="184" t="s">
        <v>117</v>
      </c>
      <c r="L543">
        <v>0</v>
      </c>
      <c r="O543">
        <v>0</v>
      </c>
      <c r="X543" t="s">
        <v>70</v>
      </c>
      <c r="Y543" t="str">
        <f>VLOOKUP(Conso_FCST[[#This Row],[Country]],'Country-Region'!A:D,4,0)</f>
        <v>Italy Region</v>
      </c>
      <c r="Z543" t="str">
        <f>VLOOKUP(Conso_FCST[[#This Row],[Country]],'Country-Region'!A:D,3,0)</f>
        <v>Italy</v>
      </c>
      <c r="AA543" t="str">
        <f>IFERROR(VLOOKUP(Conso_FCST[[#This Row],[Model name]],Prod_T6[[#All],[Model name]:[Product Conso]],2,0),"exclude")</f>
        <v>HSM-NT66-GL</v>
      </c>
    </row>
    <row r="544" spans="1:27" hidden="1">
      <c r="A544" t="s">
        <v>91</v>
      </c>
      <c r="B544" t="s">
        <v>365</v>
      </c>
      <c r="C544" t="s">
        <v>369</v>
      </c>
      <c r="D544" t="s">
        <v>113</v>
      </c>
      <c r="E544" t="s">
        <v>182</v>
      </c>
      <c r="F544" t="s">
        <v>136</v>
      </c>
      <c r="H544" s="184" t="s">
        <v>117</v>
      </c>
      <c r="L544">
        <v>0</v>
      </c>
      <c r="N544">
        <v>5</v>
      </c>
      <c r="P544">
        <v>8</v>
      </c>
      <c r="X544" t="s">
        <v>70</v>
      </c>
      <c r="Y544" t="str">
        <f>VLOOKUP(Conso_FCST[[#This Row],[Country]],'Country-Region'!A:D,4,0)</f>
        <v>Italy Region</v>
      </c>
      <c r="Z544" t="str">
        <f>VLOOKUP(Conso_FCST[[#This Row],[Country]],'Country-Region'!A:D,3,0)</f>
        <v>Italy</v>
      </c>
      <c r="AA544" t="str">
        <f>IFERROR(VLOOKUP(Conso_FCST[[#This Row],[Model name]],Prod_T6[[#All],[Model name]:[Product Conso]],2,0),"exclude")</f>
        <v xml:space="preserve">HSM-BE66-GD </v>
      </c>
    </row>
    <row r="545" spans="1:27" hidden="1">
      <c r="A545" t="s">
        <v>91</v>
      </c>
      <c r="B545" t="s">
        <v>365</v>
      </c>
      <c r="C545" t="s">
        <v>369</v>
      </c>
      <c r="D545" t="s">
        <v>113</v>
      </c>
      <c r="E545" t="s">
        <v>153</v>
      </c>
      <c r="F545" t="s">
        <v>136</v>
      </c>
      <c r="H545" s="184" t="s">
        <v>117</v>
      </c>
      <c r="O545">
        <v>10</v>
      </c>
      <c r="P545">
        <v>8</v>
      </c>
      <c r="Q545">
        <v>5</v>
      </c>
      <c r="X545" t="s">
        <v>70</v>
      </c>
      <c r="Y545" t="str">
        <f>VLOOKUP(Conso_FCST[[#This Row],[Country]],'Country-Region'!A:D,4,0)</f>
        <v>Italy Region</v>
      </c>
      <c r="Z545" t="str">
        <f>VLOOKUP(Conso_FCST[[#This Row],[Country]],'Country-Region'!A:D,3,0)</f>
        <v>Italy</v>
      </c>
      <c r="AA545" t="str">
        <f>IFERROR(VLOOKUP(Conso_FCST[[#This Row],[Model name]],Prod_T6[[#All],[Model name]:[Product Conso]],2,0),"exclude")</f>
        <v>HSM-BE54-HD</v>
      </c>
    </row>
    <row r="546" spans="1:27" hidden="1">
      <c r="A546" t="s">
        <v>91</v>
      </c>
      <c r="B546" t="s">
        <v>368</v>
      </c>
      <c r="C546" t="s">
        <v>369</v>
      </c>
      <c r="D546" t="s">
        <v>314</v>
      </c>
      <c r="E546" t="s">
        <v>315</v>
      </c>
      <c r="F546" t="s">
        <v>136</v>
      </c>
      <c r="H546" s="184" t="s">
        <v>117</v>
      </c>
      <c r="L546">
        <v>3.6</v>
      </c>
      <c r="M546">
        <v>1.8</v>
      </c>
      <c r="N546">
        <v>4.4000000000000004</v>
      </c>
      <c r="X546" t="s">
        <v>70</v>
      </c>
      <c r="Y546" t="str">
        <f>VLOOKUP(Conso_FCST[[#This Row],[Country]],'Country-Region'!A:D,4,0)</f>
        <v>Italy Region</v>
      </c>
      <c r="Z546" t="str">
        <f>VLOOKUP(Conso_FCST[[#This Row],[Country]],'Country-Region'!A:D,3,0)</f>
        <v>Italy</v>
      </c>
      <c r="AA546" t="str">
        <f>IFERROR(VLOOKUP(Conso_FCST[[#This Row],[Model name]],Prod_T6[[#All],[Model name]:[Product Conso]],2,0),"exclude")</f>
        <v>TCL-MR470DT182-58NS</v>
      </c>
    </row>
    <row r="547" spans="1:27" hidden="1">
      <c r="A547" t="s">
        <v>91</v>
      </c>
      <c r="B547" t="s">
        <v>368</v>
      </c>
      <c r="C547" t="s">
        <v>369</v>
      </c>
      <c r="D547" t="s">
        <v>54</v>
      </c>
      <c r="E547" t="s">
        <v>121</v>
      </c>
      <c r="F547" t="s">
        <v>136</v>
      </c>
      <c r="H547" s="184" t="s">
        <v>117</v>
      </c>
      <c r="L547">
        <v>4.4000000000000004</v>
      </c>
      <c r="M547">
        <v>1.8</v>
      </c>
      <c r="N547">
        <v>5.6</v>
      </c>
      <c r="X547" t="s">
        <v>70</v>
      </c>
      <c r="Y547" t="str">
        <f>VLOOKUP(Conso_FCST[[#This Row],[Country]],'Country-Region'!A:D,4,0)</f>
        <v>Italy Region</v>
      </c>
      <c r="Z547" t="str">
        <f>VLOOKUP(Conso_FCST[[#This Row],[Country]],'Country-Region'!A:D,3,0)</f>
        <v>Italy</v>
      </c>
      <c r="AA547" t="str">
        <f>IFERROR(VLOOKUP(Conso_FCST[[#This Row],[Model name]],Prod_T6[[#All],[Model name]:[Product Conso]],2,0),"exclude")</f>
        <v>HSM-ND54-DR</v>
      </c>
    </row>
    <row r="548" spans="1:27" hidden="1">
      <c r="A548" t="s">
        <v>91</v>
      </c>
      <c r="B548" t="s">
        <v>365</v>
      </c>
      <c r="C548" t="s">
        <v>369</v>
      </c>
      <c r="D548" t="s">
        <v>149</v>
      </c>
      <c r="E548" t="s">
        <v>589</v>
      </c>
      <c r="F548" t="s">
        <v>136</v>
      </c>
      <c r="H548" s="184" t="s">
        <v>117</v>
      </c>
      <c r="L548">
        <v>0</v>
      </c>
      <c r="X548" t="s">
        <v>70</v>
      </c>
      <c r="Y548" t="str">
        <f>VLOOKUP(Conso_FCST[[#This Row],[Country]],'Country-Region'!A:D,4,0)</f>
        <v>Italy Region</v>
      </c>
      <c r="Z548" t="str">
        <f>VLOOKUP(Conso_FCST[[#This Row],[Country]],'Country-Region'!A:D,3,0)</f>
        <v>Italy</v>
      </c>
      <c r="AA548" t="str">
        <f>IFERROR(VLOOKUP(Conso_FCST[[#This Row],[Model name]],Prod_T6[[#All],[Model name]:[Product Conso]],2,0),"exclude")</f>
        <v>exclude</v>
      </c>
    </row>
  </sheetData>
  <sortState xmlns:xlrd2="http://schemas.microsoft.com/office/spreadsheetml/2017/richdata2" ref="AN2:AN481">
    <sortCondition ref="AN2:AN481"/>
  </sortState>
  <phoneticPr fontId="3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04695-3958-4A94-BAC3-6B6E1863D790}">
  <dimension ref="A1:D34"/>
  <sheetViews>
    <sheetView workbookViewId="0">
      <selection activeCell="D33" sqref="D33"/>
    </sheetView>
  </sheetViews>
  <sheetFormatPr defaultRowHeight="14"/>
  <cols>
    <col min="1" max="1" width="18.08984375" bestFit="1" customWidth="1"/>
    <col min="2" max="4" width="32.08984375" bestFit="1" customWidth="1"/>
  </cols>
  <sheetData>
    <row r="1" spans="1:4">
      <c r="A1" s="259" t="s">
        <v>45</v>
      </c>
      <c r="B1" s="260" t="s">
        <v>590</v>
      </c>
      <c r="C1" s="261" t="s">
        <v>109</v>
      </c>
      <c r="D1" s="262" t="s">
        <v>108</v>
      </c>
    </row>
    <row r="2" spans="1:4" ht="15.5">
      <c r="A2" s="263" t="s">
        <v>80</v>
      </c>
      <c r="B2" s="263" t="s">
        <v>80</v>
      </c>
      <c r="C2" s="263" t="s">
        <v>55</v>
      </c>
      <c r="D2" s="263" t="s">
        <v>16</v>
      </c>
    </row>
    <row r="3" spans="1:4" ht="15.5">
      <c r="A3" s="264" t="s">
        <v>86</v>
      </c>
      <c r="B3" s="264" t="s">
        <v>86</v>
      </c>
      <c r="C3" s="264" t="s">
        <v>55</v>
      </c>
      <c r="D3" s="264" t="s">
        <v>16</v>
      </c>
    </row>
    <row r="4" spans="1:4" ht="15.5">
      <c r="A4" s="263" t="s">
        <v>174</v>
      </c>
      <c r="B4" s="263" t="s">
        <v>57</v>
      </c>
      <c r="C4" s="263" t="s">
        <v>57</v>
      </c>
      <c r="D4" s="263" t="s">
        <v>17</v>
      </c>
    </row>
    <row r="5" spans="1:4" ht="15.5">
      <c r="A5" s="264" t="s">
        <v>591</v>
      </c>
      <c r="B5" s="264" t="s">
        <v>57</v>
      </c>
      <c r="C5" s="264" t="s">
        <v>57</v>
      </c>
      <c r="D5" s="264" t="s">
        <v>17</v>
      </c>
    </row>
    <row r="6" spans="1:4" ht="15.5">
      <c r="A6" s="263" t="s">
        <v>592</v>
      </c>
      <c r="B6" s="263" t="s">
        <v>57</v>
      </c>
      <c r="C6" s="263" t="s">
        <v>57</v>
      </c>
      <c r="D6" s="263" t="s">
        <v>17</v>
      </c>
    </row>
    <row r="7" spans="1:4" ht="15.5">
      <c r="A7" s="264" t="s">
        <v>84</v>
      </c>
      <c r="B7" s="264" t="s">
        <v>57</v>
      </c>
      <c r="C7" s="264" t="s">
        <v>57</v>
      </c>
      <c r="D7" s="264" t="s">
        <v>17</v>
      </c>
    </row>
    <row r="8" spans="1:4" ht="15.5">
      <c r="A8" s="263" t="s">
        <v>85</v>
      </c>
      <c r="B8" s="263" t="s">
        <v>57</v>
      </c>
      <c r="C8" s="263" t="s">
        <v>57</v>
      </c>
      <c r="D8" s="263" t="s">
        <v>17</v>
      </c>
    </row>
    <row r="9" spans="1:4" ht="15.5">
      <c r="A9" s="264" t="s">
        <v>88</v>
      </c>
      <c r="B9" s="264" t="s">
        <v>57</v>
      </c>
      <c r="C9" s="264" t="s">
        <v>57</v>
      </c>
      <c r="D9" s="264" t="s">
        <v>17</v>
      </c>
    </row>
    <row r="10" spans="1:4" ht="15.5">
      <c r="A10" s="263" t="s">
        <v>593</v>
      </c>
      <c r="B10" s="263" t="s">
        <v>57</v>
      </c>
      <c r="C10" s="263" t="s">
        <v>57</v>
      </c>
      <c r="D10" s="263" t="s">
        <v>17</v>
      </c>
    </row>
    <row r="11" spans="1:4" ht="15.5">
      <c r="A11" s="264" t="s">
        <v>89</v>
      </c>
      <c r="B11" s="264" t="s">
        <v>57</v>
      </c>
      <c r="C11" s="264" t="s">
        <v>57</v>
      </c>
      <c r="D11" s="264" t="s">
        <v>17</v>
      </c>
    </row>
    <row r="12" spans="1:4" ht="15.5">
      <c r="A12" s="263" t="s">
        <v>594</v>
      </c>
      <c r="B12" s="263" t="s">
        <v>57</v>
      </c>
      <c r="C12" s="263" t="s">
        <v>57</v>
      </c>
      <c r="D12" s="263" t="s">
        <v>17</v>
      </c>
    </row>
    <row r="13" spans="1:4" ht="15.5">
      <c r="A13" s="264" t="s">
        <v>253</v>
      </c>
      <c r="B13" s="264" t="s">
        <v>57</v>
      </c>
      <c r="C13" s="264" t="s">
        <v>57</v>
      </c>
      <c r="D13" s="264" t="s">
        <v>17</v>
      </c>
    </row>
    <row r="14" spans="1:4" ht="15.5">
      <c r="A14" s="263" t="s">
        <v>585</v>
      </c>
      <c r="B14" s="263" t="s">
        <v>57</v>
      </c>
      <c r="C14" s="263" t="s">
        <v>57</v>
      </c>
      <c r="D14" s="263" t="s">
        <v>17</v>
      </c>
    </row>
    <row r="15" spans="1:4" ht="15.5">
      <c r="A15" s="264" t="s">
        <v>595</v>
      </c>
      <c r="B15" s="264" t="s">
        <v>57</v>
      </c>
      <c r="C15" s="264" t="s">
        <v>57</v>
      </c>
      <c r="D15" s="264" t="s">
        <v>17</v>
      </c>
    </row>
    <row r="16" spans="1:4" ht="15.5">
      <c r="A16" s="263" t="s">
        <v>81</v>
      </c>
      <c r="B16" s="263" t="s">
        <v>57</v>
      </c>
      <c r="C16" s="263" t="s">
        <v>57</v>
      </c>
      <c r="D16" s="263" t="s">
        <v>17</v>
      </c>
    </row>
    <row r="17" spans="1:4" ht="15.5">
      <c r="A17" s="263" t="s">
        <v>124</v>
      </c>
      <c r="B17" s="263" t="s">
        <v>124</v>
      </c>
      <c r="C17" s="263" t="s">
        <v>32</v>
      </c>
      <c r="D17" s="263" t="s">
        <v>19</v>
      </c>
    </row>
    <row r="18" spans="1:4" ht="15.5">
      <c r="A18" s="264" t="s">
        <v>32</v>
      </c>
      <c r="B18" s="264" t="s">
        <v>32</v>
      </c>
      <c r="C18" s="264" t="s">
        <v>32</v>
      </c>
      <c r="D18" s="264" t="s">
        <v>19</v>
      </c>
    </row>
    <row r="19" spans="1:4" ht="15.5">
      <c r="A19" s="263" t="s">
        <v>596</v>
      </c>
      <c r="B19" s="263" t="s">
        <v>592</v>
      </c>
      <c r="C19" s="263" t="s">
        <v>592</v>
      </c>
      <c r="D19" s="263" t="s">
        <v>597</v>
      </c>
    </row>
    <row r="20" spans="1:4" ht="15.5">
      <c r="A20" s="264" t="s">
        <v>30</v>
      </c>
      <c r="B20" s="264" t="s">
        <v>30</v>
      </c>
      <c r="C20" s="264" t="s">
        <v>30</v>
      </c>
      <c r="D20" s="264" t="s">
        <v>18</v>
      </c>
    </row>
    <row r="21" spans="1:4" ht="15.5">
      <c r="A21" s="263" t="s">
        <v>598</v>
      </c>
      <c r="B21" s="263" t="s">
        <v>598</v>
      </c>
      <c r="C21" s="263" t="s">
        <v>30</v>
      </c>
      <c r="D21" s="263" t="s">
        <v>18</v>
      </c>
    </row>
    <row r="22" spans="1:4" ht="15.5">
      <c r="A22" s="264" t="s">
        <v>31</v>
      </c>
      <c r="B22" s="264" t="s">
        <v>31</v>
      </c>
      <c r="C22" s="264" t="s">
        <v>31</v>
      </c>
      <c r="D22" s="264" t="s">
        <v>20</v>
      </c>
    </row>
    <row r="23" spans="1:4" ht="15.5">
      <c r="A23" s="263" t="s">
        <v>91</v>
      </c>
      <c r="B23" s="263" t="s">
        <v>31</v>
      </c>
      <c r="C23" s="263" t="s">
        <v>31</v>
      </c>
      <c r="D23" s="263" t="s">
        <v>20</v>
      </c>
    </row>
    <row r="24" spans="1:4" ht="15.5">
      <c r="A24" s="264" t="s">
        <v>49</v>
      </c>
      <c r="B24" s="264" t="s">
        <v>39</v>
      </c>
      <c r="C24" s="264" t="s">
        <v>39</v>
      </c>
      <c r="D24" s="264" t="s">
        <v>22</v>
      </c>
    </row>
    <row r="25" spans="1:4" ht="15.5">
      <c r="A25" s="264" t="s">
        <v>599</v>
      </c>
      <c r="B25" s="264" t="s">
        <v>21</v>
      </c>
      <c r="C25" s="264" t="s">
        <v>21</v>
      </c>
      <c r="D25" s="264" t="s">
        <v>21</v>
      </c>
    </row>
    <row r="26" spans="1:4" ht="15.5">
      <c r="A26" s="263" t="s">
        <v>90</v>
      </c>
      <c r="B26" s="263" t="s">
        <v>21</v>
      </c>
      <c r="C26" s="263" t="s">
        <v>21</v>
      </c>
      <c r="D26" s="263" t="s">
        <v>21</v>
      </c>
    </row>
    <row r="27" spans="1:4" ht="15.5">
      <c r="A27" s="264" t="s">
        <v>82</v>
      </c>
      <c r="B27" s="264" t="s">
        <v>21</v>
      </c>
      <c r="C27" s="264" t="s">
        <v>21</v>
      </c>
      <c r="D27" s="264" t="s">
        <v>21</v>
      </c>
    </row>
    <row r="28" spans="1:4" ht="15.5">
      <c r="A28" s="263" t="s">
        <v>83</v>
      </c>
      <c r="B28" s="263" t="s">
        <v>21</v>
      </c>
      <c r="C28" s="263" t="s">
        <v>21</v>
      </c>
      <c r="D28" s="263" t="s">
        <v>21</v>
      </c>
    </row>
    <row r="29" spans="1:4" ht="15.5">
      <c r="A29" s="264" t="s">
        <v>164</v>
      </c>
      <c r="B29" s="264" t="s">
        <v>21</v>
      </c>
      <c r="C29" s="264" t="s">
        <v>21</v>
      </c>
      <c r="D29" s="264" t="s">
        <v>21</v>
      </c>
    </row>
    <row r="30" spans="1:4" ht="15.5">
      <c r="A30" s="263" t="s">
        <v>375</v>
      </c>
      <c r="B30" s="263" t="s">
        <v>21</v>
      </c>
      <c r="C30" s="263" t="s">
        <v>21</v>
      </c>
      <c r="D30" s="263" t="s">
        <v>21</v>
      </c>
    </row>
    <row r="31" spans="1:4" ht="15.5">
      <c r="A31" s="264" t="s">
        <v>446</v>
      </c>
      <c r="B31" s="264" t="s">
        <v>21</v>
      </c>
      <c r="C31" s="264" t="s">
        <v>21</v>
      </c>
      <c r="D31" s="264" t="s">
        <v>21</v>
      </c>
    </row>
    <row r="32" spans="1:4" ht="15.5">
      <c r="A32" s="263" t="s">
        <v>29</v>
      </c>
      <c r="B32" s="263" t="s">
        <v>29</v>
      </c>
      <c r="C32" s="263" t="s">
        <v>29</v>
      </c>
      <c r="D32" s="263" t="s">
        <v>21</v>
      </c>
    </row>
    <row r="33" spans="1:4" ht="15.5">
      <c r="A33" s="264" t="s">
        <v>56</v>
      </c>
      <c r="B33" s="264" t="s">
        <v>56</v>
      </c>
      <c r="C33" s="264" t="s">
        <v>56</v>
      </c>
      <c r="D33" s="264" t="s">
        <v>23</v>
      </c>
    </row>
    <row r="34" spans="1:4" ht="15.5">
      <c r="A34" s="263"/>
      <c r="B34" s="263"/>
      <c r="C34" s="263"/>
      <c r="D34" s="263"/>
    </row>
  </sheetData>
  <phoneticPr fontId="6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9641C-98C5-4875-94F6-36C19341FE97}">
  <sheetPr codeName="Sheet13">
    <tabColor rgb="FFFFCCFF"/>
  </sheetPr>
  <dimension ref="B2:B54"/>
  <sheetViews>
    <sheetView zoomScale="90" zoomScaleNormal="90" workbookViewId="0">
      <selection activeCell="B2" sqref="B2"/>
    </sheetView>
  </sheetViews>
  <sheetFormatPr defaultColWidth="8.36328125" defaultRowHeight="14"/>
  <cols>
    <col min="2" max="2" width="109.08984375" bestFit="1" customWidth="1"/>
  </cols>
  <sheetData>
    <row r="2" spans="2:2" ht="19" thickBot="1">
      <c r="B2" s="18" t="s">
        <v>600</v>
      </c>
    </row>
    <row r="3" spans="2:2" ht="14.5" thickTop="1"/>
    <row r="4" spans="2:2" ht="17.5">
      <c r="B4" s="19" t="s">
        <v>601</v>
      </c>
    </row>
    <row r="5" spans="2:2">
      <c r="B5" s="206" t="s">
        <v>602</v>
      </c>
    </row>
    <row r="6" spans="2:2">
      <c r="B6" s="185" t="s">
        <v>603</v>
      </c>
    </row>
    <row r="7" spans="2:2">
      <c r="B7" s="185" t="s">
        <v>604</v>
      </c>
    </row>
    <row r="8" spans="2:2">
      <c r="B8" s="185" t="s">
        <v>605</v>
      </c>
    </row>
    <row r="9" spans="2:2">
      <c r="B9" s="20" t="s">
        <v>606</v>
      </c>
    </row>
    <row r="10" spans="2:2">
      <c r="B10" s="186"/>
    </row>
    <row r="11" spans="2:2">
      <c r="B11" s="187"/>
    </row>
    <row r="12" spans="2:2" ht="17.5">
      <c r="B12" s="19" t="s">
        <v>607</v>
      </c>
    </row>
    <row r="13" spans="2:2">
      <c r="B13" s="206" t="s">
        <v>608</v>
      </c>
    </row>
    <row r="14" spans="2:2">
      <c r="B14" s="185" t="s">
        <v>609</v>
      </c>
    </row>
    <row r="15" spans="2:2">
      <c r="B15" s="185" t="s">
        <v>610</v>
      </c>
    </row>
    <row r="16" spans="2:2">
      <c r="B16" s="186"/>
    </row>
    <row r="18" spans="2:2" ht="17.5">
      <c r="B18" s="19" t="s">
        <v>611</v>
      </c>
    </row>
    <row r="19" spans="2:2">
      <c r="B19" s="206" t="s">
        <v>612</v>
      </c>
    </row>
    <row r="20" spans="2:2">
      <c r="B20" s="185" t="s">
        <v>613</v>
      </c>
    </row>
    <row r="21" spans="2:2">
      <c r="B21" s="185" t="s">
        <v>614</v>
      </c>
    </row>
    <row r="22" spans="2:2">
      <c r="B22" s="185" t="s">
        <v>615</v>
      </c>
    </row>
    <row r="23" spans="2:2">
      <c r="B23" s="185"/>
    </row>
    <row r="24" spans="2:2">
      <c r="B24" s="20" t="s">
        <v>616</v>
      </c>
    </row>
    <row r="25" spans="2:2">
      <c r="B25" s="186" t="s">
        <v>617</v>
      </c>
    </row>
    <row r="27" spans="2:2" ht="17.5">
      <c r="B27" s="19" t="s">
        <v>618</v>
      </c>
    </row>
    <row r="28" spans="2:2">
      <c r="B28" s="206" t="s">
        <v>619</v>
      </c>
    </row>
    <row r="29" spans="2:2">
      <c r="B29" s="185" t="s">
        <v>613</v>
      </c>
    </row>
    <row r="30" spans="2:2">
      <c r="B30" s="185" t="s">
        <v>620</v>
      </c>
    </row>
    <row r="31" spans="2:2">
      <c r="B31" s="185"/>
    </row>
    <row r="32" spans="2:2">
      <c r="B32" s="20" t="s">
        <v>616</v>
      </c>
    </row>
    <row r="33" spans="2:2">
      <c r="B33" s="186" t="s">
        <v>621</v>
      </c>
    </row>
    <row r="54" spans="2:2">
      <c r="B54" s="16"/>
    </row>
  </sheetData>
  <sortState xmlns:xlrd2="http://schemas.microsoft.com/office/spreadsheetml/2017/richdata2" ref="M3:M13">
    <sortCondition ref="M3:M13"/>
  </sortState>
  <phoneticPr fontId="6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6E402-44F9-48C1-BE44-6A85FC41FF73}">
  <sheetPr codeName="Sheet4">
    <tabColor theme="8"/>
    <pageSetUpPr fitToPage="1"/>
  </sheetPr>
  <dimension ref="A1:AH46"/>
  <sheetViews>
    <sheetView zoomScaleNormal="100" workbookViewId="0">
      <pane xSplit="5" ySplit="1" topLeftCell="F2" activePane="bottomRight" state="frozen"/>
      <selection pane="topRight" activeCell="H1" sqref="H1:H1048576"/>
      <selection pane="bottomLeft" activeCell="H1" sqref="H1:H1048576"/>
      <selection pane="bottomRight" activeCell="F16" sqref="F16"/>
    </sheetView>
  </sheetViews>
  <sheetFormatPr defaultColWidth="8.08984375" defaultRowHeight="13" outlineLevelCol="2"/>
  <cols>
    <col min="1" max="1" width="12.08984375" style="3" bestFit="1" customWidth="1"/>
    <col min="2" max="2" width="14.90625" style="38" customWidth="1"/>
    <col min="3" max="3" width="15.36328125" style="38" customWidth="1" outlineLevel="1"/>
    <col min="4" max="4" width="10.36328125" style="3" bestFit="1" customWidth="1"/>
    <col min="5" max="5" width="15.90625" style="3" bestFit="1" customWidth="1"/>
    <col min="6" max="6" width="25.36328125" style="3" bestFit="1" customWidth="1"/>
    <col min="7" max="7" width="19.90625" style="38" customWidth="1"/>
    <col min="8" max="8" width="53.7265625" style="65" customWidth="1"/>
    <col min="9" max="9" width="11.36328125" style="2" bestFit="1" customWidth="1" outlineLevel="1"/>
    <col min="10" max="14" width="11.08984375" style="2" bestFit="1" customWidth="1" outlineLevel="2"/>
    <col min="15" max="17" width="11.08984375" style="2" bestFit="1" customWidth="1" outlineLevel="1"/>
    <col min="18" max="18" width="11.08984375" style="35" bestFit="1" customWidth="1"/>
    <col min="19" max="20" width="11.36328125" style="35" bestFit="1" customWidth="1"/>
    <col min="21" max="21" width="11.36328125" style="3" bestFit="1" customWidth="1"/>
    <col min="22" max="27" width="12.7265625" style="3" bestFit="1" customWidth="1"/>
    <col min="28" max="29" width="11.36328125" style="3" bestFit="1" customWidth="1"/>
    <col min="30" max="30" width="16.7265625" style="3" bestFit="1" customWidth="1"/>
    <col min="31" max="31" width="19.90625" style="3" bestFit="1" customWidth="1"/>
    <col min="32" max="33" width="8.08984375" style="3"/>
    <col min="34" max="34" width="17.36328125" style="3" bestFit="1" customWidth="1"/>
    <col min="35" max="16384" width="8.08984375" style="3"/>
  </cols>
  <sheetData>
    <row r="1" spans="1:34">
      <c r="B1" s="3"/>
      <c r="C1" s="3"/>
      <c r="E1" s="2" t="s">
        <v>54</v>
      </c>
      <c r="F1" s="38"/>
      <c r="G1" s="38" t="s">
        <v>622</v>
      </c>
      <c r="H1" s="38"/>
      <c r="I1" s="34"/>
      <c r="J1" s="2" t="s">
        <v>623</v>
      </c>
      <c r="K1" s="2" t="s">
        <v>623</v>
      </c>
      <c r="L1" s="2" t="s">
        <v>623</v>
      </c>
      <c r="M1" s="2" t="s">
        <v>623</v>
      </c>
      <c r="N1" s="2" t="s">
        <v>623</v>
      </c>
      <c r="O1" s="2" t="s">
        <v>623</v>
      </c>
      <c r="P1" s="2" t="s">
        <v>623</v>
      </c>
      <c r="Q1" s="2" t="s">
        <v>623</v>
      </c>
      <c r="R1" s="2" t="s">
        <v>623</v>
      </c>
      <c r="S1" s="2" t="s">
        <v>623</v>
      </c>
      <c r="T1" s="2" t="s">
        <v>623</v>
      </c>
      <c r="U1" s="2" t="s">
        <v>623</v>
      </c>
      <c r="V1" s="2" t="s">
        <v>623</v>
      </c>
      <c r="W1" s="2" t="s">
        <v>623</v>
      </c>
      <c r="X1" s="2" t="s">
        <v>623</v>
      </c>
      <c r="Y1" s="2" t="s">
        <v>623</v>
      </c>
      <c r="Z1" s="2" t="s">
        <v>623</v>
      </c>
      <c r="AA1" s="2" t="s">
        <v>623</v>
      </c>
      <c r="AB1" s="2" t="s">
        <v>623</v>
      </c>
      <c r="AC1" s="2" t="s">
        <v>623</v>
      </c>
      <c r="AD1" s="2"/>
    </row>
    <row r="2" spans="1:34">
      <c r="B2" s="3"/>
      <c r="C2" s="3"/>
      <c r="F2" s="38"/>
      <c r="G2" s="38" t="s">
        <v>27</v>
      </c>
      <c r="H2" s="49"/>
      <c r="I2" s="63"/>
      <c r="J2" s="195" cm="1">
        <f t="array" aca="1" ref="J2" ca="1">SUMPRODUCT((Nordics[Product Category]=$G2)*SUBTOTAL(109,OFFSET(INDEX(Nordics[26M04],1),ROW(Nordics[26M04])-MIN(ROW(Nordics[26M04])),0,1)))</f>
        <v>0</v>
      </c>
      <c r="K2" s="195" cm="1">
        <f t="array" aca="1" ref="K2" ca="1">SUMPRODUCT((Nordics[Product Category]=$G2)*SUBTOTAL(109,OFFSET(INDEX(Nordics[26M05],1),ROW(Nordics[26M05])-MIN(ROW(Nordics[26M05])),0,1)))</f>
        <v>0</v>
      </c>
      <c r="L2" s="195" cm="1">
        <f t="array" aca="1" ref="L2" ca="1">SUMPRODUCT((Nordics[Product Category]=$G2)*SUBTOTAL(109,OFFSET(INDEX(Nordics[26M06],1),ROW(Nordics[26M06])-MIN(ROW(Nordics[26M06])),0,1)))</f>
        <v>0</v>
      </c>
      <c r="M2" s="195" cm="1">
        <f t="array" aca="1" ref="M2" ca="1">SUMPRODUCT((Nordics[Product Category]=$G2)*SUBTOTAL(109,OFFSET(INDEX(Nordics[26M07],1),ROW(Nordics[26M07])-MIN(ROW(Nordics[26M07])),0,1)))</f>
        <v>0</v>
      </c>
      <c r="N2" s="195" cm="1">
        <f t="array" aca="1" ref="N2" ca="1">SUMPRODUCT((Nordics[Product Category]=$G2)*SUBTOTAL(109,OFFSET(INDEX(Nordics[26M08],1),ROW(Nordics[26M08])-MIN(ROW(Nordics[26M08])),0,1)))</f>
        <v>0</v>
      </c>
      <c r="O2" s="195" cm="1">
        <f t="array" aca="1" ref="O2" ca="1">SUMPRODUCT((Nordics[Product Category]=$G2)*SUBTOTAL(109,OFFSET(INDEX(Nordics[26M09],1),ROW(Nordics[26M09])-MIN(ROW(Nordics[26M09])),0,1)))</f>
        <v>2</v>
      </c>
      <c r="P2" s="195" cm="1">
        <f t="array" aca="1" ref="P2" ca="1">SUMPRODUCT((Nordics[Product Category]=$G2)*SUBTOTAL(109,OFFSET(INDEX(Nordics[26M10],1),ROW(Nordics[26M10])-MIN(ROW(Nordics[26M10])),0,1)))</f>
        <v>0</v>
      </c>
      <c r="Q2" s="195" cm="1">
        <f t="array" aca="1" ref="Q2" ca="1">SUMPRODUCT((Nordics[Product Category]=$G2)*SUBTOTAL(109,OFFSET(INDEX(Nordics[26M11],1),ROW(Nordics[26M11])-MIN(ROW(Nordics[26M11])),0,1)))</f>
        <v>0</v>
      </c>
      <c r="R2" s="195" cm="1">
        <f t="array" aca="1" ref="R2" ca="1">SUMPRODUCT((Nordics[Product Category]=$G2)*SUBTOTAL(109,OFFSET(INDEX(Nordics[26M12],1),ROW(Nordics[26M12])-MIN(ROW(Nordics[26M12])),0,1)))</f>
        <v>50</v>
      </c>
      <c r="S2" s="195" cm="1">
        <f t="array" aca="1" ref="S2" ca="1">SUMPRODUCT((Nordics[Product Category]=$G2)*SUBTOTAL(109,OFFSET(INDEX(Nordics[26Q2],1),ROW(Nordics[26Q2])-MIN(ROW(Nordics[26Q2])),0,1)))</f>
        <v>0</v>
      </c>
      <c r="T2" s="195" cm="1">
        <f t="array" aca="1" ref="T2" ca="1">SUMPRODUCT((Nordics[Product Category]=$G2)*SUBTOTAL(109,OFFSET(INDEX(Nordics[26Q3],1),ROW(Nordics[26Q3])-MIN(ROW(Nordics[26Q3])),0,1)))</f>
        <v>2</v>
      </c>
      <c r="U2" s="195" cm="1">
        <f t="array" aca="1" ref="U2" ca="1">SUMPRODUCT((Nordics[Product Category]=$G2)*SUBTOTAL(109,OFFSET(INDEX(Nordics[26Q4],1),ROW(Nordics[26Q4])-MIN(ROW(Nordics[26Q4])),0,1)))</f>
        <v>50</v>
      </c>
      <c r="V2" s="195" cm="1">
        <f t="array" aca="1" ref="V2" ca="1">SUMPRODUCT((Nordics[Product Category]=$G2)*SUBTOTAL(109,OFFSET(INDEX(Nordics[27M01],1),ROW(Nordics[27M01])-MIN(ROW(Nordics[27M01])),0,1)))</f>
        <v>0</v>
      </c>
      <c r="W2" s="195" cm="1">
        <f t="array" aca="1" ref="W2" ca="1">SUMPRODUCT((Nordics[Product Category]=$G2)*SUBTOTAL(109,OFFSET(INDEX(Nordics[27M02],1),ROW(Nordics[27M02])-MIN(ROW(Nordics[27M02])),0,1)))</f>
        <v>0</v>
      </c>
      <c r="X2" s="195" cm="1">
        <f t="array" aca="1" ref="X2" ca="1">SUMPRODUCT((Nordics[Product Category]=$G2)*SUBTOTAL(109,OFFSET(INDEX(Nordics[27M03],1),ROW(Nordics[27M03])-MIN(ROW(Nordics[27M03])),0,1)))</f>
        <v>0</v>
      </c>
      <c r="Y2" s="195" cm="1">
        <f t="array" aca="1" ref="Y2" ca="1">SUMPRODUCT((Nordics[Product Category]=$G2)*SUBTOTAL(109,OFFSET(INDEX(Nordics[27M04],1),ROW(Nordics[27M04])-MIN(ROW(Nordics[27M04])),0,1)))</f>
        <v>0</v>
      </c>
      <c r="Z2" s="195" cm="1">
        <f t="array" aca="1" ref="Z2" ca="1">SUMPRODUCT((Nordics[Product Category]=$G2)*SUBTOTAL(109,OFFSET(INDEX(Nordics[27M05],1),ROW(Nordics[27M05])-MIN(ROW(Nordics[27M05])),0,1)))</f>
        <v>0</v>
      </c>
      <c r="AA2" s="195" cm="1">
        <f t="array" aca="1" ref="AA2" ca="1">SUMPRODUCT((Nordics[Product Category]=$G2)*SUBTOTAL(109,OFFSET(INDEX(Nordics[27M06],1),ROW(Nordics[27M06])-MIN(ROW(Nordics[27M06])),0,1)))</f>
        <v>0</v>
      </c>
      <c r="AB2" s="195" cm="1">
        <f t="array" aca="1" ref="AB2" ca="1">SUMPRODUCT((Nordics[Product Category]=$G2)*SUBTOTAL(109,OFFSET(INDEX(Nordics[27Q1],1),ROW(Nordics[27Q1])-MIN(ROW(Nordics[27Q1])),0,1)))</f>
        <v>0</v>
      </c>
      <c r="AC2" s="195" cm="1">
        <f t="array" aca="1" ref="AC2" ca="1">SUMPRODUCT((Nordics[Product Category]=$G2)*SUBTOTAL(109,OFFSET(INDEX(Nordics[27Q2],1),ROW(Nordics[27Q2])-MIN(ROW(Nordics[27Q2])),0,1)))</f>
        <v>0</v>
      </c>
      <c r="AD2" s="255"/>
    </row>
    <row r="3" spans="1:34">
      <c r="B3" s="3"/>
      <c r="C3" s="3"/>
      <c r="F3" s="38"/>
      <c r="G3" s="38" t="s">
        <v>87</v>
      </c>
      <c r="H3" s="49"/>
      <c r="I3" s="63"/>
      <c r="J3" s="195" cm="1">
        <f t="array" aca="1" ref="J3" ca="1">SUMPRODUCT((Nordics[Product Category]=$G3)*SUBTOTAL(109,OFFSET(INDEX(Nordics[26M04],1),ROW(Nordics[26M04])-MIN(ROW(Nordics[26M04])),0,1)))</f>
        <v>0</v>
      </c>
      <c r="K3" s="195" cm="1">
        <f t="array" aca="1" ref="K3" ca="1">SUMPRODUCT((Nordics[Product Category]=$G3)*SUBTOTAL(109,OFFSET(INDEX(Nordics[26M05],1),ROW(Nordics[26M05])-MIN(ROW(Nordics[26M05])),0,1)))</f>
        <v>0</v>
      </c>
      <c r="L3" s="195" cm="1">
        <f t="array" aca="1" ref="L3" ca="1">SUMPRODUCT((Nordics[Product Category]=$G3)*SUBTOTAL(109,OFFSET(INDEX(Nordics[26M06],1),ROW(Nordics[26M06])-MIN(ROW(Nordics[26M06])),0,1)))</f>
        <v>0</v>
      </c>
      <c r="M3" s="195" cm="1">
        <f t="array" aca="1" ref="M3" ca="1">SUMPRODUCT((Nordics[Product Category]=$G3)*SUBTOTAL(109,OFFSET(INDEX(Nordics[26M07],1),ROW(Nordics[26M07])-MIN(ROW(Nordics[26M07])),0,1)))</f>
        <v>2</v>
      </c>
      <c r="N3" s="195" cm="1">
        <f t="array" aca="1" ref="N3" ca="1">SUMPRODUCT((Nordics[Product Category]=$G3)*SUBTOTAL(109,OFFSET(INDEX(Nordics[26M08],1),ROW(Nordics[26M08])-MIN(ROW(Nordics[26M08])),0,1)))</f>
        <v>0</v>
      </c>
      <c r="O3" s="195" cm="1">
        <f t="array" aca="1" ref="O3" ca="1">SUMPRODUCT((Nordics[Product Category]=$G3)*SUBTOTAL(109,OFFSET(INDEX(Nordics[26M09],1),ROW(Nordics[26M09])-MIN(ROW(Nordics[26M09])),0,1)))</f>
        <v>0</v>
      </c>
      <c r="P3" s="195" cm="1">
        <f t="array" aca="1" ref="P3" ca="1">SUMPRODUCT((Nordics[Product Category]=$G3)*SUBTOTAL(109,OFFSET(INDEX(Nordics[26M10],1),ROW(Nordics[26M10])-MIN(ROW(Nordics[26M10])),0,1)))</f>
        <v>0</v>
      </c>
      <c r="Q3" s="195" cm="1">
        <f t="array" aca="1" ref="Q3" ca="1">SUMPRODUCT((Nordics[Product Category]=$G3)*SUBTOTAL(109,OFFSET(INDEX(Nordics[26M11],1),ROW(Nordics[26M11])-MIN(ROW(Nordics[26M11])),0,1)))</f>
        <v>0</v>
      </c>
      <c r="R3" s="195" cm="1">
        <f t="array" aca="1" ref="R3" ca="1">SUMPRODUCT((Nordics[Product Category]=$G3)*SUBTOTAL(109,OFFSET(INDEX(Nordics[26M12],1),ROW(Nordics[26M12])-MIN(ROW(Nordics[26M12])),0,1)))</f>
        <v>0</v>
      </c>
      <c r="S3" s="195" cm="1">
        <f t="array" aca="1" ref="S3" ca="1">SUMPRODUCT((Nordics[Product Category]=$G3)*SUBTOTAL(109,OFFSET(INDEX(Nordics[26Q2],1),ROW(Nordics[26Q2])-MIN(ROW(Nordics[26Q2])),0,1)))</f>
        <v>0</v>
      </c>
      <c r="T3" s="195" cm="1">
        <f t="array" aca="1" ref="T3" ca="1">SUMPRODUCT((Nordics[Product Category]=$G3)*SUBTOTAL(109,OFFSET(INDEX(Nordics[26Q3],1),ROW(Nordics[26Q3])-MIN(ROW(Nordics[26Q3])),0,1)))</f>
        <v>2</v>
      </c>
      <c r="U3" s="195" cm="1">
        <f t="array" aca="1" ref="U3" ca="1">SUMPRODUCT((Nordics[Product Category]=$G3)*SUBTOTAL(109,OFFSET(INDEX(Nordics[26Q4],1),ROW(Nordics[26Q4])-MIN(ROW(Nordics[26Q4])),0,1)))</f>
        <v>0</v>
      </c>
      <c r="V3" s="195" cm="1">
        <f t="array" aca="1" ref="V3" ca="1">SUMPRODUCT((Nordics[Product Category]=$G3)*SUBTOTAL(109,OFFSET(INDEX(Nordics[27M01],1),ROW(Nordics[27M01])-MIN(ROW(Nordics[27M01])),0,1)))</f>
        <v>0</v>
      </c>
      <c r="W3" s="195" cm="1">
        <f t="array" aca="1" ref="W3" ca="1">SUMPRODUCT((Nordics[Product Category]=$G3)*SUBTOTAL(109,OFFSET(INDEX(Nordics[27M02],1),ROW(Nordics[27M02])-MIN(ROW(Nordics[27M02])),0,1)))</f>
        <v>0</v>
      </c>
      <c r="X3" s="195" cm="1">
        <f t="array" aca="1" ref="X3" ca="1">SUMPRODUCT((Nordics[Product Category]=$G3)*SUBTOTAL(109,OFFSET(INDEX(Nordics[27M03],1),ROW(Nordics[27M03])-MIN(ROW(Nordics[27M03])),0,1)))</f>
        <v>0</v>
      </c>
      <c r="Y3" s="195" cm="1">
        <f t="array" aca="1" ref="Y3" ca="1">SUMPRODUCT((Nordics[Product Category]=$G3)*SUBTOTAL(109,OFFSET(INDEX(Nordics[27M04],1),ROW(Nordics[27M04])-MIN(ROW(Nordics[27M04])),0,1)))</f>
        <v>0</v>
      </c>
      <c r="Z3" s="195" cm="1">
        <f t="array" aca="1" ref="Z3" ca="1">SUMPRODUCT((Nordics[Product Category]=$G3)*SUBTOTAL(109,OFFSET(INDEX(Nordics[27M05],1),ROW(Nordics[27M05])-MIN(ROW(Nordics[27M05])),0,1)))</f>
        <v>0</v>
      </c>
      <c r="AA3" s="195" cm="1">
        <f t="array" aca="1" ref="AA3" ca="1">SUMPRODUCT((Nordics[Product Category]=$G3)*SUBTOTAL(109,OFFSET(INDEX(Nordics[27M06],1),ROW(Nordics[27M06])-MIN(ROW(Nordics[27M06])),0,1)))</f>
        <v>0</v>
      </c>
      <c r="AB3" s="195" cm="1">
        <f t="array" aca="1" ref="AB3" ca="1">SUMPRODUCT((Nordics[Product Category]=$G3)*SUBTOTAL(109,OFFSET(INDEX(Nordics[27Q1],1),ROW(Nordics[27Q1])-MIN(ROW(Nordics[27Q1])),0,1)))</f>
        <v>0</v>
      </c>
      <c r="AC3" s="195" cm="1">
        <f t="array" aca="1" ref="AC3" ca="1">SUMPRODUCT((Nordics[Product Category]=$G3)*SUBTOTAL(109,OFFSET(INDEX(Nordics[27Q2],1),ROW(Nordics[27Q2])-MIN(ROW(Nordics[27Q2])),0,1)))</f>
        <v>0</v>
      </c>
      <c r="AD3" s="255"/>
    </row>
    <row r="4" spans="1:34">
      <c r="B4" s="3"/>
      <c r="C4" s="3"/>
      <c r="G4" s="38" t="s">
        <v>70</v>
      </c>
      <c r="H4" s="49"/>
      <c r="I4" s="64"/>
      <c r="J4" s="195" cm="1">
        <f t="array" aca="1" ref="J4" ca="1">SUMPRODUCT((Nordics[Product Category]=$G4)*SUBTOTAL(109,OFFSET(INDEX(Nordics[26M04],1),ROW(Nordics[26M04])-MIN(ROW(Nordics[26M04])),0,1)))</f>
        <v>6.4</v>
      </c>
      <c r="K4" s="195" cm="1">
        <f t="array" aca="1" ref="K4" ca="1">SUMPRODUCT((Nordics[Product Category]=$G4)*SUBTOTAL(109,OFFSET(INDEX(Nordics[26M05],1),ROW(Nordics[26M05])-MIN(ROW(Nordics[26M05])),0,1)))</f>
        <v>6</v>
      </c>
      <c r="L4" s="195" cm="1">
        <f t="array" aca="1" ref="L4" ca="1">SUMPRODUCT((Nordics[Product Category]=$G4)*SUBTOTAL(109,OFFSET(INDEX(Nordics[26M06],1),ROW(Nordics[26M06])-MIN(ROW(Nordics[26M06])),0,1)))</f>
        <v>8.4</v>
      </c>
      <c r="M4" s="195" cm="1">
        <f t="array" aca="1" ref="M4" ca="1">SUMPRODUCT((Nordics[Product Category]=$G4)*SUBTOTAL(109,OFFSET(INDEX(Nordics[26M07],1),ROW(Nordics[26M07])-MIN(ROW(Nordics[26M07])),0,1)))</f>
        <v>6.3000000000000007</v>
      </c>
      <c r="N4" s="195" cm="1">
        <f t="array" aca="1" ref="N4" ca="1">SUMPRODUCT((Nordics[Product Category]=$G4)*SUBTOTAL(109,OFFSET(INDEX(Nordics[26M08],1),ROW(Nordics[26M08])-MIN(ROW(Nordics[26M08])),0,1)))</f>
        <v>7.5</v>
      </c>
      <c r="O4" s="195" cm="1">
        <f t="array" aca="1" ref="O4" ca="1">SUMPRODUCT((Nordics[Product Category]=$G4)*SUBTOTAL(109,OFFSET(INDEX(Nordics[26M09],1),ROW(Nordics[26M09])-MIN(ROW(Nordics[26M09])),0,1)))</f>
        <v>58.3</v>
      </c>
      <c r="P4" s="195" cm="1">
        <f t="array" aca="1" ref="P4" ca="1">SUMPRODUCT((Nordics[Product Category]=$G4)*SUBTOTAL(109,OFFSET(INDEX(Nordics[26M10],1),ROW(Nordics[26M10])-MIN(ROW(Nordics[26M10])),0,1)))</f>
        <v>20.6</v>
      </c>
      <c r="Q4" s="195" cm="1">
        <f t="array" aca="1" ref="Q4" ca="1">SUMPRODUCT((Nordics[Product Category]=$G4)*SUBTOTAL(109,OFFSET(INDEX(Nordics[26M11],1),ROW(Nordics[26M11])-MIN(ROW(Nordics[26M11])),0,1)))</f>
        <v>16</v>
      </c>
      <c r="R4" s="195" cm="1">
        <f t="array" aca="1" ref="R4" ca="1">SUMPRODUCT((Nordics[Product Category]=$G4)*SUBTOTAL(109,OFFSET(INDEX(Nordics[26M12],1),ROW(Nordics[26M12])-MIN(ROW(Nordics[26M12])),0,1)))</f>
        <v>4</v>
      </c>
      <c r="S4" s="195" cm="1">
        <f t="array" aca="1" ref="S4" ca="1">SUMPRODUCT((Nordics[Product Category]=$G4)*SUBTOTAL(109,OFFSET(INDEX(Nordics[26Q2],1),ROW(Nordics[26Q2])-MIN(ROW(Nordics[26Q2])),0,1)))</f>
        <v>16.949999999999996</v>
      </c>
      <c r="T4" s="195" cm="1">
        <f t="array" aca="1" ref="T4" ca="1">SUMPRODUCT((Nordics[Product Category]=$G4)*SUBTOTAL(109,OFFSET(INDEX(Nordics[26Q3],1),ROW(Nordics[26Q3])-MIN(ROW(Nordics[26Q3])),0,1)))</f>
        <v>72.100000000000009</v>
      </c>
      <c r="U4" s="195" cm="1">
        <f t="array" aca="1" ref="U4" ca="1">SUMPRODUCT((Nordics[Product Category]=$G4)*SUBTOTAL(109,OFFSET(INDEX(Nordics[26Q4],1),ROW(Nordics[26Q4])-MIN(ROW(Nordics[26Q4])),0,1)))</f>
        <v>40.6</v>
      </c>
      <c r="V4" s="195" cm="1">
        <f t="array" aca="1" ref="V4" ca="1">SUMPRODUCT((Nordics[Product Category]=$G4)*SUBTOTAL(109,OFFSET(INDEX(Nordics[27M01],1),ROW(Nordics[27M01])-MIN(ROW(Nordics[27M01])),0,1)))</f>
        <v>0</v>
      </c>
      <c r="W4" s="195" cm="1">
        <f t="array" aca="1" ref="W4" ca="1">SUMPRODUCT((Nordics[Product Category]=$G4)*SUBTOTAL(109,OFFSET(INDEX(Nordics[27M02],1),ROW(Nordics[27M02])-MIN(ROW(Nordics[27M02])),0,1)))</f>
        <v>0</v>
      </c>
      <c r="X4" s="195" cm="1">
        <f t="array" aca="1" ref="X4" ca="1">SUMPRODUCT((Nordics[Product Category]=$G4)*SUBTOTAL(109,OFFSET(INDEX(Nordics[27M03],1),ROW(Nordics[27M03])-MIN(ROW(Nordics[27M03])),0,1)))</f>
        <v>0</v>
      </c>
      <c r="Y4" s="195" cm="1">
        <f t="array" aca="1" ref="Y4" ca="1">SUMPRODUCT((Nordics[Product Category]=$G4)*SUBTOTAL(109,OFFSET(INDEX(Nordics[27M04],1),ROW(Nordics[27M04])-MIN(ROW(Nordics[27M04])),0,1)))</f>
        <v>0</v>
      </c>
      <c r="Z4" s="195" cm="1">
        <f t="array" aca="1" ref="Z4" ca="1">SUMPRODUCT((Nordics[Product Category]=$G4)*SUBTOTAL(109,OFFSET(INDEX(Nordics[27M05],1),ROW(Nordics[27M05])-MIN(ROW(Nordics[27M05])),0,1)))</f>
        <v>0</v>
      </c>
      <c r="AA4" s="195" cm="1">
        <f t="array" aca="1" ref="AA4" ca="1">SUMPRODUCT((Nordics[Product Category]=$G4)*SUBTOTAL(109,OFFSET(INDEX(Nordics[27M06],1),ROW(Nordics[27M06])-MIN(ROW(Nordics[27M06])),0,1)))</f>
        <v>0</v>
      </c>
      <c r="AB4" s="195" cm="1">
        <f t="array" aca="1" ref="AB4" ca="1">SUMPRODUCT((Nordics[Product Category]=$G4)*SUBTOTAL(109,OFFSET(INDEX(Nordics[27Q1],1),ROW(Nordics[27Q1])-MIN(ROW(Nordics[27Q1])),0,1)))</f>
        <v>0</v>
      </c>
      <c r="AC4" s="195" cm="1">
        <f t="array" aca="1" ref="AC4" ca="1">SUMPRODUCT((Nordics[Product Category]=$G4)*SUBTOTAL(109,OFFSET(INDEX(Nordics[27Q2],1),ROW(Nordics[27Q2])-MIN(ROW(Nordics[27Q2])),0,1)))</f>
        <v>0</v>
      </c>
      <c r="AD4" s="255"/>
    </row>
    <row r="5" spans="1:34" ht="14">
      <c r="A5" s="10" t="s">
        <v>45</v>
      </c>
      <c r="B5" s="10" t="s">
        <v>1</v>
      </c>
      <c r="C5" s="10" t="s">
        <v>92</v>
      </c>
      <c r="D5" s="10" t="s">
        <v>624</v>
      </c>
      <c r="E5" s="10" t="s">
        <v>3</v>
      </c>
      <c r="F5" s="10" t="s">
        <v>28</v>
      </c>
      <c r="G5" s="10" t="s">
        <v>5</v>
      </c>
      <c r="H5" s="10" t="s">
        <v>93</v>
      </c>
      <c r="I5" s="271" t="s">
        <v>94</v>
      </c>
      <c r="J5" s="272" t="s">
        <v>95</v>
      </c>
      <c r="K5" s="272" t="s">
        <v>96</v>
      </c>
      <c r="L5" s="272" t="s">
        <v>97</v>
      </c>
      <c r="M5" s="272" t="s">
        <v>98</v>
      </c>
      <c r="N5" s="272" t="s">
        <v>99</v>
      </c>
      <c r="O5" s="272" t="s">
        <v>625</v>
      </c>
      <c r="P5" s="272" t="s">
        <v>34</v>
      </c>
      <c r="Q5" s="272" t="s">
        <v>101</v>
      </c>
      <c r="R5" s="272" t="s">
        <v>36</v>
      </c>
      <c r="S5" s="193" t="s">
        <v>626</v>
      </c>
      <c r="T5" s="193" t="s">
        <v>627</v>
      </c>
      <c r="U5" s="107" t="s">
        <v>628</v>
      </c>
      <c r="V5" s="107" t="s">
        <v>629</v>
      </c>
      <c r="W5" s="107" t="s">
        <v>103</v>
      </c>
      <c r="X5" s="107" t="s">
        <v>104</v>
      </c>
      <c r="Y5" s="107" t="s">
        <v>105</v>
      </c>
      <c r="Z5" s="107" t="s">
        <v>106</v>
      </c>
      <c r="AA5" s="107" t="s">
        <v>107</v>
      </c>
      <c r="AB5" s="107" t="s">
        <v>630</v>
      </c>
      <c r="AC5" s="107" t="s">
        <v>631</v>
      </c>
      <c r="AD5" s="107" t="s">
        <v>632</v>
      </c>
      <c r="AE5" s="78" t="s">
        <v>26</v>
      </c>
      <c r="AF5" s="36"/>
      <c r="AG5" s="36"/>
      <c r="AH5" s="36"/>
    </row>
    <row r="6" spans="1:34" ht="14.5">
      <c r="A6" s="14" t="s">
        <v>49</v>
      </c>
      <c r="B6" s="1" t="s">
        <v>402</v>
      </c>
      <c r="C6" s="38" t="s">
        <v>403</v>
      </c>
      <c r="D6" s="2" t="str">
        <f>VLOOKUP(Nordics[[#This Row],[Product Line]],Prod_T6[],5,0)</f>
        <v>TCL</v>
      </c>
      <c r="E6" s="2" t="s">
        <v>54</v>
      </c>
      <c r="F6" s="2" t="s">
        <v>170</v>
      </c>
      <c r="G6" s="1" t="s">
        <v>154</v>
      </c>
      <c r="H6" s="1" t="s">
        <v>404</v>
      </c>
      <c r="I6" s="194" t="s">
        <v>405</v>
      </c>
      <c r="J6" s="13"/>
      <c r="K6" s="67"/>
      <c r="L6" s="13"/>
      <c r="M6" s="13"/>
      <c r="N6" s="13"/>
      <c r="O6" s="13"/>
      <c r="P6" s="67">
        <v>7</v>
      </c>
      <c r="Q6" s="67">
        <v>6</v>
      </c>
      <c r="R6" s="13"/>
      <c r="S6" s="32"/>
      <c r="T6" s="69">
        <f>SUM(Nordics[[#This Row],[26M07]:[26M09]])</f>
        <v>0</v>
      </c>
      <c r="U6" s="69">
        <f>SUM(Nordics[[#This Row],[26M10]:[26M12]])</f>
        <v>13</v>
      </c>
      <c r="V6" s="256"/>
      <c r="W6" s="256"/>
      <c r="X6" s="256"/>
      <c r="Y6" s="256"/>
      <c r="Z6" s="256"/>
      <c r="AA6" s="256"/>
      <c r="AB6" s="256">
        <f>SUM(Nordics[[#This Row],[27M01]:[27M03]])</f>
        <v>0</v>
      </c>
      <c r="AC6" s="256">
        <f>SUM(Nordics[[#This Row],[27M04]:[27M06]])</f>
        <v>0</v>
      </c>
      <c r="AD6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6" s="85" t="str">
        <f>VLOOKUP(Nordics[[#This Row],[Product Line]],Prod_T6[],4,0)</f>
        <v>PV</v>
      </c>
      <c r="AF6" s="2"/>
      <c r="AG6" s="2"/>
      <c r="AH6" s="2" t="str" cm="1">
        <f t="array" ref="AH6:AH45">Nordics[Stage]</f>
        <v>4 - BAFO</v>
      </c>
    </row>
    <row r="7" spans="1:34" ht="14.5">
      <c r="A7" s="14" t="s">
        <v>49</v>
      </c>
      <c r="B7" s="1" t="s">
        <v>430</v>
      </c>
      <c r="C7" s="38" t="s">
        <v>403</v>
      </c>
      <c r="D7" s="2" t="str">
        <f>VLOOKUP(Nordics[[#This Row],[Product Line]],Prod_T6[],5,0)</f>
        <v>Sunpower</v>
      </c>
      <c r="E7" s="2" t="s">
        <v>276</v>
      </c>
      <c r="F7" s="2" t="s">
        <v>366</v>
      </c>
      <c r="G7" s="1" t="s">
        <v>130</v>
      </c>
      <c r="H7" s="1" t="s">
        <v>431</v>
      </c>
      <c r="I7" s="42" t="s">
        <v>117</v>
      </c>
      <c r="J7" s="13"/>
      <c r="K7" s="13">
        <v>0.2</v>
      </c>
      <c r="L7" s="13"/>
      <c r="M7" s="13"/>
      <c r="N7" s="13"/>
      <c r="O7" s="13"/>
      <c r="P7" s="13"/>
      <c r="Q7" s="13"/>
      <c r="R7" s="13"/>
      <c r="S7" s="32">
        <f>SUM(Nordics[[#This Row],[26M04]:[26M06]])</f>
        <v>0.2</v>
      </c>
      <c r="T7" s="69">
        <f>SUM(Nordics[[#This Row],[26M07]:[26M09]])</f>
        <v>0</v>
      </c>
      <c r="U7" s="69">
        <f>SUM(Nordics[[#This Row],[26M10]:[26M12]])</f>
        <v>0</v>
      </c>
      <c r="V7" s="256"/>
      <c r="W7" s="256"/>
      <c r="X7" s="256"/>
      <c r="Y7" s="256"/>
      <c r="Z7" s="256"/>
      <c r="AA7" s="256"/>
      <c r="AB7" s="256">
        <f>SUM(Nordics[[#This Row],[27M01]:[27M03]])</f>
        <v>0</v>
      </c>
      <c r="AC7" s="256">
        <f>SUM(Nordics[[#This Row],[27M04]:[27M06]])</f>
        <v>0</v>
      </c>
      <c r="AD7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7" s="85" t="str">
        <f>VLOOKUP(Nordics[[#This Row],[Product Line]],Prod_T6[],4,0)</f>
        <v>PV</v>
      </c>
      <c r="AF7" s="2"/>
      <c r="AG7" s="2"/>
      <c r="AH7" s="2" t="str">
        <v>7 - Booked</v>
      </c>
    </row>
    <row r="8" spans="1:34" ht="14.5">
      <c r="A8" s="14" t="s">
        <v>49</v>
      </c>
      <c r="B8" s="1" t="s">
        <v>633</v>
      </c>
      <c r="C8" s="38" t="s">
        <v>403</v>
      </c>
      <c r="D8" s="2" t="str">
        <f>VLOOKUP(Nordics[[#This Row],[Product Line]],Prod_T6[],5,0)</f>
        <v>Sunpower</v>
      </c>
      <c r="E8" s="2" t="s">
        <v>118</v>
      </c>
      <c r="F8" s="2" t="s">
        <v>123</v>
      </c>
      <c r="G8" s="1" t="s">
        <v>634</v>
      </c>
      <c r="H8" s="1" t="s">
        <v>635</v>
      </c>
      <c r="I8" s="42" t="s">
        <v>636</v>
      </c>
      <c r="J8" s="114"/>
      <c r="K8" s="114"/>
      <c r="L8" s="114"/>
      <c r="M8" s="13"/>
      <c r="N8" s="13"/>
      <c r="O8" s="13"/>
      <c r="P8" s="13"/>
      <c r="Q8" s="13"/>
      <c r="R8" s="13"/>
      <c r="S8" s="32">
        <f>SUM(Nordics[[#This Row],[26M04]:[26M06]])</f>
        <v>0</v>
      </c>
      <c r="T8" s="69">
        <f>SUM(Nordics[[#This Row],[26M07]:[26M09]])</f>
        <v>0</v>
      </c>
      <c r="U8" s="69">
        <f>SUM(Nordics[[#This Row],[26M10]:[26M12]])</f>
        <v>0</v>
      </c>
      <c r="V8" s="256"/>
      <c r="W8" s="256"/>
      <c r="X8" s="256"/>
      <c r="Y8" s="256"/>
      <c r="Z8" s="256"/>
      <c r="AA8" s="256"/>
      <c r="AB8" s="256">
        <f>SUM(Nordics[[#This Row],[27M01]:[27M03]])</f>
        <v>0</v>
      </c>
      <c r="AC8" s="256">
        <f>SUM(Nordics[[#This Row],[27M04]:[27M06]])</f>
        <v>0</v>
      </c>
      <c r="AD8" s="256" t="str">
        <f>IF(SUM(Nordics[[#This Row],[26Q2]:[26Q4]])+SUM(Nordics[[#This Row],[27Q1]:[27Q2]])=0,"No FSCT",IF(AND(SUM(Nordics[[#This Row],[26Q2]:[26Q4]])&gt;0,SUM(Nordics[[#This Row],[27Q1]:[27Q2]])=0),"YES","NO"))</f>
        <v>No FSCT</v>
      </c>
      <c r="AE8" s="85" t="str">
        <f>VLOOKUP(Nordics[[#This Row],[Product Line]],Prod_T6[],4,0)</f>
        <v>PV</v>
      </c>
      <c r="AF8" s="2"/>
      <c r="AG8" s="2"/>
      <c r="AH8" s="2" t="str">
        <v>0  - Lost</v>
      </c>
    </row>
    <row r="9" spans="1:34" ht="14.5">
      <c r="A9" s="14" t="s">
        <v>49</v>
      </c>
      <c r="B9" s="1" t="s">
        <v>432</v>
      </c>
      <c r="C9" s="38" t="s">
        <v>403</v>
      </c>
      <c r="D9" s="2" t="str">
        <f>VLOOKUP(Nordics[[#This Row],[Product Line]],Prod_T6[],5,0)</f>
        <v>TCL</v>
      </c>
      <c r="E9" s="2" t="s">
        <v>149</v>
      </c>
      <c r="F9" s="2" t="s">
        <v>433</v>
      </c>
      <c r="G9" s="1" t="s">
        <v>213</v>
      </c>
      <c r="H9" s="1" t="s">
        <v>434</v>
      </c>
      <c r="I9" s="194" t="s">
        <v>132</v>
      </c>
      <c r="J9" s="13"/>
      <c r="K9" s="13"/>
      <c r="L9" s="13"/>
      <c r="M9" s="13"/>
      <c r="N9" s="13"/>
      <c r="O9" s="67">
        <v>2</v>
      </c>
      <c r="P9" s="13"/>
      <c r="Q9" s="13"/>
      <c r="R9" s="13"/>
      <c r="S9" s="32">
        <f>SUM(Nordics[[#This Row],[26M04]:[26M06]])</f>
        <v>0</v>
      </c>
      <c r="T9" s="69">
        <f>SUM(Nordics[[#This Row],[26M07]:[26M09]])</f>
        <v>2</v>
      </c>
      <c r="U9" s="69">
        <f>SUM(Nordics[[#This Row],[26M10]:[26M12]])</f>
        <v>0</v>
      </c>
      <c r="V9" s="256"/>
      <c r="W9" s="256"/>
      <c r="X9" s="256"/>
      <c r="Y9" s="256"/>
      <c r="Z9" s="256"/>
      <c r="AA9" s="256"/>
      <c r="AB9" s="256">
        <f>SUM(Nordics[[#This Row],[27M01]:[27M03]])</f>
        <v>0</v>
      </c>
      <c r="AC9" s="256">
        <f>SUM(Nordics[[#This Row],[27M04]:[27M06]])</f>
        <v>0</v>
      </c>
      <c r="AD9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9" s="85" t="str">
        <f>VLOOKUP(Nordics[[#This Row],[Product Line]],Prod_T6[],4,0)</f>
        <v>PV</v>
      </c>
      <c r="AF9" s="2"/>
      <c r="AG9" s="2"/>
      <c r="AH9" s="2" t="str">
        <v>1 - Lead qualification</v>
      </c>
    </row>
    <row r="10" spans="1:34" ht="14.5">
      <c r="A10" s="29" t="s">
        <v>49</v>
      </c>
      <c r="B10" s="1" t="s">
        <v>402</v>
      </c>
      <c r="C10" s="38" t="s">
        <v>403</v>
      </c>
      <c r="D10" s="2" t="str">
        <f>VLOOKUP(Nordics[[#This Row],[Product Line]],Prod_T6[],5,0)</f>
        <v>TCL</v>
      </c>
      <c r="E10" s="2" t="s">
        <v>54</v>
      </c>
      <c r="F10" s="2" t="s">
        <v>170</v>
      </c>
      <c r="G10" s="1" t="s">
        <v>154</v>
      </c>
      <c r="H10" s="1" t="s">
        <v>435</v>
      </c>
      <c r="I10" s="194" t="s">
        <v>132</v>
      </c>
      <c r="J10" s="13">
        <v>2</v>
      </c>
      <c r="K10" s="13"/>
      <c r="L10" s="13"/>
      <c r="M10" s="13"/>
      <c r="N10" s="13"/>
      <c r="O10" s="13"/>
      <c r="P10" s="13"/>
      <c r="Q10" s="13"/>
      <c r="R10" s="13"/>
      <c r="S10" s="32">
        <f>SUM(Nordics[[#This Row],[26M04]:[26M06]])</f>
        <v>2</v>
      </c>
      <c r="T10" s="69">
        <f>SUM(Nordics[[#This Row],[26M07]:[26M09]])</f>
        <v>0</v>
      </c>
      <c r="U10" s="69">
        <f>SUM(Nordics[[#This Row],[26M10]:[26M12]])</f>
        <v>0</v>
      </c>
      <c r="V10" s="256"/>
      <c r="W10" s="256"/>
      <c r="X10" s="256"/>
      <c r="Y10" s="256"/>
      <c r="Z10" s="256"/>
      <c r="AA10" s="256"/>
      <c r="AB10" s="256">
        <f>SUM(Nordics[[#This Row],[27M01]:[27M03]])</f>
        <v>0</v>
      </c>
      <c r="AC10" s="256">
        <f>SUM(Nordics[[#This Row],[27M04]:[27M06]])</f>
        <v>0</v>
      </c>
      <c r="AD10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10" s="85" t="str">
        <f>VLOOKUP(Nordics[[#This Row],[Product Line]],Prod_T6[],4,0)</f>
        <v>PV</v>
      </c>
      <c r="AF10" s="2"/>
      <c r="AG10" s="2"/>
      <c r="AH10" s="2" t="str">
        <v>4 - BAFO</v>
      </c>
    </row>
    <row r="11" spans="1:34" ht="14.5">
      <c r="A11" s="29" t="s">
        <v>49</v>
      </c>
      <c r="B11" s="1" t="s">
        <v>436</v>
      </c>
      <c r="D11" s="2" t="str">
        <f>VLOOKUP(Nordics[[#This Row],[Product Line]],Prod_T6[],5,0)</f>
        <v>TCL</v>
      </c>
      <c r="E11" s="2" t="s">
        <v>54</v>
      </c>
      <c r="F11" s="2" t="s">
        <v>159</v>
      </c>
      <c r="G11" s="1" t="s">
        <v>156</v>
      </c>
      <c r="H11" s="1"/>
      <c r="I11" s="194" t="s">
        <v>132</v>
      </c>
      <c r="J11" s="13">
        <v>2.4</v>
      </c>
      <c r="K11" s="13"/>
      <c r="L11" s="13"/>
      <c r="M11" s="13"/>
      <c r="N11" s="13"/>
      <c r="O11" s="13"/>
      <c r="P11" s="13"/>
      <c r="Q11" s="13"/>
      <c r="R11" s="13"/>
      <c r="S11" s="32">
        <f>SUM(Nordics[[#This Row],[26M04]:[26M06]])</f>
        <v>2.4</v>
      </c>
      <c r="T11" s="69">
        <f>SUM(Nordics[[#This Row],[26M07]:[26M09]])</f>
        <v>0</v>
      </c>
      <c r="U11" s="69">
        <f>SUM(Nordics[[#This Row],[26M10]:[26M12]])</f>
        <v>0</v>
      </c>
      <c r="V11" s="256"/>
      <c r="W11" s="256"/>
      <c r="X11" s="256"/>
      <c r="Y11" s="256"/>
      <c r="Z11" s="256"/>
      <c r="AA11" s="256"/>
      <c r="AB11" s="256">
        <f>SUM(Nordics[[#This Row],[27M01]:[27M03]])</f>
        <v>0</v>
      </c>
      <c r="AC11" s="256">
        <f>SUM(Nordics[[#This Row],[27M04]:[27M06]])</f>
        <v>0</v>
      </c>
      <c r="AD11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11" s="85" t="str">
        <f>VLOOKUP(Nordics[[#This Row],[Product Line]],Prod_T6[],4,0)</f>
        <v>PV</v>
      </c>
      <c r="AF11" s="2"/>
      <c r="AG11" s="2"/>
      <c r="AH11" s="2" t="str">
        <v>6 - Won</v>
      </c>
    </row>
    <row r="12" spans="1:34" ht="14.5">
      <c r="A12" s="29" t="s">
        <v>49</v>
      </c>
      <c r="B12" s="1" t="s">
        <v>436</v>
      </c>
      <c r="D12" s="2" t="str">
        <f>VLOOKUP(Nordics[[#This Row],[Product Line]],Prod_T6[],5,0)</f>
        <v>TCL</v>
      </c>
      <c r="E12" s="2" t="s">
        <v>54</v>
      </c>
      <c r="F12" s="2" t="s">
        <v>160</v>
      </c>
      <c r="G12" s="1" t="s">
        <v>156</v>
      </c>
      <c r="H12" s="1"/>
      <c r="I12" s="194" t="s">
        <v>132</v>
      </c>
      <c r="J12" s="13">
        <v>2</v>
      </c>
      <c r="K12" s="13"/>
      <c r="L12" s="13"/>
      <c r="M12" s="13"/>
      <c r="N12" s="13"/>
      <c r="O12" s="13"/>
      <c r="P12" s="13"/>
      <c r="Q12" s="13"/>
      <c r="R12" s="13"/>
      <c r="S12" s="32"/>
      <c r="T12" s="69">
        <f>SUM(Nordics[[#This Row],[26M07]:[26M09]])</f>
        <v>0</v>
      </c>
      <c r="U12" s="69">
        <f>SUM(Nordics[[#This Row],[26M10]:[26M12]])</f>
        <v>0</v>
      </c>
      <c r="V12" s="256"/>
      <c r="W12" s="256"/>
      <c r="X12" s="256"/>
      <c r="Y12" s="256"/>
      <c r="Z12" s="256"/>
      <c r="AA12" s="256"/>
      <c r="AB12" s="256">
        <f>SUM(Nordics[[#This Row],[27M01]:[27M03]])</f>
        <v>0</v>
      </c>
      <c r="AC12" s="256">
        <f>SUM(Nordics[[#This Row],[27M04]:[27M06]])</f>
        <v>0</v>
      </c>
      <c r="AD12" s="256" t="str">
        <f>IF(SUM(Nordics[[#This Row],[26Q2]:[26Q4]])+SUM(Nordics[[#This Row],[27Q1]:[27Q2]])=0,"No FSCT",IF(AND(SUM(Nordics[[#This Row],[26Q2]:[26Q4]])&gt;0,SUM(Nordics[[#This Row],[27Q1]:[27Q2]])=0),"YES","NO"))</f>
        <v>No FSCT</v>
      </c>
      <c r="AE12" s="85" t="str">
        <f>VLOOKUP(Nordics[[#This Row],[Product Line]],Prod_T6[],4,0)</f>
        <v>PV</v>
      </c>
      <c r="AF12" s="2"/>
      <c r="AG12" s="2"/>
      <c r="AH12" s="2" t="str">
        <v>6 - Won</v>
      </c>
    </row>
    <row r="13" spans="1:34" ht="14.5">
      <c r="A13" s="29" t="s">
        <v>49</v>
      </c>
      <c r="B13" s="1" t="s">
        <v>406</v>
      </c>
      <c r="D13" s="2" t="str">
        <f>VLOOKUP(Nordics[[#This Row],[Product Line]],Prod_T6[],5,0)</f>
        <v>TCL</v>
      </c>
      <c r="E13" s="2" t="s">
        <v>54</v>
      </c>
      <c r="F13" s="2" t="s">
        <v>159</v>
      </c>
      <c r="G13" s="1" t="s">
        <v>136</v>
      </c>
      <c r="H13" s="1" t="s">
        <v>437</v>
      </c>
      <c r="I13" s="42" t="s">
        <v>117</v>
      </c>
      <c r="J13" s="13"/>
      <c r="K13" s="13">
        <v>2</v>
      </c>
      <c r="L13" s="13">
        <v>2</v>
      </c>
      <c r="M13" s="13"/>
      <c r="N13" s="13">
        <v>1</v>
      </c>
      <c r="O13" s="13">
        <v>1</v>
      </c>
      <c r="P13" s="13"/>
      <c r="Q13" s="13"/>
      <c r="R13" s="13"/>
      <c r="S13" s="32">
        <f>SUM(Nordics[[#This Row],[26M04]:[26M06]])</f>
        <v>4</v>
      </c>
      <c r="T13" s="69">
        <f>SUM(Nordics[[#This Row],[26M07]:[26M09]])</f>
        <v>2</v>
      </c>
      <c r="U13" s="69">
        <f>SUM(Nordics[[#This Row],[26M10]:[26M12]])</f>
        <v>0</v>
      </c>
      <c r="V13" s="256"/>
      <c r="W13" s="256"/>
      <c r="X13" s="256"/>
      <c r="Y13" s="256"/>
      <c r="Z13" s="256"/>
      <c r="AA13" s="256"/>
      <c r="AB13" s="256">
        <f>SUM(Nordics[[#This Row],[27M01]:[27M03]])</f>
        <v>0</v>
      </c>
      <c r="AC13" s="256">
        <f>SUM(Nordics[[#This Row],[27M04]:[27M06]])</f>
        <v>0</v>
      </c>
      <c r="AD13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13" s="85" t="str">
        <f>VLOOKUP(Nordics[[#This Row],[Product Line]],Prod_T6[],4,0)</f>
        <v>PV</v>
      </c>
      <c r="AF13" s="2"/>
      <c r="AG13" s="2"/>
      <c r="AH13" s="3" t="str">
        <v>3 - Negotiation</v>
      </c>
    </row>
    <row r="14" spans="1:34" ht="14.5">
      <c r="A14" s="29" t="s">
        <v>49</v>
      </c>
      <c r="B14" s="1" t="s">
        <v>406</v>
      </c>
      <c r="D14" s="2" t="str">
        <f>VLOOKUP(Nordics[[#This Row],[Product Line]],Prod_T6[],5,0)</f>
        <v>TCL</v>
      </c>
      <c r="E14" s="2" t="s">
        <v>54</v>
      </c>
      <c r="F14" s="2" t="s">
        <v>160</v>
      </c>
      <c r="G14" s="1" t="s">
        <v>130</v>
      </c>
      <c r="H14" s="1" t="s">
        <v>437</v>
      </c>
      <c r="I14" s="42" t="s">
        <v>117</v>
      </c>
      <c r="J14" s="13"/>
      <c r="K14" s="13"/>
      <c r="L14" s="13"/>
      <c r="M14" s="13"/>
      <c r="N14" s="13">
        <v>1</v>
      </c>
      <c r="O14" s="13"/>
      <c r="P14" s="13"/>
      <c r="Q14" s="13"/>
      <c r="R14" s="13"/>
      <c r="S14" s="32">
        <f>SUM(Nordics[[#This Row],[26M04]:[26M06]])</f>
        <v>0</v>
      </c>
      <c r="T14" s="69">
        <f>SUM(Nordics[[#This Row],[26M07]:[26M09]])</f>
        <v>1</v>
      </c>
      <c r="U14" s="69">
        <f>SUM(Nordics[[#This Row],[26M10]:[26M12]])</f>
        <v>0</v>
      </c>
      <c r="V14" s="256"/>
      <c r="W14" s="256"/>
      <c r="X14" s="256"/>
      <c r="Y14" s="256"/>
      <c r="Z14" s="256"/>
      <c r="AA14" s="256"/>
      <c r="AB14" s="256">
        <f>SUM(Nordics[[#This Row],[27M01]:[27M03]])</f>
        <v>0</v>
      </c>
      <c r="AC14" s="256">
        <f>SUM(Nordics[[#This Row],[27M04]:[27M06]])</f>
        <v>0</v>
      </c>
      <c r="AD14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14" s="85" t="str">
        <f>VLOOKUP(Nordics[[#This Row],[Product Line]],Prod_T6[],4,0)</f>
        <v>PV</v>
      </c>
      <c r="AH14" s="3" t="str">
        <v>7 - Booked</v>
      </c>
    </row>
    <row r="15" spans="1:34" ht="14.5">
      <c r="A15" s="29" t="s">
        <v>49</v>
      </c>
      <c r="B15" s="1" t="s">
        <v>406</v>
      </c>
      <c r="D15" s="2" t="str">
        <f>VLOOKUP(Nordics[[#This Row],[Product Line]],Prod_T6[],5,0)</f>
        <v>TCL</v>
      </c>
      <c r="E15" s="2" t="s">
        <v>54</v>
      </c>
      <c r="F15" s="2" t="s">
        <v>170</v>
      </c>
      <c r="G15" s="1" t="s">
        <v>136</v>
      </c>
      <c r="H15" s="1" t="s">
        <v>437</v>
      </c>
      <c r="I15" s="42" t="s">
        <v>117</v>
      </c>
      <c r="J15" s="13"/>
      <c r="K15" s="13">
        <v>0.8</v>
      </c>
      <c r="L15" s="13"/>
      <c r="M15" s="13">
        <v>0.8</v>
      </c>
      <c r="N15" s="13"/>
      <c r="O15" s="13"/>
      <c r="P15" s="13"/>
      <c r="Q15" s="13"/>
      <c r="R15" s="13"/>
      <c r="S15" s="32">
        <f>SUM(Nordics[[#This Row],[26M04]:[26M06]])</f>
        <v>0.8</v>
      </c>
      <c r="T15" s="69">
        <f>SUM(Nordics[[#This Row],[26M07]:[26M09]])</f>
        <v>0.8</v>
      </c>
      <c r="U15" s="69">
        <f>SUM(Nordics[[#This Row],[26M10]:[26M12]])</f>
        <v>0</v>
      </c>
      <c r="V15" s="256"/>
      <c r="W15" s="256"/>
      <c r="X15" s="256"/>
      <c r="Y15" s="256"/>
      <c r="Z15" s="256"/>
      <c r="AA15" s="256"/>
      <c r="AB15" s="256">
        <f>SUM(Nordics[[#This Row],[27M01]:[27M03]])</f>
        <v>0</v>
      </c>
      <c r="AC15" s="256">
        <f>SUM(Nordics[[#This Row],[27M04]:[27M06]])</f>
        <v>0</v>
      </c>
      <c r="AD15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15" s="85" t="str">
        <f>VLOOKUP(Nordics[[#This Row],[Product Line]],Prod_T6[],4,0)</f>
        <v>PV</v>
      </c>
      <c r="AH15" s="2" t="str">
        <v>3 - Negotiation</v>
      </c>
    </row>
    <row r="16" spans="1:34" ht="14.5">
      <c r="A16" s="29" t="s">
        <v>49</v>
      </c>
      <c r="B16" s="1" t="s">
        <v>402</v>
      </c>
      <c r="D16" s="2" t="str">
        <f>VLOOKUP(Nordics[[#This Row],[Product Line]],Prod_T6[],5,0)</f>
        <v>TCL</v>
      </c>
      <c r="E16" s="2" t="s">
        <v>54</v>
      </c>
      <c r="F16" s="2" t="s">
        <v>159</v>
      </c>
      <c r="G16" s="1" t="s">
        <v>213</v>
      </c>
      <c r="H16" s="1" t="s">
        <v>437</v>
      </c>
      <c r="I16" s="194" t="s">
        <v>132</v>
      </c>
      <c r="J16" s="13"/>
      <c r="K16" s="13"/>
      <c r="L16" s="13">
        <v>2</v>
      </c>
      <c r="M16" s="13">
        <v>2</v>
      </c>
      <c r="N16" s="13">
        <v>2</v>
      </c>
      <c r="O16" s="13">
        <v>2</v>
      </c>
      <c r="P16" s="13"/>
      <c r="Q16" s="13"/>
      <c r="R16" s="13"/>
      <c r="S16" s="32"/>
      <c r="T16" s="69">
        <f>SUM(Nordics[[#This Row],[26M07]:[26M09]])</f>
        <v>6</v>
      </c>
      <c r="U16" s="69">
        <f>SUM(Nordics[[#This Row],[26M10]:[26M12]])</f>
        <v>0</v>
      </c>
      <c r="V16" s="256"/>
      <c r="W16" s="256"/>
      <c r="X16" s="256"/>
      <c r="Y16" s="256"/>
      <c r="Z16" s="256"/>
      <c r="AA16" s="256"/>
      <c r="AB16" s="256">
        <f>SUM(Nordics[[#This Row],[27M01]:[27M03]])</f>
        <v>0</v>
      </c>
      <c r="AC16" s="256">
        <f>SUM(Nordics[[#This Row],[27M04]:[27M06]])</f>
        <v>0</v>
      </c>
      <c r="AD16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16" s="85" t="str">
        <f>VLOOKUP(Nordics[[#This Row],[Product Line]],Prod_T6[],4,0)</f>
        <v>PV</v>
      </c>
      <c r="AF16" s="2"/>
      <c r="AG16" s="2"/>
      <c r="AH16" s="2" t="str">
        <v>1 - Lead qualification</v>
      </c>
    </row>
    <row r="17" spans="1:34" ht="14.5">
      <c r="A17" s="29" t="s">
        <v>49</v>
      </c>
      <c r="B17" s="1" t="s">
        <v>402</v>
      </c>
      <c r="D17" s="2" t="str">
        <f>VLOOKUP(Nordics[[#This Row],[Product Line]],Prod_T6[],5,0)</f>
        <v>Sunpower</v>
      </c>
      <c r="E17" s="2" t="s">
        <v>118</v>
      </c>
      <c r="F17" s="2" t="s">
        <v>145</v>
      </c>
      <c r="G17" s="1" t="s">
        <v>213</v>
      </c>
      <c r="H17" s="1" t="s">
        <v>439</v>
      </c>
      <c r="I17" s="42" t="s">
        <v>132</v>
      </c>
      <c r="J17" s="13"/>
      <c r="K17" s="13"/>
      <c r="L17" s="13">
        <v>1</v>
      </c>
      <c r="M17" s="13">
        <v>1</v>
      </c>
      <c r="N17" s="13">
        <v>1</v>
      </c>
      <c r="O17" s="13"/>
      <c r="P17" s="13"/>
      <c r="Q17" s="13"/>
      <c r="R17" s="13"/>
      <c r="S17" s="32">
        <f>SUM(Nordics[[#This Row],[26M04]:[26M06]])</f>
        <v>1</v>
      </c>
      <c r="T17" s="69">
        <f>SUM(Nordics[[#This Row],[26M07]:[26M09]])</f>
        <v>2</v>
      </c>
      <c r="U17" s="69">
        <f>SUM(Nordics[[#This Row],[26M10]:[26M12]])</f>
        <v>0</v>
      </c>
      <c r="V17" s="256"/>
      <c r="W17" s="256"/>
      <c r="X17" s="256"/>
      <c r="Y17" s="256"/>
      <c r="Z17" s="256"/>
      <c r="AA17" s="256"/>
      <c r="AB17" s="256">
        <f>SUM(Nordics[[#This Row],[27M01]:[27M03]])</f>
        <v>0</v>
      </c>
      <c r="AC17" s="256">
        <f>SUM(Nordics[[#This Row],[27M04]:[27M06]])</f>
        <v>0</v>
      </c>
      <c r="AD17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17" s="85" t="str">
        <f>VLOOKUP(Nordics[[#This Row],[Product Line]],Prod_T6[],4,0)</f>
        <v>PV</v>
      </c>
      <c r="AF17" s="2"/>
      <c r="AG17" s="2"/>
      <c r="AH17" s="2" t="str">
        <v>1 - Lead qualification</v>
      </c>
    </row>
    <row r="18" spans="1:34" ht="14.5">
      <c r="A18" s="29" t="s">
        <v>49</v>
      </c>
      <c r="B18" s="1" t="s">
        <v>406</v>
      </c>
      <c r="D18" s="2" t="str">
        <f>VLOOKUP(Nordics[[#This Row],[Product Line]],Prod_T6[],5,0)</f>
        <v>TCL</v>
      </c>
      <c r="E18" s="2" t="s">
        <v>54</v>
      </c>
      <c r="F18" s="2" t="s">
        <v>166</v>
      </c>
      <c r="G18" s="1" t="s">
        <v>213</v>
      </c>
      <c r="H18" s="1" t="s">
        <v>440</v>
      </c>
      <c r="I18" s="42" t="s">
        <v>117</v>
      </c>
      <c r="J18" s="13"/>
      <c r="K18" s="13"/>
      <c r="L18" s="13"/>
      <c r="M18" s="13">
        <v>0.5</v>
      </c>
      <c r="N18" s="13">
        <v>0.5</v>
      </c>
      <c r="O18" s="13">
        <v>0.5</v>
      </c>
      <c r="P18" s="13"/>
      <c r="Q18" s="13"/>
      <c r="R18" s="13"/>
      <c r="S18" s="32">
        <f>SUM(Nordics[[#This Row],[26M04]:[26M06]])</f>
        <v>0</v>
      </c>
      <c r="T18" s="69">
        <f>SUM(Nordics[[#This Row],[26M07]:[26M09]])</f>
        <v>1.5</v>
      </c>
      <c r="U18" s="69">
        <f>SUM(Nordics[[#This Row],[26M10]:[26M12]])</f>
        <v>0</v>
      </c>
      <c r="V18" s="256"/>
      <c r="W18" s="256"/>
      <c r="X18" s="256"/>
      <c r="Y18" s="256"/>
      <c r="Z18" s="256"/>
      <c r="AA18" s="256"/>
      <c r="AB18" s="256">
        <f>SUM(Nordics[[#This Row],[27M01]:[27M03]])</f>
        <v>0</v>
      </c>
      <c r="AC18" s="256">
        <f>SUM(Nordics[[#This Row],[27M04]:[27M06]])</f>
        <v>0</v>
      </c>
      <c r="AD18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18" s="85" t="str">
        <f>VLOOKUP(Nordics[[#This Row],[Product Line]],Prod_T6[],4,0)</f>
        <v>PV</v>
      </c>
      <c r="AF18" s="2"/>
      <c r="AG18" s="2"/>
      <c r="AH18" s="2" t="str">
        <v>1 - Lead qualification</v>
      </c>
    </row>
    <row r="19" spans="1:34" ht="14.5">
      <c r="A19" s="29" t="s">
        <v>49</v>
      </c>
      <c r="B19" s="1" t="s">
        <v>406</v>
      </c>
      <c r="D19" s="2" t="str">
        <f>VLOOKUP(Nordics[[#This Row],[Product Line]],Prod_T6[],5,0)</f>
        <v>Sunpower</v>
      </c>
      <c r="E19" s="2" t="s">
        <v>118</v>
      </c>
      <c r="F19" s="2" t="s">
        <v>119</v>
      </c>
      <c r="G19" s="1" t="s">
        <v>213</v>
      </c>
      <c r="H19" s="1" t="s">
        <v>441</v>
      </c>
      <c r="I19" s="42" t="s">
        <v>117</v>
      </c>
      <c r="J19" s="13"/>
      <c r="K19" s="13"/>
      <c r="L19" s="13"/>
      <c r="M19" s="13">
        <v>1</v>
      </c>
      <c r="N19" s="13"/>
      <c r="O19" s="13">
        <v>1</v>
      </c>
      <c r="P19" s="13"/>
      <c r="Q19" s="13"/>
      <c r="R19" s="13"/>
      <c r="S19" s="32">
        <f>SUM(Nordics[[#This Row],[26M04]:[26M06]])</f>
        <v>0</v>
      </c>
      <c r="T19" s="69">
        <f>SUM(Nordics[[#This Row],[26M07]:[26M09]])</f>
        <v>2</v>
      </c>
      <c r="U19" s="69">
        <f>SUM(Nordics[[#This Row],[26M10]:[26M12]])</f>
        <v>0</v>
      </c>
      <c r="V19" s="256"/>
      <c r="W19" s="256"/>
      <c r="X19" s="256"/>
      <c r="Y19" s="256"/>
      <c r="Z19" s="256"/>
      <c r="AA19" s="256"/>
      <c r="AB19" s="256">
        <f>SUM(Nordics[[#This Row],[27M01]:[27M03]])</f>
        <v>0</v>
      </c>
      <c r="AC19" s="256">
        <f>SUM(Nordics[[#This Row],[27M04]:[27M06]])</f>
        <v>0</v>
      </c>
      <c r="AD19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19" s="85" t="str">
        <f>VLOOKUP(Nordics[[#This Row],[Product Line]],Prod_T6[],4,0)</f>
        <v>PV</v>
      </c>
      <c r="AF19" s="2"/>
      <c r="AG19" s="2"/>
      <c r="AH19" s="2" t="str">
        <v>1 - Lead qualification</v>
      </c>
    </row>
    <row r="20" spans="1:34" ht="14.5">
      <c r="A20" s="29" t="s">
        <v>49</v>
      </c>
      <c r="B20" s="1" t="s">
        <v>402</v>
      </c>
      <c r="D20" s="2" t="str">
        <f>VLOOKUP(Nordics[[#This Row],[Product Line]],Prod_T6[],5,0)</f>
        <v>TCL</v>
      </c>
      <c r="E20" s="2" t="s">
        <v>54</v>
      </c>
      <c r="F20" s="2" t="s">
        <v>299</v>
      </c>
      <c r="G20" s="1" t="s">
        <v>634</v>
      </c>
      <c r="H20" s="1" t="s">
        <v>637</v>
      </c>
      <c r="I20" s="194" t="s">
        <v>132</v>
      </c>
      <c r="J20" s="13"/>
      <c r="K20" s="13"/>
      <c r="L20" s="13"/>
      <c r="M20" s="13"/>
      <c r="N20" s="13"/>
      <c r="O20" s="13">
        <v>34</v>
      </c>
      <c r="P20" s="13"/>
      <c r="Q20" s="13"/>
      <c r="R20" s="13"/>
      <c r="S20" s="32">
        <f>SUM(Nordics[[#This Row],[26M04]:[26M06]])</f>
        <v>0</v>
      </c>
      <c r="T20" s="69">
        <f>SUM(Nordics[[#This Row],[26M07]:[26M09]])</f>
        <v>34</v>
      </c>
      <c r="U20" s="69">
        <f>SUM(Nordics[[#This Row],[26M10]:[26M12]])</f>
        <v>0</v>
      </c>
      <c r="V20" s="256"/>
      <c r="W20" s="256"/>
      <c r="X20" s="256"/>
      <c r="Y20" s="256"/>
      <c r="Z20" s="256"/>
      <c r="AA20" s="256"/>
      <c r="AB20" s="256">
        <f>SUM(Nordics[[#This Row],[27M01]:[27M03]])</f>
        <v>0</v>
      </c>
      <c r="AC20" s="256">
        <f>SUM(Nordics[[#This Row],[27M04]:[27M06]])</f>
        <v>0</v>
      </c>
      <c r="AD20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20" s="85" t="str">
        <f>VLOOKUP(Nordics[[#This Row],[Product Line]],Prod_T6[],4,0)</f>
        <v>PV</v>
      </c>
      <c r="AF20" s="2"/>
      <c r="AG20" s="2"/>
      <c r="AH20" s="2" t="str">
        <v>0  - Lost</v>
      </c>
    </row>
    <row r="21" spans="1:34" ht="14.5">
      <c r="A21" s="29" t="s">
        <v>49</v>
      </c>
      <c r="B21" s="1" t="s">
        <v>402</v>
      </c>
      <c r="D21" s="2" t="str">
        <f>VLOOKUP(Nordics[[#This Row],[Product Line]],Prod_T6[],5,0)</f>
        <v>TCL</v>
      </c>
      <c r="E21" s="2" t="s">
        <v>314</v>
      </c>
      <c r="F21" s="2" t="s">
        <v>442</v>
      </c>
      <c r="G21" s="1" t="s">
        <v>115</v>
      </c>
      <c r="H21" s="1" t="s">
        <v>443</v>
      </c>
      <c r="I21" s="194" t="s">
        <v>132</v>
      </c>
      <c r="J21" s="13"/>
      <c r="K21" s="13">
        <v>3</v>
      </c>
      <c r="L21" s="13">
        <v>3</v>
      </c>
      <c r="M21" s="13"/>
      <c r="N21" s="13"/>
      <c r="O21" s="13"/>
      <c r="P21" s="13"/>
      <c r="Q21" s="13"/>
      <c r="R21" s="13"/>
      <c r="S21" s="32">
        <f>SUM(Nordics[[#This Row],[26M04]:[26M06]])</f>
        <v>6</v>
      </c>
      <c r="T21" s="69">
        <f>SUM(Nordics[[#This Row],[26M07]:[26M09]])</f>
        <v>0</v>
      </c>
      <c r="U21" s="69">
        <f>SUM(Nordics[[#This Row],[26M10]:[26M12]])</f>
        <v>0</v>
      </c>
      <c r="V21" s="256"/>
      <c r="W21" s="256"/>
      <c r="X21" s="256"/>
      <c r="Y21" s="256"/>
      <c r="Z21" s="256"/>
      <c r="AA21" s="256"/>
      <c r="AB21" s="256">
        <f>SUM(Nordics[[#This Row],[27M01]:[27M03]])</f>
        <v>0</v>
      </c>
      <c r="AC21" s="256">
        <f>SUM(Nordics[[#This Row],[27M04]:[27M06]])</f>
        <v>0</v>
      </c>
      <c r="AD21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21" s="85" t="str">
        <f>VLOOKUP(Nordics[[#This Row],[Product Line]],Prod_T6[],4,0)</f>
        <v>PV</v>
      </c>
      <c r="AF21" s="2"/>
      <c r="AG21" s="2"/>
      <c r="AH21" s="2" t="str">
        <v>2 - Initial offer</v>
      </c>
    </row>
    <row r="22" spans="1:34" ht="14.5">
      <c r="A22" s="29" t="s">
        <v>49</v>
      </c>
      <c r="B22" s="1" t="s">
        <v>406</v>
      </c>
      <c r="D22" s="2" t="str">
        <f>VLOOKUP(Nordics[[#This Row],[Product Line]],Prod_T6[],5,0)</f>
        <v>TCL</v>
      </c>
      <c r="E22" s="2" t="s">
        <v>149</v>
      </c>
      <c r="F22" s="2" t="s">
        <v>289</v>
      </c>
      <c r="G22" s="1" t="s">
        <v>213</v>
      </c>
      <c r="H22" s="1" t="s">
        <v>444</v>
      </c>
      <c r="I22" s="42" t="s">
        <v>117</v>
      </c>
      <c r="J22" s="13"/>
      <c r="K22" s="13"/>
      <c r="L22" s="13"/>
      <c r="M22" s="13"/>
      <c r="N22" s="13">
        <v>1</v>
      </c>
      <c r="O22" s="13">
        <v>1</v>
      </c>
      <c r="P22" s="13">
        <v>1</v>
      </c>
      <c r="Q22" s="13">
        <v>1</v>
      </c>
      <c r="R22" s="13"/>
      <c r="S22" s="32">
        <f>SUM(Nordics[[#This Row],[26M04]:[26M06]])</f>
        <v>0</v>
      </c>
      <c r="T22" s="69">
        <f>SUM(Nordics[[#This Row],[26M07]:[26M09]])</f>
        <v>2</v>
      </c>
      <c r="U22" s="69">
        <f>SUM(Nordics[[#This Row],[26M10]:[26M12]])</f>
        <v>2</v>
      </c>
      <c r="V22" s="256"/>
      <c r="W22" s="256"/>
      <c r="X22" s="256"/>
      <c r="Y22" s="256"/>
      <c r="Z22" s="256"/>
      <c r="AA22" s="256"/>
      <c r="AB22" s="256">
        <f>SUM(Nordics[[#This Row],[27M01]:[27M03]])</f>
        <v>0</v>
      </c>
      <c r="AC22" s="256">
        <f>SUM(Nordics[[#This Row],[27M04]:[27M06]])</f>
        <v>0</v>
      </c>
      <c r="AD22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22" s="85" t="str">
        <f>VLOOKUP(Nordics[[#This Row],[Product Line]],Prod_T6[],4,0)</f>
        <v>PV</v>
      </c>
      <c r="AF22" s="2"/>
      <c r="AG22" s="2"/>
      <c r="AH22" s="2" t="str">
        <v>1 - Lead qualification</v>
      </c>
    </row>
    <row r="23" spans="1:34" ht="14.5">
      <c r="A23" s="29" t="s">
        <v>49</v>
      </c>
      <c r="B23" s="1" t="s">
        <v>402</v>
      </c>
      <c r="D23" s="2" t="str">
        <f>VLOOKUP(Nordics[[#This Row],[Product Line]],Prod_T6[],5,0)</f>
        <v>TCL</v>
      </c>
      <c r="E23" s="2" t="s">
        <v>149</v>
      </c>
      <c r="F23" s="2" t="s">
        <v>289</v>
      </c>
      <c r="G23" s="1" t="s">
        <v>213</v>
      </c>
      <c r="H23" s="1" t="s">
        <v>444</v>
      </c>
      <c r="I23" s="43" t="s">
        <v>162</v>
      </c>
      <c r="J23" s="13"/>
      <c r="K23" s="13"/>
      <c r="L23" s="13"/>
      <c r="M23" s="13"/>
      <c r="N23" s="13">
        <v>1</v>
      </c>
      <c r="O23" s="13">
        <v>1</v>
      </c>
      <c r="P23" s="13">
        <v>1</v>
      </c>
      <c r="Q23" s="13">
        <v>1</v>
      </c>
      <c r="R23" s="13"/>
      <c r="S23" s="32">
        <f>SUM(Nordics[[#This Row],[26M04]:[26M06]])</f>
        <v>0</v>
      </c>
      <c r="T23" s="69">
        <f>SUM(Nordics[[#This Row],[26M07]:[26M09]])</f>
        <v>2</v>
      </c>
      <c r="U23" s="69">
        <f>SUM(Nordics[[#This Row],[26M10]:[26M12]])</f>
        <v>2</v>
      </c>
      <c r="V23" s="256"/>
      <c r="W23" s="256"/>
      <c r="X23" s="256"/>
      <c r="Y23" s="256"/>
      <c r="Z23" s="256"/>
      <c r="AA23" s="256"/>
      <c r="AB23" s="256">
        <f>SUM(Nordics[[#This Row],[27M01]:[27M03]])</f>
        <v>0</v>
      </c>
      <c r="AC23" s="256">
        <f>SUM(Nordics[[#This Row],[27M04]:[27M06]])</f>
        <v>0</v>
      </c>
      <c r="AD23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23" s="85" t="str">
        <f>VLOOKUP(Nordics[[#This Row],[Product Line]],Prod_T6[],4,0)</f>
        <v>PV</v>
      </c>
      <c r="AF23" s="2"/>
      <c r="AG23" s="2"/>
      <c r="AH23" s="2" t="str">
        <v>1 - Lead qualification</v>
      </c>
    </row>
    <row r="24" spans="1:34" ht="14.5">
      <c r="A24" s="29" t="s">
        <v>49</v>
      </c>
      <c r="B24" s="1" t="s">
        <v>406</v>
      </c>
      <c r="D24" s="2" t="str">
        <f>VLOOKUP(Nordics[[#This Row],[Product Line]],Prod_T6[],5,0)</f>
        <v>TCL</v>
      </c>
      <c r="E24" s="2" t="s">
        <v>54</v>
      </c>
      <c r="F24" s="2" t="s">
        <v>170</v>
      </c>
      <c r="G24" s="1" t="s">
        <v>156</v>
      </c>
      <c r="H24" s="1"/>
      <c r="I24" s="42" t="s">
        <v>117</v>
      </c>
      <c r="J24" s="13"/>
      <c r="K24" s="13"/>
      <c r="L24" s="13">
        <v>0.4</v>
      </c>
      <c r="M24" s="13"/>
      <c r="N24" s="13"/>
      <c r="O24" s="13"/>
      <c r="P24" s="13"/>
      <c r="Q24" s="13"/>
      <c r="R24" s="13"/>
      <c r="S24" s="32">
        <f>SUM(Nordics[[#This Row],[26M04]:[26M06]])</f>
        <v>0.4</v>
      </c>
      <c r="T24" s="69">
        <f>SUM(Nordics[[#This Row],[26M07]:[26M09]])</f>
        <v>0</v>
      </c>
      <c r="U24" s="69">
        <f>SUM(Nordics[[#This Row],[26M10]:[26M12]])</f>
        <v>0</v>
      </c>
      <c r="V24" s="256"/>
      <c r="W24" s="256"/>
      <c r="X24" s="256"/>
      <c r="Y24" s="256"/>
      <c r="Z24" s="256"/>
      <c r="AA24" s="256"/>
      <c r="AB24" s="256">
        <f>SUM(Nordics[[#This Row],[27M01]:[27M03]])</f>
        <v>0</v>
      </c>
      <c r="AC24" s="256">
        <f>SUM(Nordics[[#This Row],[27M04]:[27M06]])</f>
        <v>0</v>
      </c>
      <c r="AD24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24" s="85" t="str">
        <f>VLOOKUP(Nordics[[#This Row],[Product Line]],Prod_T6[],4,0)</f>
        <v>PV</v>
      </c>
      <c r="AF24" s="2"/>
      <c r="AG24" s="2"/>
      <c r="AH24" s="2" t="str">
        <v>6 - Won</v>
      </c>
    </row>
    <row r="25" spans="1:34" ht="14.5">
      <c r="A25" s="29" t="s">
        <v>49</v>
      </c>
      <c r="B25" s="1" t="s">
        <v>402</v>
      </c>
      <c r="D25" s="2" t="str">
        <f>VLOOKUP(Nordics[[#This Row],[Product Line]],Prod_T6[],5,0)</f>
        <v>TCL</v>
      </c>
      <c r="E25" s="2" t="s">
        <v>54</v>
      </c>
      <c r="F25" s="2" t="s">
        <v>166</v>
      </c>
      <c r="G25" s="1" t="s">
        <v>136</v>
      </c>
      <c r="H25" s="1" t="s">
        <v>429</v>
      </c>
      <c r="I25" s="43" t="s">
        <v>132</v>
      </c>
      <c r="J25" s="13"/>
      <c r="K25" s="13"/>
      <c r="L25" s="13"/>
      <c r="M25" s="13"/>
      <c r="N25" s="13"/>
      <c r="O25" s="13">
        <v>5</v>
      </c>
      <c r="P25" s="13"/>
      <c r="Q25" s="13"/>
      <c r="R25" s="13"/>
      <c r="S25" s="32">
        <f>SUM(Nordics[[#This Row],[26M04]:[26M06]])</f>
        <v>0</v>
      </c>
      <c r="T25" s="69">
        <f>SUM(Nordics[[#This Row],[26M07]:[26M09]])</f>
        <v>5</v>
      </c>
      <c r="U25" s="69">
        <f>SUM(Nordics[[#This Row],[26M10]:[26M12]])</f>
        <v>0</v>
      </c>
      <c r="V25" s="256"/>
      <c r="W25" s="256"/>
      <c r="X25" s="256"/>
      <c r="Y25" s="256"/>
      <c r="Z25" s="256"/>
      <c r="AA25" s="256"/>
      <c r="AB25" s="256">
        <f>SUM(Nordics[[#This Row],[27M01]:[27M03]])</f>
        <v>0</v>
      </c>
      <c r="AC25" s="256">
        <f>SUM(Nordics[[#This Row],[27M04]:[27M06]])</f>
        <v>0</v>
      </c>
      <c r="AD25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25" s="85" t="str">
        <f>VLOOKUP(Nordics[[#This Row],[Product Line]],Prod_T6[],4,0)</f>
        <v>PV</v>
      </c>
      <c r="AF25" s="2"/>
      <c r="AG25" s="2"/>
      <c r="AH25" s="2" t="str">
        <v>3 - Negotiation</v>
      </c>
    </row>
    <row r="26" spans="1:34" ht="14.5">
      <c r="A26" s="29" t="s">
        <v>49</v>
      </c>
      <c r="B26" s="1" t="s">
        <v>428</v>
      </c>
      <c r="D26" s="2" t="str">
        <f>VLOOKUP(Nordics[[#This Row],[Product Line]],Prod_T6[],5,0)</f>
        <v>TCL</v>
      </c>
      <c r="E26" s="2" t="s">
        <v>54</v>
      </c>
      <c r="F26" s="2" t="s">
        <v>297</v>
      </c>
      <c r="G26" s="1" t="s">
        <v>136</v>
      </c>
      <c r="H26" s="1" t="s">
        <v>429</v>
      </c>
      <c r="I26" s="43" t="s">
        <v>132</v>
      </c>
      <c r="J26" s="13"/>
      <c r="K26" s="13"/>
      <c r="L26" s="13"/>
      <c r="M26" s="13"/>
      <c r="N26" s="13"/>
      <c r="O26" s="13">
        <v>10</v>
      </c>
      <c r="P26" s="13"/>
      <c r="Q26" s="13"/>
      <c r="R26" s="13"/>
      <c r="S26" s="32">
        <f>SUM(Nordics[[#This Row],[26M04]:[26M06]])</f>
        <v>0</v>
      </c>
      <c r="T26" s="69">
        <f>SUM(Nordics[[#This Row],[26M07]:[26M09]])</f>
        <v>10</v>
      </c>
      <c r="U26" s="69">
        <f>SUM(Nordics[[#This Row],[26M10]:[26M12]])</f>
        <v>0</v>
      </c>
      <c r="V26" s="256"/>
      <c r="W26" s="256"/>
      <c r="X26" s="256"/>
      <c r="Y26" s="256"/>
      <c r="Z26" s="256"/>
      <c r="AA26" s="256"/>
      <c r="AB26" s="256">
        <f>SUM(Nordics[[#This Row],[27M01]:[27M03]])</f>
        <v>0</v>
      </c>
      <c r="AC26" s="256">
        <f>SUM(Nordics[[#This Row],[27M04]:[27M06]])</f>
        <v>0</v>
      </c>
      <c r="AD26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26" s="85" t="str">
        <f>VLOOKUP(Nordics[[#This Row],[Product Line]],Prod_T6[],4,0)</f>
        <v>PV</v>
      </c>
      <c r="AF26" s="2"/>
      <c r="AG26" s="2"/>
      <c r="AH26" s="2" t="str">
        <v>3 - Negotiation</v>
      </c>
    </row>
    <row r="27" spans="1:34" ht="14.5">
      <c r="A27" s="29" t="s">
        <v>49</v>
      </c>
      <c r="B27" s="1" t="s">
        <v>402</v>
      </c>
      <c r="D27" s="2" t="str">
        <f>VLOOKUP(Nordics[[#This Row],[Product Line]],Prod_T6[],5,0)</f>
        <v>TCL</v>
      </c>
      <c r="E27" s="2" t="s">
        <v>113</v>
      </c>
      <c r="F27" s="2" t="s">
        <v>153</v>
      </c>
      <c r="G27" s="1" t="s">
        <v>154</v>
      </c>
      <c r="H27" s="1" t="s">
        <v>427</v>
      </c>
      <c r="I27" s="43" t="s">
        <v>132</v>
      </c>
      <c r="J27" s="13"/>
      <c r="K27" s="13"/>
      <c r="L27" s="13"/>
      <c r="M27" s="13"/>
      <c r="N27" s="13"/>
      <c r="O27" s="13"/>
      <c r="P27" s="13">
        <v>2</v>
      </c>
      <c r="Q27" s="13">
        <v>2</v>
      </c>
      <c r="R27" s="13"/>
      <c r="S27" s="32">
        <f>SUM(Nordics[[#This Row],[26M04]:[26M06]])</f>
        <v>0</v>
      </c>
      <c r="T27" s="69">
        <f>SUM(Nordics[[#This Row],[26M07]:[26M09]])</f>
        <v>0</v>
      </c>
      <c r="U27" s="69">
        <f>SUM(Nordics[[#This Row],[26M10]:[26M12]])</f>
        <v>4</v>
      </c>
      <c r="V27" s="256"/>
      <c r="W27" s="256"/>
      <c r="X27" s="256"/>
      <c r="Y27" s="256"/>
      <c r="Z27" s="256"/>
      <c r="AA27" s="256"/>
      <c r="AB27" s="256">
        <f>SUM(Nordics[[#This Row],[27M01]:[27M03]])</f>
        <v>0</v>
      </c>
      <c r="AC27" s="256">
        <f>SUM(Nordics[[#This Row],[27M04]:[27M06]])</f>
        <v>0</v>
      </c>
      <c r="AD27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27" s="85" t="str">
        <f>VLOOKUP(Nordics[[#This Row],[Product Line]],Prod_T6[],4,0)</f>
        <v>PV</v>
      </c>
      <c r="AF27" s="2"/>
      <c r="AG27" s="2"/>
      <c r="AH27" s="2" t="str">
        <v>4 - BAFO</v>
      </c>
    </row>
    <row r="28" spans="1:34">
      <c r="A28" s="29" t="s">
        <v>49</v>
      </c>
      <c r="B28" s="1" t="s">
        <v>406</v>
      </c>
      <c r="D28" s="2" t="str">
        <f>VLOOKUP(Nordics[[#This Row],[Product Line]],Prod_T6[],5,0)</f>
        <v>TCL</v>
      </c>
      <c r="E28" s="2" t="s">
        <v>113</v>
      </c>
      <c r="F28" s="2" t="s">
        <v>153</v>
      </c>
      <c r="G28" s="1" t="s">
        <v>156</v>
      </c>
      <c r="H28" s="1" t="s">
        <v>426</v>
      </c>
      <c r="I28" s="42" t="s">
        <v>132</v>
      </c>
      <c r="J28" s="13"/>
      <c r="K28" s="13"/>
      <c r="L28" s="13"/>
      <c r="M28" s="13"/>
      <c r="N28" s="13"/>
      <c r="O28" s="13"/>
      <c r="P28" s="13">
        <v>1.6</v>
      </c>
      <c r="Q28" s="13"/>
      <c r="R28" s="13"/>
      <c r="S28" s="32">
        <f>SUM(Nordics[[#This Row],[26M04]:[26M06]])</f>
        <v>0</v>
      </c>
      <c r="T28" s="69">
        <f>SUM(Nordics[[#This Row],[26M07]:[26M09]])</f>
        <v>0</v>
      </c>
      <c r="U28" s="69">
        <f>SUM(Nordics[[#This Row],[26M10]:[26M12]])</f>
        <v>1.6</v>
      </c>
      <c r="V28" s="256"/>
      <c r="W28" s="256"/>
      <c r="X28" s="256"/>
      <c r="Y28" s="256"/>
      <c r="Z28" s="256"/>
      <c r="AA28" s="256"/>
      <c r="AB28" s="256">
        <f>SUM(Nordics[[#This Row],[27M01]:[27M03]])</f>
        <v>0</v>
      </c>
      <c r="AC28" s="256">
        <f>SUM(Nordics[[#This Row],[27M04]:[27M06]])</f>
        <v>0</v>
      </c>
      <c r="AD28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28" s="120" t="str">
        <f>VLOOKUP(Nordics[[#This Row],[Product Line]],Prod_T6[],4,0)</f>
        <v>PV</v>
      </c>
      <c r="AF28" s="2"/>
      <c r="AG28" s="2"/>
      <c r="AH28" s="2" t="str">
        <v>6 - Won</v>
      </c>
    </row>
    <row r="29" spans="1:34">
      <c r="A29" s="29" t="s">
        <v>49</v>
      </c>
      <c r="B29" s="1" t="s">
        <v>406</v>
      </c>
      <c r="D29" s="2" t="str">
        <f>VLOOKUP(Nordics[[#This Row],[Product Line]],Prod_T6[],5,0)</f>
        <v>Sunpower</v>
      </c>
      <c r="E29" s="2" t="s">
        <v>118</v>
      </c>
      <c r="F29" s="2" t="s">
        <v>119</v>
      </c>
      <c r="G29" s="1" t="s">
        <v>156</v>
      </c>
      <c r="H29" s="1" t="s">
        <v>407</v>
      </c>
      <c r="I29" s="43" t="s">
        <v>117</v>
      </c>
      <c r="J29" s="13"/>
      <c r="K29" s="13"/>
      <c r="L29" s="13"/>
      <c r="M29" s="13">
        <v>0.4</v>
      </c>
      <c r="N29" s="13"/>
      <c r="O29" s="13"/>
      <c r="P29" s="13"/>
      <c r="Q29" s="13"/>
      <c r="R29" s="13"/>
      <c r="S29" s="32">
        <f>SUM(Nordics[[#This Row],[26M04]:[26M06]])</f>
        <v>0</v>
      </c>
      <c r="T29" s="69">
        <f>SUM(Nordics[[#This Row],[26M07]:[26M09]])</f>
        <v>0.4</v>
      </c>
      <c r="U29" s="69">
        <f>SUM(Nordics[[#This Row],[26M10]:[26M12]])</f>
        <v>0</v>
      </c>
      <c r="V29" s="256"/>
      <c r="W29" s="256"/>
      <c r="X29" s="256"/>
      <c r="Y29" s="256"/>
      <c r="Z29" s="256"/>
      <c r="AA29" s="256"/>
      <c r="AB29" s="256">
        <f>SUM(Nordics[[#This Row],[27M01]:[27M03]])</f>
        <v>0</v>
      </c>
      <c r="AC29" s="256">
        <f>SUM(Nordics[[#This Row],[27M04]:[27M06]])</f>
        <v>0</v>
      </c>
      <c r="AD29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29" s="120" t="str">
        <f>VLOOKUP(Nordics[[#This Row],[Product Line]],Prod_T6[],4,0)</f>
        <v>PV</v>
      </c>
      <c r="AF29" s="2"/>
      <c r="AG29" s="2"/>
      <c r="AH29" s="2" t="str">
        <v>6 - Won</v>
      </c>
    </row>
    <row r="30" spans="1:34" ht="14.5">
      <c r="A30" s="29" t="s">
        <v>49</v>
      </c>
      <c r="B30" s="1" t="s">
        <v>406</v>
      </c>
      <c r="D30" s="2" t="str">
        <f>VLOOKUP(Nordics[[#This Row],[Product Line]],Prod_T6[],5,0)</f>
        <v>Sunpower</v>
      </c>
      <c r="E30" s="2" t="s">
        <v>118</v>
      </c>
      <c r="F30" s="2" t="s">
        <v>180</v>
      </c>
      <c r="G30" s="1" t="s">
        <v>156</v>
      </c>
      <c r="H30" s="1" t="s">
        <v>407</v>
      </c>
      <c r="I30" s="43" t="s">
        <v>117</v>
      </c>
      <c r="J30" s="13"/>
      <c r="K30" s="13"/>
      <c r="L30" s="13"/>
      <c r="M30" s="13">
        <v>0.4</v>
      </c>
      <c r="N30" s="13"/>
      <c r="O30" s="13"/>
      <c r="P30" s="13"/>
      <c r="Q30" s="13"/>
      <c r="R30" s="13"/>
      <c r="S30" s="32">
        <f>SUM(Nordics[[#This Row],[26M04]:[26M06]])</f>
        <v>0</v>
      </c>
      <c r="T30" s="69">
        <f>SUM(Nordics[[#This Row],[26M07]:[26M09]])</f>
        <v>0.4</v>
      </c>
      <c r="U30" s="69">
        <f>SUM(Nordics[[#This Row],[26M10]:[26M12]])</f>
        <v>0</v>
      </c>
      <c r="V30" s="256"/>
      <c r="W30" s="256"/>
      <c r="X30" s="256"/>
      <c r="Y30" s="256"/>
      <c r="Z30" s="256"/>
      <c r="AA30" s="256"/>
      <c r="AB30" s="256">
        <f>SUM(Nordics[[#This Row],[27M01]:[27M03]])</f>
        <v>0</v>
      </c>
      <c r="AC30" s="256">
        <f>SUM(Nordics[[#This Row],[27M04]:[27M06]])</f>
        <v>0</v>
      </c>
      <c r="AD30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30" s="85" t="str">
        <f>VLOOKUP(Nordics[[#This Row],[Product Line]],Prod_T6[],4,0)</f>
        <v>PV</v>
      </c>
      <c r="AF30" s="2"/>
      <c r="AG30" s="2"/>
      <c r="AH30" s="2" t="str">
        <v>6 - Won</v>
      </c>
    </row>
    <row r="31" spans="1:34" ht="14.5">
      <c r="A31" s="29" t="s">
        <v>49</v>
      </c>
      <c r="B31" s="1" t="s">
        <v>408</v>
      </c>
      <c r="D31" s="2" t="str">
        <f>VLOOKUP(Nordics[[#This Row],[Product Line]],Prod_T6[],5,0)</f>
        <v>Sunpower</v>
      </c>
      <c r="E31" s="2" t="s">
        <v>409</v>
      </c>
      <c r="F31" s="2" t="s">
        <v>409</v>
      </c>
      <c r="G31" s="1" t="s">
        <v>156</v>
      </c>
      <c r="H31" s="1" t="s">
        <v>410</v>
      </c>
      <c r="I31" s="43" t="s">
        <v>117</v>
      </c>
      <c r="J31" s="13"/>
      <c r="K31" s="13"/>
      <c r="L31" s="13"/>
      <c r="M31" s="13">
        <v>0.2</v>
      </c>
      <c r="N31" s="13"/>
      <c r="O31" s="13"/>
      <c r="P31" s="13"/>
      <c r="Q31" s="13"/>
      <c r="R31" s="13"/>
      <c r="S31" s="32"/>
      <c r="T31" s="69">
        <f>SUM(Nordics[[#This Row],[26M07]:[26M09]])</f>
        <v>0.2</v>
      </c>
      <c r="U31" s="69">
        <f>SUM(Nordics[[#This Row],[26M10]:[26M12]])</f>
        <v>0</v>
      </c>
      <c r="V31" s="256"/>
      <c r="W31" s="256"/>
      <c r="X31" s="256"/>
      <c r="Y31" s="256"/>
      <c r="Z31" s="256"/>
      <c r="AA31" s="256"/>
      <c r="AB31" s="256">
        <f>SUM(Nordics[[#This Row],[27M01]:[27M03]])</f>
        <v>0</v>
      </c>
      <c r="AC31" s="256">
        <f>SUM(Nordics[[#This Row],[27M04]:[27M06]])</f>
        <v>0</v>
      </c>
      <c r="AD31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31" s="85" t="str">
        <f>VLOOKUP(Nordics[[#This Row],[Product Line]],Prod_T6[],4,0)</f>
        <v>PV</v>
      </c>
      <c r="AF31" s="2"/>
      <c r="AG31" s="2"/>
      <c r="AH31" s="2" t="str">
        <v>6 - Won</v>
      </c>
    </row>
    <row r="32" spans="1:34" ht="14.5">
      <c r="A32" s="29" t="s">
        <v>49</v>
      </c>
      <c r="B32" s="1" t="s">
        <v>411</v>
      </c>
      <c r="D32" s="2" t="str">
        <f>VLOOKUP(Nordics[[#This Row],[Product Line]],Prod_T6[],5,0)</f>
        <v>TCL</v>
      </c>
      <c r="E32" s="2" t="s">
        <v>38</v>
      </c>
      <c r="F32" s="2" t="s">
        <v>400</v>
      </c>
      <c r="G32" s="1" t="s">
        <v>156</v>
      </c>
      <c r="H32" s="1" t="s">
        <v>412</v>
      </c>
      <c r="I32" s="43" t="s">
        <v>117</v>
      </c>
      <c r="J32" s="13"/>
      <c r="K32" s="13"/>
      <c r="L32" s="13"/>
      <c r="M32" s="13">
        <v>2</v>
      </c>
      <c r="N32" s="13"/>
      <c r="O32" s="13"/>
      <c r="P32" s="13"/>
      <c r="Q32" s="13"/>
      <c r="R32" s="13"/>
      <c r="S32" s="32">
        <f>SUM(Nordics[[#This Row],[26M04]:[26M06]])</f>
        <v>0</v>
      </c>
      <c r="T32" s="69">
        <f>SUM(Nordics[[#This Row],[26M07]:[26M09]])</f>
        <v>2</v>
      </c>
      <c r="U32" s="69">
        <f>SUM(Nordics[[#This Row],[26M10]:[26M12]])</f>
        <v>0</v>
      </c>
      <c r="V32" s="256"/>
      <c r="W32" s="256"/>
      <c r="X32" s="256"/>
      <c r="Y32" s="256"/>
      <c r="Z32" s="256"/>
      <c r="AA32" s="256"/>
      <c r="AB32" s="256">
        <f>SUM(Nordics[[#This Row],[27M01]:[27M03]])</f>
        <v>0</v>
      </c>
      <c r="AC32" s="256">
        <f>SUM(Nordics[[#This Row],[27M04]:[27M06]])</f>
        <v>0</v>
      </c>
      <c r="AD32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32" s="85" t="str">
        <f>VLOOKUP(Nordics[[#This Row],[Product Line]],Prod_T6[],4,0)</f>
        <v>HP</v>
      </c>
      <c r="AF32" s="2"/>
      <c r="AG32" s="2"/>
      <c r="AH32" s="2" t="str">
        <v>6 - Won</v>
      </c>
    </row>
    <row r="33" spans="1:34" ht="14.5">
      <c r="A33" s="29" t="s">
        <v>49</v>
      </c>
      <c r="B33" s="1" t="s">
        <v>406</v>
      </c>
      <c r="D33" s="2" t="str">
        <f>VLOOKUP(Nordics[[#This Row],[Product Line]],Prod_T6[],5,0)</f>
        <v>TCL</v>
      </c>
      <c r="E33" s="2" t="s">
        <v>149</v>
      </c>
      <c r="F33" s="2" t="s">
        <v>289</v>
      </c>
      <c r="G33" s="1" t="s">
        <v>156</v>
      </c>
      <c r="H33" s="1" t="s">
        <v>407</v>
      </c>
      <c r="I33" s="183" t="s">
        <v>413</v>
      </c>
      <c r="J33" s="13"/>
      <c r="K33" s="13"/>
      <c r="L33" s="13"/>
      <c r="M33" s="13"/>
      <c r="N33" s="13"/>
      <c r="O33" s="13"/>
      <c r="P33" s="13"/>
      <c r="Q33" s="13"/>
      <c r="R33" s="13"/>
      <c r="S33" s="32">
        <f>SUM(Nordics[[#This Row],[26M04]:[26M06]])</f>
        <v>0</v>
      </c>
      <c r="T33" s="69">
        <f>SUM(Nordics[[#This Row],[26M07]:[26M09]])</f>
        <v>0</v>
      </c>
      <c r="U33" s="69">
        <f>SUM(Nordics[[#This Row],[26M10]:[26M12]])</f>
        <v>0</v>
      </c>
      <c r="V33" s="256"/>
      <c r="W33" s="256"/>
      <c r="X33" s="256"/>
      <c r="Y33" s="256"/>
      <c r="Z33" s="256"/>
      <c r="AA33" s="256"/>
      <c r="AB33" s="256">
        <f>SUM(Nordics[[#This Row],[27M01]:[27M03]])</f>
        <v>0</v>
      </c>
      <c r="AC33" s="256">
        <f>SUM(Nordics[[#This Row],[27M04]:[27M06]])</f>
        <v>0</v>
      </c>
      <c r="AD33" s="256" t="str">
        <f>IF(SUM(Nordics[[#This Row],[26Q2]:[26Q4]])+SUM(Nordics[[#This Row],[27Q1]:[27Q2]])=0,"No FSCT",IF(AND(SUM(Nordics[[#This Row],[26Q2]:[26Q4]])&gt;0,SUM(Nordics[[#This Row],[27Q1]:[27Q2]])=0),"YES","NO"))</f>
        <v>No FSCT</v>
      </c>
      <c r="AE33" s="85" t="str">
        <f>VLOOKUP(Nordics[[#This Row],[Product Line]],Prod_T6[],4,0)</f>
        <v>PV</v>
      </c>
      <c r="AF33" s="2"/>
      <c r="AG33" s="2"/>
      <c r="AH33" s="2" t="str">
        <v>6 - Won</v>
      </c>
    </row>
    <row r="34" spans="1:34" ht="14.5">
      <c r="A34" s="29" t="s">
        <v>49</v>
      </c>
      <c r="B34" s="1" t="s">
        <v>406</v>
      </c>
      <c r="D34" s="2" t="str">
        <f>VLOOKUP(Nordics[[#This Row],[Product Line]],Prod_T6[],5,0)</f>
        <v>TCL</v>
      </c>
      <c r="E34" s="2" t="s">
        <v>414</v>
      </c>
      <c r="F34" s="2" t="s">
        <v>415</v>
      </c>
      <c r="G34" s="1" t="s">
        <v>213</v>
      </c>
      <c r="H34" s="1" t="s">
        <v>416</v>
      </c>
      <c r="I34" s="183"/>
      <c r="J34" s="13"/>
      <c r="K34" s="13"/>
      <c r="L34" s="13"/>
      <c r="M34" s="13"/>
      <c r="N34" s="13"/>
      <c r="O34" s="13"/>
      <c r="P34" s="13"/>
      <c r="Q34" s="13"/>
      <c r="R34" s="13">
        <v>50</v>
      </c>
      <c r="S34" s="32">
        <f>SUM(Nordics[[#This Row],[26M04]:[26M06]])</f>
        <v>0</v>
      </c>
      <c r="T34" s="69">
        <f>SUM(Nordics[[#This Row],[26M07]:[26M09]])</f>
        <v>0</v>
      </c>
      <c r="U34" s="69">
        <f>SUM(Nordics[[#This Row],[26M10]:[26M12]])</f>
        <v>50</v>
      </c>
      <c r="V34" s="256"/>
      <c r="W34" s="256"/>
      <c r="X34" s="256"/>
      <c r="Y34" s="256"/>
      <c r="Z34" s="256"/>
      <c r="AA34" s="256"/>
      <c r="AB34" s="256">
        <f>SUM(Nordics[[#This Row],[27M01]:[27M03]])</f>
        <v>0</v>
      </c>
      <c r="AC34" s="256">
        <f>SUM(Nordics[[#This Row],[27M04]:[27M06]])</f>
        <v>0</v>
      </c>
      <c r="AD34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34" s="85" t="str">
        <f>VLOOKUP(Nordics[[#This Row],[Product Line]],Prod_T6[],4,0)</f>
        <v>ESS</v>
      </c>
      <c r="AF34" s="2"/>
      <c r="AG34" s="2"/>
      <c r="AH34" s="2" t="str">
        <v>1 - Lead qualification</v>
      </c>
    </row>
    <row r="35" spans="1:34" ht="14.5">
      <c r="A35" s="29" t="s">
        <v>49</v>
      </c>
      <c r="B35" s="1" t="s">
        <v>402</v>
      </c>
      <c r="D35" s="2" t="str">
        <f>VLOOKUP(Nordics[[#This Row],[Product Line]],Prod_T6[],5,0)</f>
        <v>TCL</v>
      </c>
      <c r="E35" s="2" t="s">
        <v>141</v>
      </c>
      <c r="F35" s="2" t="s">
        <v>46</v>
      </c>
      <c r="G35" s="1" t="s">
        <v>213</v>
      </c>
      <c r="H35" s="1" t="s">
        <v>417</v>
      </c>
      <c r="I35" s="183"/>
      <c r="J35" s="13"/>
      <c r="K35" s="13"/>
      <c r="L35" s="13"/>
      <c r="M35" s="13"/>
      <c r="N35" s="13"/>
      <c r="O35" s="13">
        <v>2</v>
      </c>
      <c r="P35" s="13"/>
      <c r="Q35" s="13"/>
      <c r="R35" s="13"/>
      <c r="S35" s="32"/>
      <c r="T35" s="69">
        <f>SUM(Nordics[[#This Row],[26M07]:[26M09]])</f>
        <v>2</v>
      </c>
      <c r="U35" s="69">
        <f>SUM(Nordics[[#This Row],[26M10]:[26M12]])</f>
        <v>0</v>
      </c>
      <c r="V35" s="256"/>
      <c r="W35" s="256"/>
      <c r="X35" s="256"/>
      <c r="Y35" s="256"/>
      <c r="Z35" s="256"/>
      <c r="AA35" s="256"/>
      <c r="AB35" s="256">
        <f>SUM(Nordics[[#This Row],[27M01]:[27M03]])</f>
        <v>0</v>
      </c>
      <c r="AC35" s="256">
        <f>SUM(Nordics[[#This Row],[27M04]:[27M06]])</f>
        <v>0</v>
      </c>
      <c r="AD35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35" s="85" t="str">
        <f>VLOOKUP(Nordics[[#This Row],[Product Line]],Prod_T6[],4,0)</f>
        <v>ESS</v>
      </c>
      <c r="AF35" s="2"/>
      <c r="AG35" s="2"/>
      <c r="AH35" s="2" t="str">
        <v>1 - Lead qualification</v>
      </c>
    </row>
    <row r="36" spans="1:34" ht="14.5">
      <c r="A36" s="29" t="s">
        <v>49</v>
      </c>
      <c r="B36" s="1" t="s">
        <v>402</v>
      </c>
      <c r="D36" s="2" t="str">
        <f>VLOOKUP(Nordics[[#This Row],[Product Line]],Prod_T6[],5,0)</f>
        <v>TCL</v>
      </c>
      <c r="E36" s="2" t="s">
        <v>149</v>
      </c>
      <c r="F36" s="2" t="s">
        <v>289</v>
      </c>
      <c r="G36" s="1" t="s">
        <v>154</v>
      </c>
      <c r="H36" s="1" t="s">
        <v>418</v>
      </c>
      <c r="I36" s="183" t="s">
        <v>413</v>
      </c>
      <c r="J36" s="13"/>
      <c r="K36" s="13"/>
      <c r="L36" s="13"/>
      <c r="M36" s="13"/>
      <c r="N36" s="13"/>
      <c r="O36" s="13">
        <v>0.8</v>
      </c>
      <c r="P36" s="13"/>
      <c r="Q36" s="13"/>
      <c r="R36" s="13"/>
      <c r="S36" s="32">
        <f>SUM(Nordics[[#This Row],[26M04]:[26M06]])</f>
        <v>0</v>
      </c>
      <c r="T36" s="69">
        <f>SUM(Nordics[[#This Row],[26M07]:[26M09]])</f>
        <v>0.8</v>
      </c>
      <c r="U36" s="69">
        <f>SUM(Nordics[[#This Row],[26M10]:[26M12]])</f>
        <v>0</v>
      </c>
      <c r="V36" s="256"/>
      <c r="W36" s="256"/>
      <c r="X36" s="256"/>
      <c r="Y36" s="256"/>
      <c r="Z36" s="256"/>
      <c r="AA36" s="256"/>
      <c r="AB36" s="256">
        <f>SUM(Nordics[[#This Row],[27M01]:[27M03]])</f>
        <v>0</v>
      </c>
      <c r="AC36" s="256">
        <f>SUM(Nordics[[#This Row],[27M04]:[27M06]])</f>
        <v>0</v>
      </c>
      <c r="AD36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36" s="85" t="str">
        <f>VLOOKUP(Nordics[[#This Row],[Product Line]],Prod_T6[],4,0)</f>
        <v>PV</v>
      </c>
      <c r="AF36" s="2"/>
      <c r="AG36" s="2"/>
      <c r="AH36" s="2" t="str">
        <v>4 - BAFO</v>
      </c>
    </row>
    <row r="37" spans="1:34" ht="14.5">
      <c r="A37" s="29" t="s">
        <v>49</v>
      </c>
      <c r="B37" s="1" t="s">
        <v>402</v>
      </c>
      <c r="D37" s="2" t="str">
        <f>VLOOKUP(Nordics[[#This Row],[Product Line]],Prod_T6[],5,0)</f>
        <v>Sunpower</v>
      </c>
      <c r="E37" s="2" t="s">
        <v>118</v>
      </c>
      <c r="F37" s="2" t="s">
        <v>119</v>
      </c>
      <c r="G37" s="1" t="s">
        <v>115</v>
      </c>
      <c r="H37" s="1"/>
      <c r="I37" s="183" t="s">
        <v>419</v>
      </c>
      <c r="J37" s="13"/>
      <c r="K37" s="13"/>
      <c r="L37" s="13"/>
      <c r="M37" s="13"/>
      <c r="N37" s="13"/>
      <c r="O37" s="13"/>
      <c r="P37" s="13">
        <v>1</v>
      </c>
      <c r="Q37" s="13">
        <v>1</v>
      </c>
      <c r="R37" s="13">
        <v>1</v>
      </c>
      <c r="S37" s="32">
        <f>SUM(Nordics[[#This Row],[26M04]:[26M06]])</f>
        <v>0</v>
      </c>
      <c r="T37" s="69">
        <f>SUM(Nordics[[#This Row],[26M07]:[26M09]])</f>
        <v>0</v>
      </c>
      <c r="U37" s="69">
        <f>SUM(Nordics[[#This Row],[26M10]:[26M12]])</f>
        <v>3</v>
      </c>
      <c r="V37" s="256"/>
      <c r="W37" s="256"/>
      <c r="X37" s="256"/>
      <c r="Y37" s="256"/>
      <c r="Z37" s="256"/>
      <c r="AA37" s="256"/>
      <c r="AB37" s="256">
        <f>SUM(Nordics[[#This Row],[27M01]:[27M03]])</f>
        <v>0</v>
      </c>
      <c r="AC37" s="256">
        <f>SUM(Nordics[[#This Row],[27M04]:[27M06]])</f>
        <v>0</v>
      </c>
      <c r="AD37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37" s="85" t="str">
        <f>VLOOKUP(Nordics[[#This Row],[Product Line]],Prod_T6[],4,0)</f>
        <v>PV</v>
      </c>
      <c r="AF37" s="2"/>
      <c r="AG37" s="2"/>
      <c r="AH37" s="2" t="str">
        <v>2 - Initial offer</v>
      </c>
    </row>
    <row r="38" spans="1:34" ht="14.5">
      <c r="A38" s="29" t="s">
        <v>49</v>
      </c>
      <c r="B38" s="1" t="s">
        <v>402</v>
      </c>
      <c r="D38" s="2" t="str">
        <f>VLOOKUP(Nordics[[#This Row],[Product Line]],Prod_T6[],5,0)</f>
        <v>Sunpower</v>
      </c>
      <c r="E38" s="2" t="s">
        <v>118</v>
      </c>
      <c r="F38" s="2" t="s">
        <v>255</v>
      </c>
      <c r="G38" s="1" t="s">
        <v>115</v>
      </c>
      <c r="H38" s="1" t="s">
        <v>420</v>
      </c>
      <c r="I38" s="183" t="s">
        <v>419</v>
      </c>
      <c r="J38" s="13"/>
      <c r="K38" s="13"/>
      <c r="L38" s="13"/>
      <c r="M38" s="13"/>
      <c r="N38" s="13"/>
      <c r="O38" s="13"/>
      <c r="P38" s="13">
        <v>1</v>
      </c>
      <c r="Q38" s="13">
        <v>1</v>
      </c>
      <c r="R38" s="13">
        <v>1</v>
      </c>
      <c r="S38" s="32">
        <f>SUM(Nordics[[#This Row],[26M04]:[26M06]])</f>
        <v>0</v>
      </c>
      <c r="T38" s="69">
        <f>SUM(Nordics[[#This Row],[26M07]:[26M09]])</f>
        <v>0</v>
      </c>
      <c r="U38" s="69">
        <f>SUM(Nordics[[#This Row],[26M10]:[26M12]])</f>
        <v>3</v>
      </c>
      <c r="V38" s="256"/>
      <c r="W38" s="256"/>
      <c r="X38" s="256"/>
      <c r="Y38" s="256"/>
      <c r="Z38" s="256"/>
      <c r="AA38" s="256"/>
      <c r="AB38" s="256">
        <f>SUM(Nordics[[#This Row],[27M01]:[27M03]])</f>
        <v>0</v>
      </c>
      <c r="AC38" s="256">
        <f>SUM(Nordics[[#This Row],[27M04]:[27M06]])</f>
        <v>0</v>
      </c>
      <c r="AD38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38" s="85" t="str">
        <f>VLOOKUP(Nordics[[#This Row],[Product Line]],Prod_T6[],4,0)</f>
        <v>PV</v>
      </c>
      <c r="AF38" s="2"/>
      <c r="AG38" s="2"/>
      <c r="AH38" s="2" t="str">
        <v>2 - Initial offer</v>
      </c>
    </row>
    <row r="39" spans="1:34" ht="14.5">
      <c r="A39" s="29" t="s">
        <v>49</v>
      </c>
      <c r="B39" s="1" t="s">
        <v>402</v>
      </c>
      <c r="D39" s="2" t="str">
        <f>VLOOKUP(Nordics[[#This Row],[Product Line]],Prod_T6[],5,0)</f>
        <v>TCL</v>
      </c>
      <c r="E39" s="2" t="s">
        <v>54</v>
      </c>
      <c r="F39" s="2" t="s">
        <v>166</v>
      </c>
      <c r="G39" s="1" t="s">
        <v>115</v>
      </c>
      <c r="H39" s="1" t="s">
        <v>420</v>
      </c>
      <c r="I39" s="183" t="s">
        <v>419</v>
      </c>
      <c r="J39" s="13"/>
      <c r="K39" s="13"/>
      <c r="L39" s="13"/>
      <c r="M39" s="13"/>
      <c r="N39" s="13"/>
      <c r="O39" s="13"/>
      <c r="P39" s="13">
        <v>2</v>
      </c>
      <c r="Q39" s="13">
        <v>2</v>
      </c>
      <c r="R39" s="13">
        <v>2</v>
      </c>
      <c r="S39" s="32">
        <v>0.15</v>
      </c>
      <c r="T39" s="69">
        <f>SUM(Nordics[[#This Row],[26M07]:[26M09]])</f>
        <v>0</v>
      </c>
      <c r="U39" s="69">
        <f>SUM(Nordics[[#This Row],[26M10]:[26M12]])</f>
        <v>6</v>
      </c>
      <c r="V39" s="256"/>
      <c r="W39" s="256"/>
      <c r="X39" s="256"/>
      <c r="Y39" s="256"/>
      <c r="Z39" s="256"/>
      <c r="AA39" s="256"/>
      <c r="AB39" s="256">
        <f>SUM(Nordics[[#This Row],[27M01]:[27M03]])</f>
        <v>0</v>
      </c>
      <c r="AC39" s="256">
        <f>SUM(Nordics[[#This Row],[27M04]:[27M06]])</f>
        <v>0</v>
      </c>
      <c r="AD39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39" s="85" t="str">
        <f>VLOOKUP(Nordics[[#This Row],[Product Line]],Prod_T6[],4,0)</f>
        <v>PV</v>
      </c>
      <c r="AF39" s="2"/>
      <c r="AG39" s="2"/>
      <c r="AH39" s="2" t="str">
        <v>2 - Initial offer</v>
      </c>
    </row>
    <row r="40" spans="1:34" ht="14.5">
      <c r="A40" s="29" t="s">
        <v>49</v>
      </c>
      <c r="B40" s="1" t="s">
        <v>402</v>
      </c>
      <c r="D40" s="2" t="str">
        <f>VLOOKUP(Nordics[[#This Row],[Product Line]],Prod_T6[],5,0)</f>
        <v>TCL</v>
      </c>
      <c r="E40" s="2" t="s">
        <v>149</v>
      </c>
      <c r="F40" s="2" t="s">
        <v>289</v>
      </c>
      <c r="G40" s="1" t="s">
        <v>154</v>
      </c>
      <c r="H40" s="1" t="s">
        <v>421</v>
      </c>
      <c r="I40" s="43" t="s">
        <v>413</v>
      </c>
      <c r="J40" s="13"/>
      <c r="K40" s="13"/>
      <c r="L40" s="13"/>
      <c r="M40" s="13"/>
      <c r="N40" s="13"/>
      <c r="O40" s="13"/>
      <c r="P40" s="13">
        <v>2</v>
      </c>
      <c r="Q40" s="13">
        <v>2</v>
      </c>
      <c r="R40" s="13"/>
      <c r="S40" s="32">
        <f>SUM(Nordics[[#This Row],[26M04]:[26M06]])</f>
        <v>0</v>
      </c>
      <c r="T40" s="69">
        <f>SUM(Nordics[[#This Row],[26M07]:[26M09]])</f>
        <v>0</v>
      </c>
      <c r="U40" s="69">
        <f>SUM(Nordics[[#This Row],[26M10]:[26M12]])</f>
        <v>4</v>
      </c>
      <c r="V40" s="256"/>
      <c r="W40" s="256"/>
      <c r="X40" s="256"/>
      <c r="Y40" s="256"/>
      <c r="Z40" s="256"/>
      <c r="AA40" s="256"/>
      <c r="AB40" s="256">
        <f>SUM(Nordics[[#This Row],[27M01]:[27M03]])</f>
        <v>0</v>
      </c>
      <c r="AC40" s="256">
        <f>SUM(Nordics[[#This Row],[27M04]:[27M06]])</f>
        <v>0</v>
      </c>
      <c r="AD40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40" s="85" t="str">
        <f>VLOOKUP(Nordics[[#This Row],[Product Line]],Prod_T6[],4,0)</f>
        <v>PV</v>
      </c>
      <c r="AF40" s="2"/>
      <c r="AG40" s="2"/>
      <c r="AH40" s="2" t="str">
        <v>4 - BAFO</v>
      </c>
    </row>
    <row r="41" spans="1:34" ht="14.5">
      <c r="A41" s="29" t="s">
        <v>49</v>
      </c>
      <c r="B41" s="1" t="s">
        <v>406</v>
      </c>
      <c r="D41" s="2" t="str">
        <f>VLOOKUP(Nordics[[#This Row],[Product Line]],Prod_T6[],5,0)</f>
        <v>Sunpower</v>
      </c>
      <c r="E41" s="2" t="s">
        <v>118</v>
      </c>
      <c r="F41" s="2" t="s">
        <v>180</v>
      </c>
      <c r="G41" s="1"/>
      <c r="H41" s="1" t="s">
        <v>422</v>
      </c>
      <c r="I41" s="43"/>
      <c r="J41" s="13"/>
      <c r="K41" s="13"/>
      <c r="L41" s="13"/>
      <c r="M41" s="13"/>
      <c r="N41" s="13"/>
      <c r="O41" s="13"/>
      <c r="P41" s="13">
        <v>0.8</v>
      </c>
      <c r="Q41" s="13"/>
      <c r="R41" s="13"/>
      <c r="S41" s="32"/>
      <c r="T41" s="69">
        <f>SUM(Nordics[[#This Row],[26M07]:[26M09]])</f>
        <v>0</v>
      </c>
      <c r="U41" s="69">
        <f>SUM(Nordics[[#This Row],[26M10]:[26M12]])</f>
        <v>0.8</v>
      </c>
      <c r="V41" s="256"/>
      <c r="W41" s="256"/>
      <c r="X41" s="256"/>
      <c r="Y41" s="256"/>
      <c r="Z41" s="256"/>
      <c r="AA41" s="256"/>
      <c r="AB41" s="256">
        <f>SUM(Nordics[[#This Row],[27M01]:[27M03]])</f>
        <v>0</v>
      </c>
      <c r="AC41" s="256">
        <f>SUM(Nordics[[#This Row],[27M04]:[27M06]])</f>
        <v>0</v>
      </c>
      <c r="AD41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41" s="85" t="str">
        <f>VLOOKUP(Nordics[[#This Row],[Product Line]],Prod_T6[],4,0)</f>
        <v>PV</v>
      </c>
      <c r="AF41" s="2"/>
      <c r="AG41" s="2"/>
      <c r="AH41" s="2">
        <v>0</v>
      </c>
    </row>
    <row r="42" spans="1:34" ht="14.5">
      <c r="A42" s="29" t="s">
        <v>49</v>
      </c>
      <c r="B42" s="1" t="s">
        <v>423</v>
      </c>
      <c r="D42" s="2" t="str">
        <f>VLOOKUP(Nordics[[#This Row],[Product Line]],Prod_T6[],5,0)</f>
        <v>Sunpower</v>
      </c>
      <c r="E42" s="2" t="s">
        <v>118</v>
      </c>
      <c r="F42" s="2" t="s">
        <v>145</v>
      </c>
      <c r="G42" s="1" t="s">
        <v>120</v>
      </c>
      <c r="H42" s="1" t="s">
        <v>424</v>
      </c>
      <c r="I42" s="43"/>
      <c r="J42" s="13"/>
      <c r="K42" s="13"/>
      <c r="L42" s="13"/>
      <c r="M42" s="13"/>
      <c r="N42" s="13"/>
      <c r="O42" s="13"/>
      <c r="P42" s="13">
        <v>1.2</v>
      </c>
      <c r="Q42" s="13"/>
      <c r="R42" s="13"/>
      <c r="S42" s="32">
        <f>SUM(Nordics[[#This Row],[26M04]:[26M06]])</f>
        <v>0</v>
      </c>
      <c r="T42" s="69">
        <f>SUM(Nordics[[#This Row],[26M07]:[26M09]])</f>
        <v>0</v>
      </c>
      <c r="U42" s="69">
        <f>SUM(Nordics[[#This Row],[26M10]:[26M12]])</f>
        <v>1.2</v>
      </c>
      <c r="V42" s="256"/>
      <c r="W42" s="256"/>
      <c r="X42" s="256"/>
      <c r="Y42" s="256"/>
      <c r="Z42" s="256"/>
      <c r="AA42" s="256"/>
      <c r="AB42" s="256">
        <f>SUM(Nordics[[#This Row],[27M01]:[27M03]])</f>
        <v>0</v>
      </c>
      <c r="AC42" s="256">
        <f>SUM(Nordics[[#This Row],[27M04]:[27M06]])</f>
        <v>0</v>
      </c>
      <c r="AD42" s="256" t="str">
        <f>IF(SUM(Nordics[[#This Row],[26Q2]:[26Q4]])+SUM(Nordics[[#This Row],[27Q1]:[27Q2]])=0,"No FSCT",IF(AND(SUM(Nordics[[#This Row],[26Q2]:[26Q4]])&gt;0,SUM(Nordics[[#This Row],[27Q1]:[27Q2]])=0),"YES","NO"))</f>
        <v>YES</v>
      </c>
      <c r="AE42" s="85" t="str">
        <f>VLOOKUP(Nordics[[#This Row],[Product Line]],Prod_T6[],4,0)</f>
        <v>PV</v>
      </c>
      <c r="AF42" s="2"/>
      <c r="AG42" s="2"/>
      <c r="AH42" s="2" t="str">
        <v>5 - Finalize contract</v>
      </c>
    </row>
    <row r="43" spans="1:34" ht="14.5">
      <c r="A43" s="29" t="s">
        <v>49</v>
      </c>
      <c r="B43" s="1" t="s">
        <v>406</v>
      </c>
      <c r="D43" s="2" t="str">
        <f>VLOOKUP(Nordics[[#This Row],[Product Line]],Prod_T6[],5,0)</f>
        <v>TCL</v>
      </c>
      <c r="E43" s="2" t="s">
        <v>141</v>
      </c>
      <c r="F43" s="2" t="s">
        <v>46</v>
      </c>
      <c r="G43" s="1" t="s">
        <v>154</v>
      </c>
      <c r="H43" s="1" t="s">
        <v>425</v>
      </c>
      <c r="I43" s="43"/>
      <c r="J43" s="13"/>
      <c r="K43" s="13"/>
      <c r="L43" s="13"/>
      <c r="M43" s="13"/>
      <c r="N43" s="13"/>
      <c r="O43" s="13"/>
      <c r="P43" s="13"/>
      <c r="Q43" s="13"/>
      <c r="R43" s="13"/>
      <c r="S43" s="32">
        <f>SUM(Nordics[[#This Row],[26M04]:[26M06]])</f>
        <v>0</v>
      </c>
      <c r="T43" s="69">
        <f>SUM(Nordics[[#This Row],[26M07]:[26M09]])</f>
        <v>0</v>
      </c>
      <c r="U43" s="69">
        <f>SUM(Nordics[[#This Row],[26M10]:[26M12]])</f>
        <v>0</v>
      </c>
      <c r="V43" s="256"/>
      <c r="W43" s="256"/>
      <c r="X43" s="256"/>
      <c r="Y43" s="256"/>
      <c r="Z43" s="256"/>
      <c r="AA43" s="256"/>
      <c r="AB43" s="256">
        <f>SUM(Nordics[[#This Row],[27M01]:[27M03]])</f>
        <v>0</v>
      </c>
      <c r="AC43" s="256">
        <f>SUM(Nordics[[#This Row],[27M04]:[27M06]])</f>
        <v>0</v>
      </c>
      <c r="AD43" s="256" t="str">
        <f>IF(SUM(Nordics[[#This Row],[26Q2]:[26Q4]])+SUM(Nordics[[#This Row],[27Q1]:[27Q2]])=0,"No FSCT",IF(AND(SUM(Nordics[[#This Row],[26Q2]:[26Q4]])&gt;0,SUM(Nordics[[#This Row],[27Q1]:[27Q2]])=0),"YES","NO"))</f>
        <v>No FSCT</v>
      </c>
      <c r="AE43" s="85" t="str">
        <f>VLOOKUP(Nordics[[#This Row],[Product Line]],Prod_T6[],4,0)</f>
        <v>ESS</v>
      </c>
      <c r="AF43" s="2"/>
      <c r="AG43" s="2"/>
      <c r="AH43" s="2" t="str">
        <v>4 - BAFO</v>
      </c>
    </row>
    <row r="44" spans="1:34">
      <c r="A44" s="29" t="s">
        <v>49</v>
      </c>
      <c r="B44" s="1" t="s">
        <v>406</v>
      </c>
      <c r="D44" s="2" t="str">
        <f>VLOOKUP(Nordics[[#This Row],[Product Line]],Prod_T6[],5,0)</f>
        <v>TCL</v>
      </c>
      <c r="E44" s="2" t="s">
        <v>141</v>
      </c>
      <c r="F44" s="2" t="s">
        <v>50</v>
      </c>
      <c r="G44" s="1" t="s">
        <v>136</v>
      </c>
      <c r="H44" s="1" t="s">
        <v>438</v>
      </c>
      <c r="I44" s="43"/>
      <c r="J44" s="13"/>
      <c r="K44" s="13"/>
      <c r="L44" s="13"/>
      <c r="M44" s="13"/>
      <c r="N44" s="13"/>
      <c r="O44" s="13"/>
      <c r="P44" s="13"/>
      <c r="Q44" s="13"/>
      <c r="R44" s="13"/>
      <c r="S44" s="32">
        <f>SUM(Nordics[[#This Row],[26M04]:[26M06]])</f>
        <v>0</v>
      </c>
      <c r="T44" s="69">
        <f>SUM(Nordics[[#This Row],[26M07]:[26M09]])</f>
        <v>0</v>
      </c>
      <c r="U44" s="69">
        <f>SUM(Nordics[[#This Row],[26M10]:[26M12]])</f>
        <v>0</v>
      </c>
      <c r="V44" s="256"/>
      <c r="W44" s="256"/>
      <c r="X44" s="256"/>
      <c r="Y44" s="256"/>
      <c r="Z44" s="256"/>
      <c r="AA44" s="256"/>
      <c r="AB44" s="256">
        <f>SUM(Nordics[[#This Row],[27M01]:[27M03]])</f>
        <v>0</v>
      </c>
      <c r="AC44" s="256">
        <f>SUM(Nordics[[#This Row],[27M04]:[27M06]])</f>
        <v>0</v>
      </c>
      <c r="AD44" s="256" t="str">
        <f>IF(SUM(Nordics[[#This Row],[26Q2]:[26Q4]])+SUM(Nordics[[#This Row],[27Q1]:[27Q2]])=0,"No FSCT",IF(AND(SUM(Nordics[[#This Row],[26Q2]:[26Q4]])&gt;0,SUM(Nordics[[#This Row],[27Q1]:[27Q2]])=0),"YES","NO"))</f>
        <v>No FSCT</v>
      </c>
      <c r="AE44" s="120" t="str">
        <f>VLOOKUP(Nordics[[#This Row],[Product Line]],Prod_T6[],4,0)</f>
        <v>ESS</v>
      </c>
      <c r="AF44" s="2"/>
      <c r="AG44" s="2"/>
      <c r="AH44" s="2" t="str">
        <v>3 - Negotiation</v>
      </c>
    </row>
    <row r="45" spans="1:34">
      <c r="A45" s="29" t="s">
        <v>49</v>
      </c>
      <c r="B45" s="1" t="s">
        <v>406</v>
      </c>
      <c r="D45" s="2" t="str">
        <f>VLOOKUP(Nordics[[#This Row],[Product Line]],Prod_T6[],5,0)</f>
        <v>TCL</v>
      </c>
      <c r="E45" s="2" t="s">
        <v>54</v>
      </c>
      <c r="F45" s="2" t="s">
        <v>159</v>
      </c>
      <c r="G45" s="1" t="s">
        <v>136</v>
      </c>
      <c r="H45" s="1" t="s">
        <v>445</v>
      </c>
      <c r="I45" s="43"/>
      <c r="J45" s="13"/>
      <c r="K45" s="13"/>
      <c r="L45" s="13"/>
      <c r="M45" s="13"/>
      <c r="N45" s="13"/>
      <c r="O45" s="13"/>
      <c r="P45" s="13"/>
      <c r="Q45" s="13"/>
      <c r="R45" s="13"/>
      <c r="S45" s="32">
        <f>SUM(Nordics[[#This Row],[26M04]:[26M06]])</f>
        <v>0</v>
      </c>
      <c r="T45" s="69">
        <f>SUM(Nordics[[#This Row],[26M07]:[26M09]])</f>
        <v>0</v>
      </c>
      <c r="U45" s="69">
        <f>SUM(Nordics[[#This Row],[26M10]:[26M12]])</f>
        <v>0</v>
      </c>
      <c r="V45" s="256"/>
      <c r="W45" s="256"/>
      <c r="X45" s="256"/>
      <c r="Y45" s="256"/>
      <c r="Z45" s="256"/>
      <c r="AA45" s="256"/>
      <c r="AB45" s="256">
        <f>SUM(Nordics[[#This Row],[27M01]:[27M03]])</f>
        <v>0</v>
      </c>
      <c r="AC45" s="256">
        <f>SUM(Nordics[[#This Row],[27M04]:[27M06]])</f>
        <v>0</v>
      </c>
      <c r="AD45" s="256" t="str">
        <f>IF(SUM(Nordics[[#This Row],[26Q2]:[26Q4]])+SUM(Nordics[[#This Row],[27Q1]:[27Q2]])=0,"No FSCT",IF(AND(SUM(Nordics[[#This Row],[26Q2]:[26Q4]])&gt;0,SUM(Nordics[[#This Row],[27Q1]:[27Q2]])=0),"YES","NO"))</f>
        <v>No FSCT</v>
      </c>
      <c r="AE45" s="120" t="str">
        <f>VLOOKUP(Nordics[[#This Row],[Product Line]],Prod_T6[],4,0)</f>
        <v>PV</v>
      </c>
      <c r="AF45" s="2"/>
      <c r="AG45" s="2"/>
      <c r="AH45" s="2" t="str">
        <v>3 - Negotiation</v>
      </c>
    </row>
    <row r="46" spans="1:34">
      <c r="C46" s="3"/>
      <c r="F46" s="38"/>
      <c r="H46" s="119" t="s">
        <v>638</v>
      </c>
      <c r="I46" s="118"/>
      <c r="J46" s="196">
        <f>SUBTOTAL(9,Nordics[26M04])</f>
        <v>6.4</v>
      </c>
      <c r="K46" s="197">
        <f>SUBTOTAL(9,Nordics[26M05])</f>
        <v>6</v>
      </c>
      <c r="L46" s="198">
        <f>SUBTOTAL(9,Nordics[26M06])</f>
        <v>8.4</v>
      </c>
      <c r="M46" s="196">
        <f>SUBTOTAL(9,Nordics[26M07])</f>
        <v>8.3000000000000007</v>
      </c>
      <c r="N46" s="197">
        <f>SUBTOTAL(9,Nordics[26M08])</f>
        <v>7.5</v>
      </c>
      <c r="O46" s="198">
        <f>SUBTOTAL(9,Nordics[26M09])</f>
        <v>60.3</v>
      </c>
      <c r="P46" s="196">
        <f>SUBTOTAL(9,Nordics[26M10])</f>
        <v>20.6</v>
      </c>
      <c r="Q46" s="197">
        <f>SUBTOTAL(9,Nordics[26M11])</f>
        <v>16</v>
      </c>
      <c r="R46" s="198">
        <f>SUBTOTAL(9,Nordics[26M12])</f>
        <v>54</v>
      </c>
      <c r="S46" s="199">
        <f>SUBTOTAL(9,Nordics[26Q2])</f>
        <v>16.949999999999996</v>
      </c>
      <c r="T46" s="199">
        <f>SUBTOTAL(9,Nordics[26Q3])</f>
        <v>76.100000000000009</v>
      </c>
      <c r="U46" s="199">
        <f>SUBTOTAL(9,Nordics[26Q4])</f>
        <v>90.6</v>
      </c>
      <c r="V46" s="257"/>
      <c r="W46" s="257"/>
      <c r="X46" s="257"/>
      <c r="Y46" s="257"/>
      <c r="Z46" s="257"/>
      <c r="AA46" s="257"/>
      <c r="AB46" s="257"/>
      <c r="AC46" s="257"/>
      <c r="AD46" s="257"/>
    </row>
  </sheetData>
  <phoneticPr fontId="58" type="noConversion"/>
  <dataValidations count="4">
    <dataValidation type="list" allowBlank="1" showInputMessage="1" showErrorMessage="1" sqref="A6:A45" xr:uid="{7DFDFDAF-8DA1-4988-A1A1-FDE64F639625}">
      <formula1>Country_List</formula1>
    </dataValidation>
    <dataValidation type="list" allowBlank="1" showInputMessage="1" showErrorMessage="1" sqref="G6:G45" xr:uid="{F3387F7F-D51F-4DEA-927B-EE1EF902277A}">
      <formula1>Stage_List</formula1>
    </dataValidation>
    <dataValidation type="list" allowBlank="1" showInputMessage="1" showErrorMessage="1" sqref="B6:B9 F6:F45" xr:uid="{B2DC5BD9-6892-4203-8E94-7D05D025DC60}">
      <formula1>INDIRECT(A6)</formula1>
    </dataValidation>
    <dataValidation type="list" allowBlank="1" showInputMessage="1" showErrorMessage="1" sqref="E6:E45 E1" xr:uid="{349AD874-10F4-43FC-ADCF-1F746A70CD86}">
      <formula1>Product_List</formula1>
    </dataValidation>
  </dataValidations>
  <pageMargins left="0.70866141732283505" right="0.70866141732283505" top="0.74803149606299202" bottom="0.74803149606299202" header="0.31496062992126" footer="0.31496062992126"/>
  <pageSetup paperSize="9" scale="39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4D67-20B5-4D14-B41D-CAD61AE18F39}">
  <sheetPr codeName="Sheet7">
    <tabColor theme="7"/>
    <pageSetUpPr fitToPage="1"/>
  </sheetPr>
  <dimension ref="A1:AH60"/>
  <sheetViews>
    <sheetView zoomScale="85" zoomScaleNormal="85" workbookViewId="0">
      <pane xSplit="6" ySplit="1" topLeftCell="G2" activePane="bottomRight" state="frozen"/>
      <selection pane="topRight" activeCell="AB1" sqref="AB1:AD1048576"/>
      <selection pane="bottomLeft" activeCell="AB1" sqref="AB1:AD1048576"/>
      <selection pane="bottomRight" activeCell="H27" sqref="H27"/>
    </sheetView>
  </sheetViews>
  <sheetFormatPr defaultColWidth="8" defaultRowHeight="14.5" outlineLevelCol="1"/>
  <cols>
    <col min="1" max="1" width="12.08984375" style="47" bestFit="1" customWidth="1"/>
    <col min="2" max="2" width="14.08984375" style="57" customWidth="1"/>
    <col min="3" max="3" width="9.7265625" style="48" hidden="1" customWidth="1" outlineLevel="1"/>
    <col min="4" max="4" width="10.36328125" style="47" bestFit="1" customWidth="1" collapsed="1"/>
    <col min="5" max="5" width="15.90625" style="47" bestFit="1" customWidth="1"/>
    <col min="6" max="6" width="25.36328125" style="174" customWidth="1"/>
    <col min="7" max="7" width="16.7265625" style="47" bestFit="1" customWidth="1"/>
    <col min="8" max="8" width="10.7265625" style="61" customWidth="1"/>
    <col min="9" max="9" width="11.36328125" style="47" bestFit="1" customWidth="1" outlineLevel="1"/>
    <col min="10" max="17" width="11.08984375" style="47" bestFit="1" customWidth="1" outlineLevel="1"/>
    <col min="18" max="18" width="11.08984375" style="50" bestFit="1" customWidth="1"/>
    <col min="19" max="20" width="11.36328125" style="50" bestFit="1" customWidth="1"/>
    <col min="21" max="21" width="11.36328125" style="47" bestFit="1" customWidth="1"/>
    <col min="22" max="27" width="12.7265625" style="47" bestFit="1" customWidth="1"/>
    <col min="28" max="29" width="11.36328125" style="47" bestFit="1" customWidth="1"/>
    <col min="30" max="30" width="16.7265625" style="47" bestFit="1" customWidth="1"/>
    <col min="31" max="31" width="19.90625" style="47" bestFit="1" customWidth="1"/>
    <col min="32" max="33" width="8" style="47"/>
    <col min="34" max="34" width="12.26953125" style="47" bestFit="1" customWidth="1"/>
    <col min="35" max="16384" width="8" style="47"/>
  </cols>
  <sheetData>
    <row r="1" spans="1:34" ht="13.5">
      <c r="A1" s="3"/>
      <c r="B1" s="3"/>
      <c r="C1" s="3"/>
      <c r="D1" s="3"/>
      <c r="E1" s="3"/>
      <c r="F1" s="38"/>
      <c r="G1" s="38" t="s">
        <v>622</v>
      </c>
      <c r="H1" s="38"/>
      <c r="I1" s="34"/>
      <c r="J1" s="2" t="s">
        <v>623</v>
      </c>
      <c r="K1" s="2" t="s">
        <v>623</v>
      </c>
      <c r="L1" s="2" t="s">
        <v>623</v>
      </c>
      <c r="M1" s="2" t="s">
        <v>623</v>
      </c>
      <c r="N1" s="2" t="s">
        <v>623</v>
      </c>
      <c r="O1" s="2" t="s">
        <v>623</v>
      </c>
      <c r="P1" s="2" t="s">
        <v>623</v>
      </c>
      <c r="Q1" s="2" t="s">
        <v>623</v>
      </c>
      <c r="R1" s="2" t="s">
        <v>623</v>
      </c>
      <c r="S1" s="2" t="s">
        <v>623</v>
      </c>
      <c r="T1" s="2" t="s">
        <v>623</v>
      </c>
      <c r="U1" s="2" t="s">
        <v>623</v>
      </c>
      <c r="V1" s="2" t="s">
        <v>623</v>
      </c>
      <c r="W1" s="2" t="s">
        <v>623</v>
      </c>
      <c r="X1" s="2" t="s">
        <v>623</v>
      </c>
      <c r="Y1" s="2" t="s">
        <v>623</v>
      </c>
      <c r="Z1" s="2" t="s">
        <v>623</v>
      </c>
      <c r="AA1" s="2" t="s">
        <v>623</v>
      </c>
      <c r="AB1" s="2" t="s">
        <v>623</v>
      </c>
      <c r="AC1" s="2" t="s">
        <v>623</v>
      </c>
      <c r="AD1" s="2"/>
      <c r="AE1" s="3"/>
      <c r="AF1" s="3"/>
      <c r="AG1" s="3"/>
      <c r="AH1" s="3"/>
    </row>
    <row r="2" spans="1:34" ht="13">
      <c r="A2" s="3"/>
      <c r="B2" s="3"/>
      <c r="C2" s="3"/>
      <c r="D2" s="3"/>
      <c r="E2" s="3"/>
      <c r="F2" s="38"/>
      <c r="G2" s="38" t="s">
        <v>27</v>
      </c>
      <c r="H2" s="49"/>
      <c r="I2" s="63"/>
      <c r="J2" s="195" cm="1">
        <f t="array" aca="1" ref="J2" ca="1">SUMPRODUCT((BE_NL[Product Category]=$G2)*SUBTOTAL(109,OFFSET(INDEX(BE_NL[26M04],1),ROW(BE_NL[26M04])-MIN(ROW(BE_NL[26M04])),0,1)))</f>
        <v>0</v>
      </c>
      <c r="K2" s="195" cm="1">
        <f t="array" aca="1" ref="K2" ca="1">SUMPRODUCT((BE_NL[Product Category]=$G2)*SUBTOTAL(109,OFFSET(INDEX(BE_NL[26M05],1),ROW(BE_NL[26M05])-MIN(ROW(BE_NL[26M05])),0,1)))</f>
        <v>0</v>
      </c>
      <c r="L2" s="195" cm="1">
        <f t="array" aca="1" ref="L2" ca="1">SUMPRODUCT((BE_NL[Product Category]=$G2)*SUBTOTAL(109,OFFSET(INDEX(BE_NL[26M06],1),ROW(BE_NL[26M06])-MIN(ROW(BE_NL[26M06])),0,1)))</f>
        <v>0</v>
      </c>
      <c r="M2" s="195" cm="1">
        <f t="array" aca="1" ref="M2" ca="1">SUMPRODUCT((BE_NL[Product Category]=$G2)*SUBTOTAL(109,OFFSET(INDEX(BE_NL[26M07],1),ROW(BE_NL[26M07])-MIN(ROW(BE_NL[26M07])),0,1)))</f>
        <v>0</v>
      </c>
      <c r="N2" s="195" cm="1">
        <f t="array" aca="1" ref="N2" ca="1">SUMPRODUCT((BE_NL[Product Category]=$G2)*SUBTOTAL(109,OFFSET(INDEX(BE_NL[26M08],1),ROW(BE_NL[26M08])-MIN(ROW(BE_NL[26M08])),0,1)))</f>
        <v>0</v>
      </c>
      <c r="O2" s="195" cm="1">
        <f t="array" aca="1" ref="O2" ca="1">SUMPRODUCT((BE_NL[Product Category]=$G2)*SUBTOTAL(109,OFFSET(INDEX(BE_NL[26M09],1),ROW(BE_NL[26M09])-MIN(ROW(BE_NL[26M09])),0,1)))</f>
        <v>0</v>
      </c>
      <c r="P2" s="195" cm="1">
        <f t="array" aca="1" ref="P2" ca="1">SUMPRODUCT((BE_NL[Product Category]=$G2)*SUBTOTAL(109,OFFSET(INDEX(BE_NL[26M10],1),ROW(BE_NL[26M10])-MIN(ROW(BE_NL[26M10])),0,1)))</f>
        <v>0</v>
      </c>
      <c r="Q2" s="195" cm="1">
        <f t="array" aca="1" ref="Q2" ca="1">SUMPRODUCT((BE_NL[Product Category]=$G2)*SUBTOTAL(109,OFFSET(INDEX(BE_NL[26M11],1),ROW(BE_NL[26M11])-MIN(ROW(BE_NL[26M11])),0,1)))</f>
        <v>0</v>
      </c>
      <c r="R2" s="195" cm="1">
        <f t="array" aca="1" ref="R2" ca="1">SUMPRODUCT((BE_NL[Product Category]=$G2)*SUBTOTAL(109,OFFSET(INDEX(BE_NL[26M12],1),ROW(BE_NL[26M12])-MIN(ROW(BE_NL[26M12])),0,1)))</f>
        <v>0</v>
      </c>
      <c r="S2" s="195" cm="1">
        <f t="array" aca="1" ref="S2" ca="1">SUMPRODUCT((BE_NL[Product Category]=$G2)*SUBTOTAL(109,OFFSET(INDEX(BE_NL[26Q2],1),ROW(BE_NL[26Q2])-MIN(ROW(BE_NL[26Q2])),0,1)))</f>
        <v>0</v>
      </c>
      <c r="T2" s="195" cm="1">
        <f t="array" aca="1" ref="T2" ca="1">SUMPRODUCT((BE_NL[Product Category]=$G2)*SUBTOTAL(109,OFFSET(INDEX(BE_NL[26Q3],1),ROW(BE_NL[26Q3])-MIN(ROW(BE_NL[26Q3])),0,1)))</f>
        <v>0</v>
      </c>
      <c r="U2" s="195" cm="1">
        <f t="array" aca="1" ref="U2" ca="1">SUMPRODUCT((BE_NL[Product Category]=$G2)*SUBTOTAL(109,OFFSET(INDEX(BE_NL[26Q4],1),ROW(BE_NL[26Q4])-MIN(ROW(BE_NL[26Q4])),0,1)))</f>
        <v>0</v>
      </c>
      <c r="V2" s="195" cm="1">
        <f t="array" aca="1" ref="V2" ca="1">SUMPRODUCT((BE_NL[Product Category]=$G2)*SUBTOTAL(109,OFFSET(INDEX(BE_NL[27M01],1),ROW(BE_NL[27M01])-MIN(ROW(BE_NL[27M01])),0,1)))</f>
        <v>0</v>
      </c>
      <c r="W2" s="195" cm="1">
        <f t="array" aca="1" ref="W2" ca="1">SUMPRODUCT((BE_NL[Product Category]=$G2)*SUBTOTAL(109,OFFSET(INDEX(BE_NL[27M02],1),ROW(BE_NL[27M02])-MIN(ROW(BE_NL[27M02])),0,1)))</f>
        <v>0</v>
      </c>
      <c r="X2" s="195" cm="1">
        <f t="array" aca="1" ref="X2" ca="1">SUMPRODUCT((BE_NL[Product Category]=$G2)*SUBTOTAL(109,OFFSET(INDEX(BE_NL[27M03],1),ROW(BE_NL[27M03])-MIN(ROW(BE_NL[27M03])),0,1)))</f>
        <v>0</v>
      </c>
      <c r="Y2" s="195" cm="1">
        <f t="array" aca="1" ref="Y2" ca="1">SUMPRODUCT((BE_NL[Product Category]=$G2)*SUBTOTAL(109,OFFSET(INDEX(BE_NL[27M04],1),ROW(BE_NL[27M04])-MIN(ROW(BE_NL[27M04])),0,1)))</f>
        <v>0</v>
      </c>
      <c r="Z2" s="195" cm="1">
        <f t="array" aca="1" ref="Z2" ca="1">SUMPRODUCT((BE_NL[Product Category]=$G2)*SUBTOTAL(109,OFFSET(INDEX(BE_NL[27M05],1),ROW(BE_NL[27M05])-MIN(ROW(BE_NL[27M05])),0,1)))</f>
        <v>0</v>
      </c>
      <c r="AA2" s="195" cm="1">
        <f t="array" aca="1" ref="AA2" ca="1">SUMPRODUCT((BE_NL[Product Category]=$G2)*SUBTOTAL(109,OFFSET(INDEX(BE_NL[27M06],1),ROW(BE_NL[27M06])-MIN(ROW(BE_NL[27M06])),0,1)))</f>
        <v>0</v>
      </c>
      <c r="AB2" s="195" cm="1">
        <f t="array" aca="1" ref="AB2" ca="1">SUMPRODUCT((BE_NL[Product Category]=$G2)*SUBTOTAL(109,OFFSET(INDEX(BE_NL[27Q1],1),ROW(BE_NL[27Q1])-MIN(ROW(BE_NL[27Q1])),0,1)))</f>
        <v>0</v>
      </c>
      <c r="AC2" s="195" cm="1">
        <f t="array" aca="1" ref="AC2" ca="1">SUMPRODUCT((BE_NL[Product Category]=$G2)*SUBTOTAL(109,OFFSET(INDEX(BE_NL[27Q2],1),ROW(BE_NL[27Q2])-MIN(ROW(BE_NL[27Q2])),0,1)))</f>
        <v>0</v>
      </c>
      <c r="AD2" s="255"/>
      <c r="AE2" s="3"/>
      <c r="AF2" s="3"/>
      <c r="AG2" s="3"/>
      <c r="AH2" s="3"/>
    </row>
    <row r="3" spans="1:34" ht="13">
      <c r="A3" s="3"/>
      <c r="B3" s="3"/>
      <c r="C3" s="3"/>
      <c r="D3" s="3"/>
      <c r="E3" s="3"/>
      <c r="F3" s="38"/>
      <c r="G3" s="38" t="s">
        <v>87</v>
      </c>
      <c r="H3" s="49"/>
      <c r="I3" s="63"/>
      <c r="J3" s="195" cm="1">
        <f t="array" aca="1" ref="J3" ca="1">SUMPRODUCT((BE_NL[Product Category]=$G3)*SUBTOTAL(109,OFFSET(INDEX(BE_NL[26M04],1),ROW(BE_NL[26M04])-MIN(ROW(BE_NL[26M04])),0,1)))</f>
        <v>0</v>
      </c>
      <c r="K3" s="195" cm="1">
        <f t="array" aca="1" ref="K3" ca="1">SUMPRODUCT((BE_NL[Product Category]=$G3)*SUBTOTAL(109,OFFSET(INDEX(BE_NL[26M05],1),ROW(BE_NL[26M05])-MIN(ROW(BE_NL[26M05])),0,1)))</f>
        <v>0</v>
      </c>
      <c r="L3" s="195" cm="1">
        <f t="array" aca="1" ref="L3" ca="1">SUMPRODUCT((BE_NL[Product Category]=$G3)*SUBTOTAL(109,OFFSET(INDEX(BE_NL[26M06],1),ROW(BE_NL[26M06])-MIN(ROW(BE_NL[26M06])),0,1)))</f>
        <v>0</v>
      </c>
      <c r="M3" s="195" cm="1">
        <f t="array" aca="1" ref="M3" ca="1">SUMPRODUCT((BE_NL[Product Category]=$G3)*SUBTOTAL(109,OFFSET(INDEX(BE_NL[26M07],1),ROW(BE_NL[26M07])-MIN(ROW(BE_NL[26M07])),0,1)))</f>
        <v>0</v>
      </c>
      <c r="N3" s="195" cm="1">
        <f t="array" aca="1" ref="N3" ca="1">SUMPRODUCT((BE_NL[Product Category]=$G3)*SUBTOTAL(109,OFFSET(INDEX(BE_NL[26M08],1),ROW(BE_NL[26M08])-MIN(ROW(BE_NL[26M08])),0,1)))</f>
        <v>0</v>
      </c>
      <c r="O3" s="195" cm="1">
        <f t="array" aca="1" ref="O3" ca="1">SUMPRODUCT((BE_NL[Product Category]=$G3)*SUBTOTAL(109,OFFSET(INDEX(BE_NL[26M09],1),ROW(BE_NL[26M09])-MIN(ROW(BE_NL[26M09])),0,1)))</f>
        <v>0</v>
      </c>
      <c r="P3" s="195" cm="1">
        <f t="array" aca="1" ref="P3" ca="1">SUMPRODUCT((BE_NL[Product Category]=$G3)*SUBTOTAL(109,OFFSET(INDEX(BE_NL[26M10],1),ROW(BE_NL[26M10])-MIN(ROW(BE_NL[26M10])),0,1)))</f>
        <v>0</v>
      </c>
      <c r="Q3" s="195" cm="1">
        <f t="array" aca="1" ref="Q3" ca="1">SUMPRODUCT((BE_NL[Product Category]=$G3)*SUBTOTAL(109,OFFSET(INDEX(BE_NL[26M11],1),ROW(BE_NL[26M11])-MIN(ROW(BE_NL[26M11])),0,1)))</f>
        <v>0</v>
      </c>
      <c r="R3" s="195" cm="1">
        <f t="array" aca="1" ref="R3" ca="1">SUMPRODUCT((BE_NL[Product Category]=$G3)*SUBTOTAL(109,OFFSET(INDEX(BE_NL[26M12],1),ROW(BE_NL[26M12])-MIN(ROW(BE_NL[26M12])),0,1)))</f>
        <v>0</v>
      </c>
      <c r="S3" s="195" cm="1">
        <f t="array" aca="1" ref="S3" ca="1">SUMPRODUCT((BE_NL[Product Category]=$G3)*SUBTOTAL(109,OFFSET(INDEX(BE_NL[26Q2],1),ROW(BE_NL[26Q2])-MIN(ROW(BE_NL[26Q2])),0,1)))</f>
        <v>0</v>
      </c>
      <c r="T3" s="195" cm="1">
        <f t="array" aca="1" ref="T3" ca="1">SUMPRODUCT((BE_NL[Product Category]=$G3)*SUBTOTAL(109,OFFSET(INDEX(BE_NL[26Q3],1),ROW(BE_NL[26Q3])-MIN(ROW(BE_NL[26Q3])),0,1)))</f>
        <v>0</v>
      </c>
      <c r="U3" s="195" cm="1">
        <f t="array" aca="1" ref="U3" ca="1">SUMPRODUCT((BE_NL[Product Category]=$G3)*SUBTOTAL(109,OFFSET(INDEX(BE_NL[26Q4],1),ROW(BE_NL[26Q4])-MIN(ROW(BE_NL[26Q4])),0,1)))</f>
        <v>0</v>
      </c>
      <c r="V3" s="195" cm="1">
        <f t="array" aca="1" ref="V3" ca="1">SUMPRODUCT((BE_NL[Product Category]=$G3)*SUBTOTAL(109,OFFSET(INDEX(BE_NL[27M01],1),ROW(BE_NL[27M01])-MIN(ROW(BE_NL[27M01])),0,1)))</f>
        <v>0</v>
      </c>
      <c r="W3" s="195" cm="1">
        <f t="array" aca="1" ref="W3" ca="1">SUMPRODUCT((BE_NL[Product Category]=$G3)*SUBTOTAL(109,OFFSET(INDEX(BE_NL[27M02],1),ROW(BE_NL[27M02])-MIN(ROW(BE_NL[27M02])),0,1)))</f>
        <v>0</v>
      </c>
      <c r="X3" s="195" cm="1">
        <f t="array" aca="1" ref="X3" ca="1">SUMPRODUCT((BE_NL[Product Category]=$G3)*SUBTOTAL(109,OFFSET(INDEX(BE_NL[27M03],1),ROW(BE_NL[27M03])-MIN(ROW(BE_NL[27M03])),0,1)))</f>
        <v>0</v>
      </c>
      <c r="Y3" s="195" cm="1">
        <f t="array" aca="1" ref="Y3" ca="1">SUMPRODUCT((BE_NL[Product Category]=$G3)*SUBTOTAL(109,OFFSET(INDEX(BE_NL[27M04],1),ROW(BE_NL[27M04])-MIN(ROW(BE_NL[27M04])),0,1)))</f>
        <v>0</v>
      </c>
      <c r="Z3" s="195" cm="1">
        <f t="array" aca="1" ref="Z3" ca="1">SUMPRODUCT((BE_NL[Product Category]=$G3)*SUBTOTAL(109,OFFSET(INDEX(BE_NL[27M05],1),ROW(BE_NL[27M05])-MIN(ROW(BE_NL[27M05])),0,1)))</f>
        <v>0</v>
      </c>
      <c r="AA3" s="195" cm="1">
        <f t="array" aca="1" ref="AA3" ca="1">SUMPRODUCT((BE_NL[Product Category]=$G3)*SUBTOTAL(109,OFFSET(INDEX(BE_NL[27M06],1),ROW(BE_NL[27M06])-MIN(ROW(BE_NL[27M06])),0,1)))</f>
        <v>0</v>
      </c>
      <c r="AB3" s="195" cm="1">
        <f t="array" aca="1" ref="AB3" ca="1">SUMPRODUCT((BE_NL[Product Category]=$G3)*SUBTOTAL(109,OFFSET(INDEX(BE_NL[27Q1],1),ROW(BE_NL[27Q1])-MIN(ROW(BE_NL[27Q1])),0,1)))</f>
        <v>0</v>
      </c>
      <c r="AC3" s="195" cm="1">
        <f t="array" aca="1" ref="AC3" ca="1">SUMPRODUCT((BE_NL[Product Category]=$G3)*SUBTOTAL(109,OFFSET(INDEX(BE_NL[27Q2],1),ROW(BE_NL[27Q2])-MIN(ROW(BE_NL[27Q2])),0,1)))</f>
        <v>0</v>
      </c>
      <c r="AD3" s="255"/>
      <c r="AE3" s="3"/>
      <c r="AF3" s="3"/>
      <c r="AG3" s="3"/>
      <c r="AH3" s="3"/>
    </row>
    <row r="4" spans="1:34" ht="13">
      <c r="A4" s="3"/>
      <c r="B4" s="3"/>
      <c r="C4" s="3"/>
      <c r="D4" s="3"/>
      <c r="E4" s="3"/>
      <c r="F4" s="3"/>
      <c r="G4" s="38" t="s">
        <v>70</v>
      </c>
      <c r="H4" s="49"/>
      <c r="I4" s="64"/>
      <c r="J4" s="195" cm="1">
        <f t="array" aca="1" ref="J4" ca="1">SUMPRODUCT((BE_NL[Product Category]=$G4)*SUBTOTAL(109,OFFSET(INDEX(BE_NL[26M04],1),ROW(BE_NL[26M04])-MIN(ROW(BE_NL[26M04])),0,1)))</f>
        <v>1.69</v>
      </c>
      <c r="K4" s="195" cm="1">
        <f t="array" aca="1" ref="K4" ca="1">SUMPRODUCT((BE_NL[Product Category]=$G4)*SUBTOTAL(109,OFFSET(INDEX(BE_NL[26M05],1),ROW(BE_NL[26M05])-MIN(ROW(BE_NL[26M05])),0,1)))</f>
        <v>5.43</v>
      </c>
      <c r="L4" s="195" cm="1">
        <f t="array" aca="1" ref="L4" ca="1">SUMPRODUCT((BE_NL[Product Category]=$G4)*SUBTOTAL(109,OFFSET(INDEX(BE_NL[26M06],1),ROW(BE_NL[26M06])-MIN(ROW(BE_NL[26M06])),0,1)))</f>
        <v>8.56</v>
      </c>
      <c r="M4" s="195" cm="1">
        <f t="array" aca="1" ref="M4" ca="1">SUMPRODUCT((BE_NL[Product Category]=$G4)*SUBTOTAL(109,OFFSET(INDEX(BE_NL[26M07],1),ROW(BE_NL[26M07])-MIN(ROW(BE_NL[26M07])),0,1)))</f>
        <v>5.379999999999999</v>
      </c>
      <c r="N4" s="195" cm="1">
        <f t="array" aca="1" ref="N4" ca="1">SUMPRODUCT((BE_NL[Product Category]=$G4)*SUBTOTAL(109,OFFSET(INDEX(BE_NL[26M08],1),ROW(BE_NL[26M08])-MIN(ROW(BE_NL[26M08])),0,1)))</f>
        <v>2.94</v>
      </c>
      <c r="O4" s="195" cm="1">
        <f t="array" aca="1" ref="O4" ca="1">SUMPRODUCT((BE_NL[Product Category]=$G4)*SUBTOTAL(109,OFFSET(INDEX(BE_NL[26M09],1),ROW(BE_NL[26M09])-MIN(ROW(BE_NL[26M09])),0,1)))</f>
        <v>12.92</v>
      </c>
      <c r="P4" s="195" cm="1">
        <f t="array" aca="1" ref="P4" ca="1">SUMPRODUCT((BE_NL[Product Category]=$G4)*SUBTOTAL(109,OFFSET(INDEX(BE_NL[26M10],1),ROW(BE_NL[26M10])-MIN(ROW(BE_NL[26M10])),0,1)))</f>
        <v>11.7</v>
      </c>
      <c r="Q4" s="195" cm="1">
        <f t="array" aca="1" ref="Q4" ca="1">SUMPRODUCT((BE_NL[Product Category]=$G4)*SUBTOTAL(109,OFFSET(INDEX(BE_NL[26M11],1),ROW(BE_NL[26M11])-MIN(ROW(BE_NL[26M11])),0,1)))</f>
        <v>11.100000000000001</v>
      </c>
      <c r="R4" s="195" cm="1">
        <f t="array" aca="1" ref="R4" ca="1">SUMPRODUCT((BE_NL[Product Category]=$G4)*SUBTOTAL(109,OFFSET(INDEX(BE_NL[26M12],1),ROW(BE_NL[26M12])-MIN(ROW(BE_NL[26M12])),0,1)))</f>
        <v>11</v>
      </c>
      <c r="S4" s="195" cm="1">
        <f t="array" aca="1" ref="S4" ca="1">SUMPRODUCT((BE_NL[Product Category]=$G4)*SUBTOTAL(109,OFFSET(INDEX(BE_NL[26Q2],1),ROW(BE_NL[26Q2])-MIN(ROW(BE_NL[26Q2])),0,1)))</f>
        <v>13.729999999999997</v>
      </c>
      <c r="T4" s="195" cm="1">
        <f t="array" aca="1" ref="T4" ca="1">SUMPRODUCT((BE_NL[Product Category]=$G4)*SUBTOTAL(109,OFFSET(INDEX(BE_NL[26Q3],1),ROW(BE_NL[26Q3])-MIN(ROW(BE_NL[26Q3])),0,1)))</f>
        <v>21.239999999999995</v>
      </c>
      <c r="U4" s="195" cm="1">
        <f t="array" aca="1" ref="U4" ca="1">SUMPRODUCT((BE_NL[Product Category]=$G4)*SUBTOTAL(109,OFFSET(INDEX(BE_NL[26Q4],1),ROW(BE_NL[26Q4])-MIN(ROW(BE_NL[26Q4])),0,1)))</f>
        <v>33.800000000000011</v>
      </c>
      <c r="V4" s="195" cm="1">
        <f t="array" aca="1" ref="V4" ca="1">SUMPRODUCT((BE_NL[Product Category]=$G4)*SUBTOTAL(109,OFFSET(INDEX(BE_NL[27M01],1),ROW(BE_NL[27M01])-MIN(ROW(BE_NL[27M01])),0,1)))</f>
        <v>0</v>
      </c>
      <c r="W4" s="195" cm="1">
        <f t="array" aca="1" ref="W4" ca="1">SUMPRODUCT((BE_NL[Product Category]=$G4)*SUBTOTAL(109,OFFSET(INDEX(BE_NL[27M02],1),ROW(BE_NL[27M02])-MIN(ROW(BE_NL[27M02])),0,1)))</f>
        <v>0</v>
      </c>
      <c r="X4" s="195" cm="1">
        <f t="array" aca="1" ref="X4" ca="1">SUMPRODUCT((BE_NL[Product Category]=$G4)*SUBTOTAL(109,OFFSET(INDEX(BE_NL[27M03],1),ROW(BE_NL[27M03])-MIN(ROW(BE_NL[27M03])),0,1)))</f>
        <v>0</v>
      </c>
      <c r="Y4" s="195" cm="1">
        <f t="array" aca="1" ref="Y4" ca="1">SUMPRODUCT((BE_NL[Product Category]=$G4)*SUBTOTAL(109,OFFSET(INDEX(BE_NL[27M04],1),ROW(BE_NL[27M04])-MIN(ROW(BE_NL[27M04])),0,1)))</f>
        <v>0</v>
      </c>
      <c r="Z4" s="195" cm="1">
        <f t="array" aca="1" ref="Z4" ca="1">SUMPRODUCT((BE_NL[Product Category]=$G4)*SUBTOTAL(109,OFFSET(INDEX(BE_NL[27M05],1),ROW(BE_NL[27M05])-MIN(ROW(BE_NL[27M05])),0,1)))</f>
        <v>0</v>
      </c>
      <c r="AA4" s="195" cm="1">
        <f t="array" aca="1" ref="AA4" ca="1">SUMPRODUCT((BE_NL[Product Category]=$G4)*SUBTOTAL(109,OFFSET(INDEX(BE_NL[27M06],1),ROW(BE_NL[27M06])-MIN(ROW(BE_NL[27M06])),0,1)))</f>
        <v>0</v>
      </c>
      <c r="AB4" s="195" cm="1">
        <f t="array" aca="1" ref="AB4" ca="1">SUMPRODUCT((BE_NL[Product Category]=$G4)*SUBTOTAL(109,OFFSET(INDEX(BE_NL[27Q1],1),ROW(BE_NL[27Q1])-MIN(ROW(BE_NL[27Q1])),0,1)))</f>
        <v>0</v>
      </c>
      <c r="AC4" s="195" cm="1">
        <f t="array" aca="1" ref="AC4" ca="1">SUMPRODUCT((BE_NL[Product Category]=$G4)*SUBTOTAL(109,OFFSET(INDEX(BE_NL[27Q2],1),ROW(BE_NL[27Q2])-MIN(ROW(BE_NL[27Q2])),0,1)))</f>
        <v>0</v>
      </c>
      <c r="AD4" s="255"/>
      <c r="AE4" s="3"/>
      <c r="AF4" s="3"/>
      <c r="AG4" s="3"/>
      <c r="AH4" s="3"/>
    </row>
    <row r="5" spans="1:34" ht="14">
      <c r="A5" s="10" t="s">
        <v>45</v>
      </c>
      <c r="B5" s="11" t="s">
        <v>1</v>
      </c>
      <c r="C5" s="10" t="s">
        <v>92</v>
      </c>
      <c r="D5" s="10" t="s">
        <v>624</v>
      </c>
      <c r="E5" s="10" t="s">
        <v>3</v>
      </c>
      <c r="F5" s="10" t="s">
        <v>28</v>
      </c>
      <c r="G5" s="11" t="s">
        <v>5</v>
      </c>
      <c r="H5" s="11" t="s">
        <v>93</v>
      </c>
      <c r="I5" s="9" t="s">
        <v>94</v>
      </c>
      <c r="J5" s="12" t="s">
        <v>95</v>
      </c>
      <c r="K5" s="12" t="s">
        <v>96</v>
      </c>
      <c r="L5" s="12" t="s">
        <v>97</v>
      </c>
      <c r="M5" s="12" t="s">
        <v>98</v>
      </c>
      <c r="N5" s="12" t="s">
        <v>99</v>
      </c>
      <c r="O5" s="12" t="s">
        <v>625</v>
      </c>
      <c r="P5" s="12" t="s">
        <v>34</v>
      </c>
      <c r="Q5" s="12" t="s">
        <v>101</v>
      </c>
      <c r="R5" s="12" t="s">
        <v>36</v>
      </c>
      <c r="S5" s="193" t="s">
        <v>626</v>
      </c>
      <c r="T5" s="193" t="s">
        <v>627</v>
      </c>
      <c r="U5" s="107" t="s">
        <v>628</v>
      </c>
      <c r="V5" s="107" t="s">
        <v>629</v>
      </c>
      <c r="W5" s="107" t="s">
        <v>103</v>
      </c>
      <c r="X5" s="107" t="s">
        <v>104</v>
      </c>
      <c r="Y5" s="107" t="s">
        <v>105</v>
      </c>
      <c r="Z5" s="107" t="s">
        <v>106</v>
      </c>
      <c r="AA5" s="107" t="s">
        <v>107</v>
      </c>
      <c r="AB5" s="107" t="s">
        <v>630</v>
      </c>
      <c r="AC5" s="107" t="s">
        <v>631</v>
      </c>
      <c r="AD5" s="107" t="s">
        <v>632</v>
      </c>
      <c r="AE5" s="78" t="s">
        <v>26</v>
      </c>
      <c r="AF5" s="36"/>
      <c r="AG5" s="36"/>
      <c r="AH5" s="36"/>
    </row>
    <row r="6" spans="1:34" ht="16.5">
      <c r="A6" s="59" t="s">
        <v>80</v>
      </c>
      <c r="B6" s="57" t="s">
        <v>127</v>
      </c>
      <c r="C6" s="48" t="s">
        <v>128</v>
      </c>
      <c r="D6" s="2" t="str">
        <f>VLOOKUP(BE_NL[[#This Row],[Product Line]],Prod_T6[],5,0)</f>
        <v>TCL</v>
      </c>
      <c r="E6" s="47" t="s">
        <v>54</v>
      </c>
      <c r="F6" s="47" t="s">
        <v>129</v>
      </c>
      <c r="G6" s="176" t="s">
        <v>130</v>
      </c>
      <c r="H6" s="57" t="s">
        <v>131</v>
      </c>
      <c r="I6" s="60" t="s">
        <v>132</v>
      </c>
      <c r="J6" s="56"/>
      <c r="K6" s="56">
        <v>0.84</v>
      </c>
      <c r="L6" s="56">
        <v>0.84</v>
      </c>
      <c r="M6" s="56">
        <v>0.84</v>
      </c>
      <c r="N6" s="56">
        <v>0.84</v>
      </c>
      <c r="O6" s="56"/>
      <c r="P6" s="56"/>
      <c r="Q6" s="56"/>
      <c r="R6" s="56"/>
      <c r="S6" s="32"/>
      <c r="T6" s="69">
        <f>SUM(BE_NL[[#This Row],[26M07]:[26M09]])</f>
        <v>1.68</v>
      </c>
      <c r="U6" s="69">
        <f>SUM(BE_NL[[#This Row],[26M10]:[26M12]])</f>
        <v>0</v>
      </c>
      <c r="V6" s="256"/>
      <c r="W6" s="256"/>
      <c r="X6" s="256"/>
      <c r="Y6" s="256"/>
      <c r="Z6" s="256"/>
      <c r="AA6" s="256"/>
      <c r="AB6" s="256">
        <f>SUM(BE_NL[[#This Row],[27M01]:[27M03]])</f>
        <v>0</v>
      </c>
      <c r="AC6" s="256">
        <f>SUM(BE_NL[[#This Row],[27M04]:[27M06]])</f>
        <v>0</v>
      </c>
      <c r="AD6" s="256" t="str">
        <f>IF(SUM(BE_NL[[#This Row],[26Q2]:[26Q4]])+SUM(BE_NL[[#This Row],[27Q1]:[27Q2]])=0,"No FSCT",IF(AND(SUM(BE_NL[[#This Row],[26Q2]:[26Q4]])&gt;0,SUM(BE_NL[[#This Row],[27Q1]:[27Q2]])=0),"YES","NO"))</f>
        <v>YES</v>
      </c>
      <c r="AE6" s="85" t="str">
        <f>VLOOKUP(BE_NL[[#This Row],[Product Line]],Prod_T6[],4,0)</f>
        <v>PV</v>
      </c>
      <c r="AF6" s="2"/>
      <c r="AG6" s="2"/>
      <c r="AH6" s="2" t="str" cm="1">
        <f t="array" ref="AH6:AH59">BE_NL[Stage]</f>
        <v>7 - Booked</v>
      </c>
    </row>
    <row r="7" spans="1:34" ht="16.5">
      <c r="A7" s="59" t="s">
        <v>80</v>
      </c>
      <c r="B7" s="57" t="s">
        <v>127</v>
      </c>
      <c r="D7" s="2" t="str">
        <f>VLOOKUP(BE_NL[[#This Row],[Product Line]],Prod_T6[],5,0)</f>
        <v>TCL</v>
      </c>
      <c r="E7" s="47" t="s">
        <v>54</v>
      </c>
      <c r="F7" s="47" t="s">
        <v>129</v>
      </c>
      <c r="G7" s="176" t="s">
        <v>130</v>
      </c>
      <c r="H7" s="47" t="s">
        <v>163</v>
      </c>
      <c r="I7" s="60" t="s">
        <v>132</v>
      </c>
      <c r="J7" s="56"/>
      <c r="K7" s="56">
        <v>0.42</v>
      </c>
      <c r="L7" s="56">
        <v>4</v>
      </c>
      <c r="M7" s="56">
        <v>2.2999999999999998</v>
      </c>
      <c r="N7" s="56"/>
      <c r="O7" s="56"/>
      <c r="P7" s="56"/>
      <c r="Q7" s="56"/>
      <c r="R7" s="56"/>
      <c r="S7" s="32">
        <f>SUM(BE_NL[[#This Row],[26M04]:[26M06]])</f>
        <v>4.42</v>
      </c>
      <c r="T7" s="69">
        <f>SUM(BE_NL[[#This Row],[26M07]:[26M09]])</f>
        <v>2.2999999999999998</v>
      </c>
      <c r="U7" s="69">
        <f>SUM(BE_NL[[#This Row],[26M10]:[26M12]])</f>
        <v>0</v>
      </c>
      <c r="V7" s="256"/>
      <c r="W7" s="256"/>
      <c r="X7" s="256"/>
      <c r="Y7" s="256"/>
      <c r="Z7" s="256"/>
      <c r="AA7" s="256"/>
      <c r="AB7" s="256">
        <f>SUM(BE_NL[[#This Row],[27M01]:[27M03]])</f>
        <v>0</v>
      </c>
      <c r="AC7" s="256">
        <f>SUM(BE_NL[[#This Row],[27M04]:[27M06]])</f>
        <v>0</v>
      </c>
      <c r="AD7" s="256" t="str">
        <f>IF(SUM(BE_NL[[#This Row],[26Q2]:[26Q4]])+SUM(BE_NL[[#This Row],[27Q1]:[27Q2]])=0,"No FSCT",IF(AND(SUM(BE_NL[[#This Row],[26Q2]:[26Q4]])&gt;0,SUM(BE_NL[[#This Row],[27Q1]:[27Q2]])=0),"YES","NO"))</f>
        <v>YES</v>
      </c>
      <c r="AE7" s="85" t="str">
        <f>VLOOKUP(BE_NL[[#This Row],[Product Line]],Prod_T6[],4,0)</f>
        <v>PV</v>
      </c>
      <c r="AF7" s="2"/>
      <c r="AG7" s="2"/>
      <c r="AH7" s="2" t="str">
        <v>7 - Booked</v>
      </c>
    </row>
    <row r="8" spans="1:34" ht="16.5">
      <c r="A8" s="59" t="s">
        <v>80</v>
      </c>
      <c r="B8" s="57" t="s">
        <v>127</v>
      </c>
      <c r="D8" s="2" t="str">
        <f>VLOOKUP(BE_NL[[#This Row],[Product Line]],Prod_T6[],5,0)</f>
        <v>TCL</v>
      </c>
      <c r="E8" s="47" t="s">
        <v>149</v>
      </c>
      <c r="F8" s="47" t="s">
        <v>152</v>
      </c>
      <c r="G8" s="176" t="s">
        <v>130</v>
      </c>
      <c r="H8" s="47" t="s">
        <v>131</v>
      </c>
      <c r="I8" s="60" t="s">
        <v>132</v>
      </c>
      <c r="J8" s="56"/>
      <c r="K8" s="56"/>
      <c r="L8" s="56"/>
      <c r="M8" s="56"/>
      <c r="N8" s="56">
        <v>2</v>
      </c>
      <c r="O8" s="56">
        <v>2</v>
      </c>
      <c r="P8" s="56">
        <v>2</v>
      </c>
      <c r="Q8" s="56"/>
      <c r="R8" s="56"/>
      <c r="S8" s="32">
        <f>SUM(BE_NL[[#This Row],[26M04]:[26M06]])</f>
        <v>0</v>
      </c>
      <c r="T8" s="69">
        <f>SUM(BE_NL[[#This Row],[26M07]:[26M09]])</f>
        <v>4</v>
      </c>
      <c r="U8" s="69">
        <f>SUM(BE_NL[[#This Row],[26M10]:[26M12]])</f>
        <v>2</v>
      </c>
      <c r="V8" s="256"/>
      <c r="W8" s="256"/>
      <c r="X8" s="256"/>
      <c r="Y8" s="256"/>
      <c r="Z8" s="256"/>
      <c r="AA8" s="256"/>
      <c r="AB8" s="256">
        <f>SUM(BE_NL[[#This Row],[27M01]:[27M03]])</f>
        <v>0</v>
      </c>
      <c r="AC8" s="256">
        <f>SUM(BE_NL[[#This Row],[27M04]:[27M06]])</f>
        <v>0</v>
      </c>
      <c r="AD8" s="256" t="str">
        <f>IF(SUM(BE_NL[[#This Row],[26Q2]:[26Q4]])+SUM(BE_NL[[#This Row],[27Q1]:[27Q2]])=0,"No FSCT",IF(AND(SUM(BE_NL[[#This Row],[26Q2]:[26Q4]])&gt;0,SUM(BE_NL[[#This Row],[27Q1]:[27Q2]])=0),"YES","NO"))</f>
        <v>YES</v>
      </c>
      <c r="AE8" s="85" t="str">
        <f>VLOOKUP(BE_NL[[#This Row],[Product Line]],Prod_T6[],4,0)</f>
        <v>PV</v>
      </c>
      <c r="AF8" s="2"/>
      <c r="AG8" s="2"/>
      <c r="AH8" s="2" t="str">
        <v>7 - Booked</v>
      </c>
    </row>
    <row r="9" spans="1:34" ht="16.5">
      <c r="A9" s="59" t="s">
        <v>80</v>
      </c>
      <c r="B9" s="57" t="s">
        <v>127</v>
      </c>
      <c r="D9" s="2" t="str">
        <f>VLOOKUP(BE_NL[[#This Row],[Product Line]],Prod_T6[],5,0)</f>
        <v>TCL</v>
      </c>
      <c r="E9" s="47" t="s">
        <v>113</v>
      </c>
      <c r="F9" s="47" t="s">
        <v>153</v>
      </c>
      <c r="G9" s="176" t="s">
        <v>136</v>
      </c>
      <c r="H9" s="153" t="s">
        <v>151</v>
      </c>
      <c r="I9" s="60" t="s">
        <v>162</v>
      </c>
      <c r="J9" s="56"/>
      <c r="K9" s="56"/>
      <c r="L9" s="56"/>
      <c r="M9" s="56"/>
      <c r="N9" s="56"/>
      <c r="O9" s="56"/>
      <c r="P9" s="56">
        <v>1</v>
      </c>
      <c r="Q9" s="56">
        <v>1</v>
      </c>
      <c r="R9" s="56">
        <v>1</v>
      </c>
      <c r="S9" s="32">
        <f>SUM(BE_NL[[#This Row],[26M04]:[26M06]])</f>
        <v>0</v>
      </c>
      <c r="T9" s="69">
        <f>SUM(BE_NL[[#This Row],[26M07]:[26M09]])</f>
        <v>0</v>
      </c>
      <c r="U9" s="69">
        <f>SUM(BE_NL[[#This Row],[26M10]:[26M12]])</f>
        <v>3</v>
      </c>
      <c r="V9" s="256"/>
      <c r="W9" s="256"/>
      <c r="X9" s="256"/>
      <c r="Y9" s="256"/>
      <c r="Z9" s="256"/>
      <c r="AA9" s="256"/>
      <c r="AB9" s="256">
        <f>SUM(BE_NL[[#This Row],[27M01]:[27M03]])</f>
        <v>0</v>
      </c>
      <c r="AC9" s="256">
        <f>SUM(BE_NL[[#This Row],[27M04]:[27M06]])</f>
        <v>0</v>
      </c>
      <c r="AD9" s="256" t="str">
        <f>IF(SUM(BE_NL[[#This Row],[26Q2]:[26Q4]])+SUM(BE_NL[[#This Row],[27Q1]:[27Q2]])=0,"No FSCT",IF(AND(SUM(BE_NL[[#This Row],[26Q2]:[26Q4]])&gt;0,SUM(BE_NL[[#This Row],[27Q1]:[27Q2]])=0),"YES","NO"))</f>
        <v>YES</v>
      </c>
      <c r="AE9" s="85" t="str">
        <f>VLOOKUP(BE_NL[[#This Row],[Product Line]],Prod_T6[],4,0)</f>
        <v>PV</v>
      </c>
      <c r="AF9" s="2"/>
      <c r="AG9" s="2"/>
      <c r="AH9" s="2" t="str">
        <v>3 - Negotiation</v>
      </c>
    </row>
    <row r="10" spans="1:34" ht="16.5">
      <c r="A10" s="59" t="s">
        <v>80</v>
      </c>
      <c r="B10" s="57" t="s">
        <v>127</v>
      </c>
      <c r="D10" s="2" t="str">
        <f>VLOOKUP(BE_NL[[#This Row],[Product Line]],Prod_T6[],5,0)</f>
        <v>Sunpower</v>
      </c>
      <c r="E10" s="47" t="s">
        <v>134</v>
      </c>
      <c r="F10" s="47" t="s">
        <v>135</v>
      </c>
      <c r="G10" s="180" t="s">
        <v>154</v>
      </c>
      <c r="H10" s="153" t="s">
        <v>151</v>
      </c>
      <c r="I10" s="60" t="s">
        <v>132</v>
      </c>
      <c r="J10" s="56"/>
      <c r="K10" s="56"/>
      <c r="L10" s="56"/>
      <c r="M10" s="56"/>
      <c r="N10" s="56"/>
      <c r="O10" s="56"/>
      <c r="P10" s="56"/>
      <c r="Q10" s="56">
        <v>0.4</v>
      </c>
      <c r="R10" s="56">
        <v>0.4</v>
      </c>
      <c r="S10" s="32">
        <f>SUM(BE_NL[[#This Row],[26M04]:[26M06]])</f>
        <v>0</v>
      </c>
      <c r="T10" s="69">
        <f>SUM(BE_NL[[#This Row],[26M07]:[26M09]])</f>
        <v>0</v>
      </c>
      <c r="U10" s="69">
        <f>SUM(BE_NL[[#This Row],[26M10]:[26M12]])</f>
        <v>0.8</v>
      </c>
      <c r="V10" s="256"/>
      <c r="W10" s="256"/>
      <c r="X10" s="256"/>
      <c r="Y10" s="256"/>
      <c r="Z10" s="256"/>
      <c r="AA10" s="256"/>
      <c r="AB10" s="256">
        <f>SUM(BE_NL[[#This Row],[27M01]:[27M03]])</f>
        <v>0</v>
      </c>
      <c r="AC10" s="256">
        <f>SUM(BE_NL[[#This Row],[27M04]:[27M06]])</f>
        <v>0</v>
      </c>
      <c r="AD10" s="256" t="str">
        <f>IF(SUM(BE_NL[[#This Row],[26Q2]:[26Q4]])+SUM(BE_NL[[#This Row],[27Q1]:[27Q2]])=0,"No FSCT",IF(AND(SUM(BE_NL[[#This Row],[26Q2]:[26Q4]])&gt;0,SUM(BE_NL[[#This Row],[27Q1]:[27Q2]])=0),"YES","NO"))</f>
        <v>YES</v>
      </c>
      <c r="AE10" s="85" t="str">
        <f>VLOOKUP(BE_NL[[#This Row],[Product Line]],Prod_T6[],4,0)</f>
        <v>PV</v>
      </c>
      <c r="AF10" s="2"/>
      <c r="AG10" s="2"/>
      <c r="AH10" s="2" t="str">
        <v>4 - BAFO</v>
      </c>
    </row>
    <row r="11" spans="1:34" ht="16.5">
      <c r="A11" s="59" t="s">
        <v>80</v>
      </c>
      <c r="B11" s="57" t="s">
        <v>127</v>
      </c>
      <c r="D11" s="2" t="str">
        <f>VLOOKUP(BE_NL[[#This Row],[Product Line]],Prod_T6[],5,0)</f>
        <v>TCL</v>
      </c>
      <c r="E11" s="47" t="s">
        <v>149</v>
      </c>
      <c r="F11" s="47" t="s">
        <v>155</v>
      </c>
      <c r="G11" s="182" t="s">
        <v>154</v>
      </c>
      <c r="H11" s="153" t="s">
        <v>151</v>
      </c>
      <c r="I11" s="60" t="s">
        <v>132</v>
      </c>
      <c r="J11" s="56"/>
      <c r="K11" s="56"/>
      <c r="L11" s="56"/>
      <c r="M11" s="56"/>
      <c r="N11" s="56"/>
      <c r="O11" s="56"/>
      <c r="P11" s="56">
        <v>0.4</v>
      </c>
      <c r="Q11" s="56">
        <v>0.4</v>
      </c>
      <c r="R11" s="56">
        <v>0.4</v>
      </c>
      <c r="S11" s="32">
        <f>SUM(BE_NL[[#This Row],[26M04]:[26M06]])</f>
        <v>0</v>
      </c>
      <c r="T11" s="69">
        <f>SUM(BE_NL[[#This Row],[26M07]:[26M09]])</f>
        <v>0</v>
      </c>
      <c r="U11" s="69">
        <f>SUM(BE_NL[[#This Row],[26M10]:[26M12]])</f>
        <v>1.2000000000000002</v>
      </c>
      <c r="V11" s="256"/>
      <c r="W11" s="256"/>
      <c r="X11" s="256"/>
      <c r="Y11" s="256"/>
      <c r="Z11" s="256"/>
      <c r="AA11" s="256"/>
      <c r="AB11" s="256">
        <f>SUM(BE_NL[[#This Row],[27M01]:[27M03]])</f>
        <v>0</v>
      </c>
      <c r="AC11" s="256">
        <f>SUM(BE_NL[[#This Row],[27M04]:[27M06]])</f>
        <v>0</v>
      </c>
      <c r="AD11" s="256" t="str">
        <f>IF(SUM(BE_NL[[#This Row],[26Q2]:[26Q4]])+SUM(BE_NL[[#This Row],[27Q1]:[27Q2]])=0,"No FSCT",IF(AND(SUM(BE_NL[[#This Row],[26Q2]:[26Q4]])&gt;0,SUM(BE_NL[[#This Row],[27Q1]:[27Q2]])=0),"YES","NO"))</f>
        <v>YES</v>
      </c>
      <c r="AE11" s="85" t="str">
        <f>VLOOKUP(BE_NL[[#This Row],[Product Line]],Prod_T6[],4,0)</f>
        <v>PV</v>
      </c>
      <c r="AF11" s="2"/>
      <c r="AG11" s="2"/>
      <c r="AH11" s="2" t="str">
        <v>4 - BAFO</v>
      </c>
    </row>
    <row r="12" spans="1:34" ht="16.5">
      <c r="A12" s="59" t="s">
        <v>80</v>
      </c>
      <c r="B12" s="57" t="s">
        <v>127</v>
      </c>
      <c r="C12" s="48" t="s">
        <v>128</v>
      </c>
      <c r="D12" s="2" t="str">
        <f>VLOOKUP(BE_NL[[#This Row],[Product Line]],Prod_T6[],5,0)</f>
        <v>TCL</v>
      </c>
      <c r="E12" s="47" t="s">
        <v>54</v>
      </c>
      <c r="F12" s="47" t="s">
        <v>126</v>
      </c>
      <c r="G12" s="177" t="s">
        <v>156</v>
      </c>
      <c r="H12" s="106" t="s">
        <v>157</v>
      </c>
      <c r="I12" s="60" t="s">
        <v>132</v>
      </c>
      <c r="J12" s="56"/>
      <c r="K12" s="56"/>
      <c r="L12" s="56"/>
      <c r="M12" s="56"/>
      <c r="N12" s="56"/>
      <c r="O12" s="181">
        <v>5.7</v>
      </c>
      <c r="P12" s="56"/>
      <c r="Q12" s="56"/>
      <c r="R12" s="56"/>
      <c r="S12" s="32"/>
      <c r="T12" s="69">
        <f>SUM(BE_NL[[#This Row],[26M07]:[26M09]])</f>
        <v>5.7</v>
      </c>
      <c r="U12" s="69">
        <f>SUM(BE_NL[[#This Row],[26M10]:[26M12]])</f>
        <v>0</v>
      </c>
      <c r="V12" s="256"/>
      <c r="W12" s="256"/>
      <c r="X12" s="256"/>
      <c r="Y12" s="256"/>
      <c r="Z12" s="256"/>
      <c r="AA12" s="256"/>
      <c r="AB12" s="256">
        <f>SUM(BE_NL[[#This Row],[27M01]:[27M03]])</f>
        <v>0</v>
      </c>
      <c r="AC12" s="256">
        <f>SUM(BE_NL[[#This Row],[27M04]:[27M06]])</f>
        <v>0</v>
      </c>
      <c r="AD12" s="256" t="str">
        <f>IF(SUM(BE_NL[[#This Row],[26Q2]:[26Q4]])+SUM(BE_NL[[#This Row],[27Q1]:[27Q2]])=0,"No FSCT",IF(AND(SUM(BE_NL[[#This Row],[26Q2]:[26Q4]])&gt;0,SUM(BE_NL[[#This Row],[27Q1]:[27Q2]])=0),"YES","NO"))</f>
        <v>YES</v>
      </c>
      <c r="AE12" s="85" t="str">
        <f>VLOOKUP(BE_NL[[#This Row],[Product Line]],Prod_T6[],4,0)</f>
        <v>PV</v>
      </c>
      <c r="AF12" s="2"/>
      <c r="AG12" s="2"/>
      <c r="AH12" s="2" t="str">
        <v>6 - Won</v>
      </c>
    </row>
    <row r="13" spans="1:34" ht="15.5" hidden="1">
      <c r="A13" s="59" t="s">
        <v>80</v>
      </c>
      <c r="B13" s="57" t="s">
        <v>127</v>
      </c>
      <c r="C13" s="48" t="s">
        <v>128</v>
      </c>
      <c r="D13" s="2" t="str">
        <f>VLOOKUP(BE_NL[[#This Row],[Product Line]],Prod_T6[],5,0)</f>
        <v>TCL</v>
      </c>
      <c r="E13" s="47" t="s">
        <v>54</v>
      </c>
      <c r="F13" s="47" t="s">
        <v>129</v>
      </c>
      <c r="G13" s="178" t="s">
        <v>634</v>
      </c>
      <c r="H13" s="47" t="s">
        <v>639</v>
      </c>
      <c r="I13" s="60" t="s">
        <v>132</v>
      </c>
      <c r="J13" s="56">
        <v>1.2</v>
      </c>
      <c r="K13" s="56">
        <v>1.2</v>
      </c>
      <c r="L13" s="56">
        <v>1.2</v>
      </c>
      <c r="M13" s="56"/>
      <c r="N13" s="56"/>
      <c r="O13" s="56"/>
      <c r="P13" s="56"/>
      <c r="Q13" s="56"/>
      <c r="R13" s="56"/>
      <c r="S13" s="32">
        <f>SUM(BE_NL[[#This Row],[26M04]:[26M06]])</f>
        <v>3.5999999999999996</v>
      </c>
      <c r="T13" s="69">
        <f>SUM(BE_NL[[#This Row],[26M07]:[26M09]])</f>
        <v>0</v>
      </c>
      <c r="U13" s="69">
        <f>SUM(BE_NL[[#This Row],[26M10]:[26M12]])</f>
        <v>0</v>
      </c>
      <c r="V13" s="256"/>
      <c r="W13" s="256"/>
      <c r="X13" s="256"/>
      <c r="Y13" s="256"/>
      <c r="Z13" s="256"/>
      <c r="AA13" s="256"/>
      <c r="AB13" s="256">
        <f>SUM(BE_NL[[#This Row],[27M01]:[27M03]])</f>
        <v>0</v>
      </c>
      <c r="AC13" s="256">
        <f>SUM(BE_NL[[#This Row],[27M04]:[27M06]])</f>
        <v>0</v>
      </c>
      <c r="AD13" s="256" t="str">
        <f>IF(SUM(BE_NL[[#This Row],[26Q2]:[26Q4]])+SUM(BE_NL[[#This Row],[27Q1]:[27Q2]])=0,"No FSCT",IF(AND(SUM(BE_NL[[#This Row],[26Q2]:[26Q4]])&gt;0,SUM(BE_NL[[#This Row],[27Q1]:[27Q2]])=0),"YES","NO"))</f>
        <v>YES</v>
      </c>
      <c r="AE13" s="85" t="str">
        <f>VLOOKUP(BE_NL[[#This Row],[Product Line]],Prod_T6[],4,0)</f>
        <v>PV</v>
      </c>
      <c r="AF13" s="2"/>
      <c r="AG13" s="2"/>
      <c r="AH13" s="3" t="str">
        <v>0  - Lost</v>
      </c>
    </row>
    <row r="14" spans="1:34" ht="15.5" hidden="1">
      <c r="A14" s="59" t="s">
        <v>80</v>
      </c>
      <c r="B14" s="57" t="s">
        <v>127</v>
      </c>
      <c r="C14" s="48" t="s">
        <v>128</v>
      </c>
      <c r="D14" s="2" t="str">
        <f>VLOOKUP(BE_NL[[#This Row],[Product Line]],Prod_T6[],5,0)</f>
        <v>TCL</v>
      </c>
      <c r="E14" s="47" t="s">
        <v>149</v>
      </c>
      <c r="F14" s="47" t="s">
        <v>152</v>
      </c>
      <c r="G14" s="178" t="s">
        <v>634</v>
      </c>
      <c r="H14" s="47" t="s">
        <v>639</v>
      </c>
      <c r="I14" s="60" t="s">
        <v>132</v>
      </c>
      <c r="J14" s="56"/>
      <c r="K14" s="56"/>
      <c r="L14" s="56"/>
      <c r="M14" s="56">
        <v>1.2</v>
      </c>
      <c r="N14" s="56">
        <v>1.2</v>
      </c>
      <c r="O14" s="56">
        <v>1.2</v>
      </c>
      <c r="P14" s="56"/>
      <c r="Q14" s="56"/>
      <c r="R14" s="56"/>
      <c r="S14" s="32">
        <f>SUM(BE_NL[[#This Row],[26M04]:[26M06]])</f>
        <v>0</v>
      </c>
      <c r="T14" s="69">
        <f>SUM(BE_NL[[#This Row],[26M07]:[26M09]])</f>
        <v>3.5999999999999996</v>
      </c>
      <c r="U14" s="69">
        <f>SUM(BE_NL[[#This Row],[26M10]:[26M12]])</f>
        <v>0</v>
      </c>
      <c r="V14" s="256"/>
      <c r="W14" s="256"/>
      <c r="X14" s="256"/>
      <c r="Y14" s="256"/>
      <c r="Z14" s="256"/>
      <c r="AA14" s="256"/>
      <c r="AB14" s="256">
        <f>SUM(BE_NL[[#This Row],[27M01]:[27M03]])</f>
        <v>0</v>
      </c>
      <c r="AC14" s="256">
        <f>SUM(BE_NL[[#This Row],[27M04]:[27M06]])</f>
        <v>0</v>
      </c>
      <c r="AD14" s="256" t="str">
        <f>IF(SUM(BE_NL[[#This Row],[26Q2]:[26Q4]])+SUM(BE_NL[[#This Row],[27Q1]:[27Q2]])=0,"No FSCT",IF(AND(SUM(BE_NL[[#This Row],[26Q2]:[26Q4]])&gt;0,SUM(BE_NL[[#This Row],[27Q1]:[27Q2]])=0),"YES","NO"))</f>
        <v>YES</v>
      </c>
      <c r="AE14" s="85" t="str">
        <f>VLOOKUP(BE_NL[[#This Row],[Product Line]],Prod_T6[],4,0)</f>
        <v>PV</v>
      </c>
      <c r="AF14" s="3"/>
      <c r="AG14" s="3"/>
      <c r="AH14" s="3" t="str">
        <v>0  - Lost</v>
      </c>
    </row>
    <row r="15" spans="1:34" ht="16.5">
      <c r="A15" s="59" t="s">
        <v>80</v>
      </c>
      <c r="B15" s="57" t="s">
        <v>127</v>
      </c>
      <c r="D15" s="2" t="str">
        <f>VLOOKUP(BE_NL[[#This Row],[Product Line]],Prod_T6[],5,0)</f>
        <v>TCL</v>
      </c>
      <c r="E15" s="47" t="s">
        <v>54</v>
      </c>
      <c r="F15" s="47" t="s">
        <v>160</v>
      </c>
      <c r="G15" s="176" t="s">
        <v>130</v>
      </c>
      <c r="H15" s="47" t="s">
        <v>161</v>
      </c>
      <c r="I15" s="60" t="s">
        <v>132</v>
      </c>
      <c r="J15" s="56"/>
      <c r="K15" s="56">
        <v>1.2</v>
      </c>
      <c r="L15" s="56">
        <v>1.2</v>
      </c>
      <c r="M15" s="56"/>
      <c r="N15" s="56"/>
      <c r="O15" s="56"/>
      <c r="P15" s="56"/>
      <c r="Q15" s="56"/>
      <c r="R15" s="56"/>
      <c r="S15" s="32">
        <f>SUM(BE_NL[[#This Row],[26M04]:[26M06]])</f>
        <v>2.4</v>
      </c>
      <c r="T15" s="69">
        <f>SUM(BE_NL[[#This Row],[26M07]:[26M09]])</f>
        <v>0</v>
      </c>
      <c r="U15" s="69">
        <f>SUM(BE_NL[[#This Row],[26M10]:[26M12]])</f>
        <v>0</v>
      </c>
      <c r="V15" s="256"/>
      <c r="W15" s="256"/>
      <c r="X15" s="256"/>
      <c r="Y15" s="256"/>
      <c r="Z15" s="256"/>
      <c r="AA15" s="256"/>
      <c r="AB15" s="256">
        <f>SUM(BE_NL[[#This Row],[27M01]:[27M03]])</f>
        <v>0</v>
      </c>
      <c r="AC15" s="256">
        <f>SUM(BE_NL[[#This Row],[27M04]:[27M06]])</f>
        <v>0</v>
      </c>
      <c r="AD15" s="256" t="str">
        <f>IF(SUM(BE_NL[[#This Row],[26Q2]:[26Q4]])+SUM(BE_NL[[#This Row],[27Q1]:[27Q2]])=0,"No FSCT",IF(AND(SUM(BE_NL[[#This Row],[26Q2]:[26Q4]])&gt;0,SUM(BE_NL[[#This Row],[27Q1]:[27Q2]])=0),"YES","NO"))</f>
        <v>YES</v>
      </c>
      <c r="AE15" s="85" t="str">
        <f>VLOOKUP(BE_NL[[#This Row],[Product Line]],Prod_T6[],4,0)</f>
        <v>PV</v>
      </c>
      <c r="AF15" s="3"/>
      <c r="AG15" s="3"/>
      <c r="AH15" s="2" t="str">
        <v>7 - Booked</v>
      </c>
    </row>
    <row r="16" spans="1:34" ht="16.5">
      <c r="A16" s="59" t="s">
        <v>80</v>
      </c>
      <c r="B16" s="57" t="s">
        <v>158</v>
      </c>
      <c r="C16" s="48" t="s">
        <v>128</v>
      </c>
      <c r="D16" s="2" t="str">
        <f>VLOOKUP(BE_NL[[#This Row],[Product Line]],Prod_T6[],5,0)</f>
        <v>TCL</v>
      </c>
      <c r="E16" s="47" t="s">
        <v>54</v>
      </c>
      <c r="F16" s="47" t="s">
        <v>159</v>
      </c>
      <c r="G16" s="176" t="s">
        <v>130</v>
      </c>
      <c r="H16" s="57" t="s">
        <v>146</v>
      </c>
      <c r="I16" s="60" t="s">
        <v>117</v>
      </c>
      <c r="J16" s="56">
        <v>0.42</v>
      </c>
      <c r="K16" s="56"/>
      <c r="L16" s="56"/>
      <c r="M16" s="56"/>
      <c r="N16" s="56"/>
      <c r="O16" s="56"/>
      <c r="P16" s="56"/>
      <c r="Q16" s="56"/>
      <c r="R16" s="56"/>
      <c r="S16" s="32"/>
      <c r="T16" s="69">
        <f>SUM(BE_NL[[#This Row],[26M07]:[26M09]])</f>
        <v>0</v>
      </c>
      <c r="U16" s="69">
        <f>SUM(BE_NL[[#This Row],[26M10]:[26M12]])</f>
        <v>0</v>
      </c>
      <c r="V16" s="256"/>
      <c r="W16" s="256"/>
      <c r="X16" s="256"/>
      <c r="Y16" s="256"/>
      <c r="Z16" s="256"/>
      <c r="AA16" s="256"/>
      <c r="AB16" s="256">
        <f>SUM(BE_NL[[#This Row],[27M01]:[27M03]])</f>
        <v>0</v>
      </c>
      <c r="AC16" s="256">
        <f>SUM(BE_NL[[#This Row],[27M04]:[27M06]])</f>
        <v>0</v>
      </c>
      <c r="AD16" s="256" t="str">
        <f>IF(SUM(BE_NL[[#This Row],[26Q2]:[26Q4]])+SUM(BE_NL[[#This Row],[27Q1]:[27Q2]])=0,"No FSCT",IF(AND(SUM(BE_NL[[#This Row],[26Q2]:[26Q4]])&gt;0,SUM(BE_NL[[#This Row],[27Q1]:[27Q2]])=0),"YES","NO"))</f>
        <v>No FSCT</v>
      </c>
      <c r="AE16" s="85" t="str">
        <f>VLOOKUP(BE_NL[[#This Row],[Product Line]],Prod_T6[],4,0)</f>
        <v>PV</v>
      </c>
      <c r="AF16" s="2"/>
      <c r="AG16" s="2"/>
      <c r="AH16" s="2" t="str">
        <v>7 - Booked</v>
      </c>
    </row>
    <row r="17" spans="1:34" ht="16.5">
      <c r="A17" s="59" t="s">
        <v>80</v>
      </c>
      <c r="B17" s="57" t="s">
        <v>158</v>
      </c>
      <c r="D17" s="2" t="str">
        <f>VLOOKUP(BE_NL[[#This Row],[Product Line]],Prod_T6[],5,0)</f>
        <v>TCL</v>
      </c>
      <c r="E17" s="47" t="s">
        <v>149</v>
      </c>
      <c r="F17" s="47" t="s">
        <v>152</v>
      </c>
      <c r="G17" s="176" t="s">
        <v>130</v>
      </c>
      <c r="H17" s="47"/>
      <c r="I17" s="60" t="s">
        <v>117</v>
      </c>
      <c r="J17" s="56"/>
      <c r="K17" s="56"/>
      <c r="L17" s="56"/>
      <c r="M17" s="56"/>
      <c r="N17" s="56"/>
      <c r="O17" s="56"/>
      <c r="P17" s="56"/>
      <c r="Q17" s="56"/>
      <c r="R17" s="56"/>
      <c r="S17" s="32">
        <f>SUM(BE_NL[[#This Row],[26M04]:[26M06]])</f>
        <v>0</v>
      </c>
      <c r="T17" s="69">
        <f>SUM(BE_NL[[#This Row],[26M07]:[26M09]])</f>
        <v>0</v>
      </c>
      <c r="U17" s="69">
        <f>SUM(BE_NL[[#This Row],[26M10]:[26M12]])</f>
        <v>0</v>
      </c>
      <c r="V17" s="256"/>
      <c r="W17" s="256"/>
      <c r="X17" s="256"/>
      <c r="Y17" s="256"/>
      <c r="Z17" s="256"/>
      <c r="AA17" s="256"/>
      <c r="AB17" s="256">
        <f>SUM(BE_NL[[#This Row],[27M01]:[27M03]])</f>
        <v>0</v>
      </c>
      <c r="AC17" s="256">
        <f>SUM(BE_NL[[#This Row],[27M04]:[27M06]])</f>
        <v>0</v>
      </c>
      <c r="AD17" s="256" t="str">
        <f>IF(SUM(BE_NL[[#This Row],[26Q2]:[26Q4]])+SUM(BE_NL[[#This Row],[27Q1]:[27Q2]])=0,"No FSCT",IF(AND(SUM(BE_NL[[#This Row],[26Q2]:[26Q4]])&gt;0,SUM(BE_NL[[#This Row],[27Q1]:[27Q2]])=0),"YES","NO"))</f>
        <v>No FSCT</v>
      </c>
      <c r="AE17" s="85" t="str">
        <f>VLOOKUP(BE_NL[[#This Row],[Product Line]],Prod_T6[],4,0)</f>
        <v>PV</v>
      </c>
      <c r="AF17" s="2"/>
      <c r="AG17" s="2"/>
      <c r="AH17" s="2" t="str">
        <v>7 - Booked</v>
      </c>
    </row>
    <row r="18" spans="1:34" ht="16.5">
      <c r="A18" s="59" t="s">
        <v>86</v>
      </c>
      <c r="B18" s="57" t="s">
        <v>396</v>
      </c>
      <c r="C18" s="48" t="s">
        <v>138</v>
      </c>
      <c r="D18" s="2" t="str">
        <f>VLOOKUP(BE_NL[[#This Row],[Product Line]],Prod_T6[],5,0)</f>
        <v>TCL</v>
      </c>
      <c r="E18" s="47" t="s">
        <v>317</v>
      </c>
      <c r="F18" s="47" t="s">
        <v>318</v>
      </c>
      <c r="G18" s="176" t="s">
        <v>130</v>
      </c>
      <c r="H18" s="57" t="s">
        <v>397</v>
      </c>
      <c r="I18" s="60" t="s">
        <v>117</v>
      </c>
      <c r="J18" s="56">
        <v>0.45</v>
      </c>
      <c r="K18" s="56">
        <v>0.45</v>
      </c>
      <c r="L18" s="56">
        <v>0.45</v>
      </c>
      <c r="M18" s="56">
        <v>0.45</v>
      </c>
      <c r="N18" s="56"/>
      <c r="O18" s="56"/>
      <c r="P18" s="56"/>
      <c r="Q18" s="56"/>
      <c r="R18" s="56"/>
      <c r="S18" s="32">
        <f>SUM(BE_NL[[#This Row],[26M04]:[26M06]])</f>
        <v>1.35</v>
      </c>
      <c r="T18" s="69">
        <f>SUM(BE_NL[[#This Row],[26M07]:[26M09]])</f>
        <v>0.45</v>
      </c>
      <c r="U18" s="69">
        <f>SUM(BE_NL[[#This Row],[26M10]:[26M12]])</f>
        <v>0</v>
      </c>
      <c r="V18" s="256"/>
      <c r="W18" s="256"/>
      <c r="X18" s="256"/>
      <c r="Y18" s="256"/>
      <c r="Z18" s="256"/>
      <c r="AA18" s="256"/>
      <c r="AB18" s="256">
        <f>SUM(BE_NL[[#This Row],[27M01]:[27M03]])</f>
        <v>0</v>
      </c>
      <c r="AC18" s="256">
        <f>SUM(BE_NL[[#This Row],[27M04]:[27M06]])</f>
        <v>0</v>
      </c>
      <c r="AD18" s="256" t="str">
        <f>IF(SUM(BE_NL[[#This Row],[26Q2]:[26Q4]])+SUM(BE_NL[[#This Row],[27Q1]:[27Q2]])=0,"No FSCT",IF(AND(SUM(BE_NL[[#This Row],[26Q2]:[26Q4]])&gt;0,SUM(BE_NL[[#This Row],[27Q1]:[27Q2]])=0),"YES","NO"))</f>
        <v>YES</v>
      </c>
      <c r="AE18" s="85" t="str">
        <f>VLOOKUP(BE_NL[[#This Row],[Product Line]],Prod_T6[],4,0)</f>
        <v>PV</v>
      </c>
      <c r="AF18" s="2"/>
      <c r="AG18" s="2"/>
      <c r="AH18" s="2" t="str">
        <v>7 - Booked</v>
      </c>
    </row>
    <row r="19" spans="1:34" ht="15.5" hidden="1">
      <c r="A19" s="59" t="s">
        <v>86</v>
      </c>
      <c r="B19" s="57" t="s">
        <v>396</v>
      </c>
      <c r="D19" s="2" t="str">
        <f>VLOOKUP(BE_NL[[#This Row],[Product Line]],Prod_T6[],5,0)</f>
        <v>TCL</v>
      </c>
      <c r="E19" s="47" t="s">
        <v>149</v>
      </c>
      <c r="F19" s="47" t="s">
        <v>152</v>
      </c>
      <c r="G19" s="178" t="s">
        <v>634</v>
      </c>
      <c r="H19" s="106" t="s">
        <v>640</v>
      </c>
      <c r="I19" s="60" t="s">
        <v>117</v>
      </c>
      <c r="J19" s="56"/>
      <c r="K19" s="56"/>
      <c r="L19" s="56"/>
      <c r="M19" s="56"/>
      <c r="N19" s="56"/>
      <c r="O19" s="56"/>
      <c r="P19" s="56"/>
      <c r="Q19" s="56"/>
      <c r="R19" s="56"/>
      <c r="S19" s="32">
        <f>SUM(BE_NL[[#This Row],[26M04]:[26M06]])</f>
        <v>0</v>
      </c>
      <c r="T19" s="69">
        <f>SUM(BE_NL[[#This Row],[26M07]:[26M09]])</f>
        <v>0</v>
      </c>
      <c r="U19" s="69">
        <f>SUM(BE_NL[[#This Row],[26M10]:[26M12]])</f>
        <v>0</v>
      </c>
      <c r="V19" s="256"/>
      <c r="W19" s="256"/>
      <c r="X19" s="256"/>
      <c r="Y19" s="256"/>
      <c r="Z19" s="256"/>
      <c r="AA19" s="256"/>
      <c r="AB19" s="256">
        <f>SUM(BE_NL[[#This Row],[27M01]:[27M03]])</f>
        <v>0</v>
      </c>
      <c r="AC19" s="256">
        <f>SUM(BE_NL[[#This Row],[27M04]:[27M06]])</f>
        <v>0</v>
      </c>
      <c r="AD19" s="256" t="str">
        <f>IF(SUM(BE_NL[[#This Row],[26Q2]:[26Q4]])+SUM(BE_NL[[#This Row],[27Q1]:[27Q2]])=0,"No FSCT",IF(AND(SUM(BE_NL[[#This Row],[26Q2]:[26Q4]])&gt;0,SUM(BE_NL[[#This Row],[27Q1]:[27Q2]])=0),"YES","NO"))</f>
        <v>No FSCT</v>
      </c>
      <c r="AE19" s="85" t="str">
        <f>VLOOKUP(BE_NL[[#This Row],[Product Line]],Prod_T6[],4,0)</f>
        <v>PV</v>
      </c>
      <c r="AF19" s="2"/>
      <c r="AG19" s="2"/>
      <c r="AH19" s="2" t="str">
        <v>0  - Lost</v>
      </c>
    </row>
    <row r="20" spans="1:34" ht="16.5">
      <c r="A20" s="59" t="s">
        <v>86</v>
      </c>
      <c r="B20" s="57" t="s">
        <v>390</v>
      </c>
      <c r="C20" s="48" t="s">
        <v>138</v>
      </c>
      <c r="D20" s="2" t="str">
        <f>VLOOKUP(BE_NL[[#This Row],[Product Line]],Prod_T6[],5,0)</f>
        <v>TCL</v>
      </c>
      <c r="E20" s="47" t="s">
        <v>317</v>
      </c>
      <c r="F20" s="47" t="s">
        <v>318</v>
      </c>
      <c r="G20" s="176" t="s">
        <v>130</v>
      </c>
      <c r="H20" s="57" t="s">
        <v>397</v>
      </c>
      <c r="I20" s="60" t="s">
        <v>117</v>
      </c>
      <c r="J20" s="56"/>
      <c r="K20" s="56"/>
      <c r="L20" s="56">
        <v>0.45</v>
      </c>
      <c r="M20" s="56">
        <v>0.45</v>
      </c>
      <c r="N20" s="56"/>
      <c r="O20" s="56"/>
      <c r="P20" s="56"/>
      <c r="Q20" s="56"/>
      <c r="R20" s="56"/>
      <c r="S20" s="32">
        <f>SUM(BE_NL[[#This Row],[26M04]:[26M06]])</f>
        <v>0.45</v>
      </c>
      <c r="T20" s="69">
        <f>SUM(BE_NL[[#This Row],[26M07]:[26M09]])</f>
        <v>0.45</v>
      </c>
      <c r="U20" s="69">
        <f>SUM(BE_NL[[#This Row],[26M10]:[26M12]])</f>
        <v>0</v>
      </c>
      <c r="V20" s="256"/>
      <c r="W20" s="256"/>
      <c r="X20" s="256"/>
      <c r="Y20" s="256"/>
      <c r="Z20" s="256"/>
      <c r="AA20" s="256"/>
      <c r="AB20" s="256">
        <f>SUM(BE_NL[[#This Row],[27M01]:[27M03]])</f>
        <v>0</v>
      </c>
      <c r="AC20" s="256">
        <f>SUM(BE_NL[[#This Row],[27M04]:[27M06]])</f>
        <v>0</v>
      </c>
      <c r="AD20" s="256" t="str">
        <f>IF(SUM(BE_NL[[#This Row],[26Q2]:[26Q4]])+SUM(BE_NL[[#This Row],[27Q1]:[27Q2]])=0,"No FSCT",IF(AND(SUM(BE_NL[[#This Row],[26Q2]:[26Q4]])&gt;0,SUM(BE_NL[[#This Row],[27Q1]:[27Q2]])=0),"YES","NO"))</f>
        <v>YES</v>
      </c>
      <c r="AE20" s="85" t="str">
        <f>VLOOKUP(BE_NL[[#This Row],[Product Line]],Prod_T6[],4,0)</f>
        <v>PV</v>
      </c>
      <c r="AF20" s="2"/>
      <c r="AG20" s="2"/>
      <c r="AH20" s="2" t="str">
        <v>7 - Booked</v>
      </c>
    </row>
    <row r="21" spans="1:34" ht="15.5" hidden="1">
      <c r="A21" s="59" t="s">
        <v>86</v>
      </c>
      <c r="B21" s="57" t="s">
        <v>390</v>
      </c>
      <c r="D21" s="2" t="str">
        <f>VLOOKUP(BE_NL[[#This Row],[Product Line]],Prod_T6[],5,0)</f>
        <v>TCL</v>
      </c>
      <c r="E21" s="47" t="s">
        <v>317</v>
      </c>
      <c r="F21" s="47" t="s">
        <v>641</v>
      </c>
      <c r="G21" s="178" t="s">
        <v>634</v>
      </c>
      <c r="H21" s="47" t="s">
        <v>642</v>
      </c>
      <c r="I21" s="60" t="s">
        <v>117</v>
      </c>
      <c r="J21" s="56"/>
      <c r="K21" s="56">
        <v>1.2</v>
      </c>
      <c r="L21" s="56"/>
      <c r="M21" s="56"/>
      <c r="N21" s="56"/>
      <c r="O21" s="56"/>
      <c r="P21" s="56"/>
      <c r="Q21" s="56"/>
      <c r="R21" s="56"/>
      <c r="S21" s="32">
        <f>SUM(BE_NL[[#This Row],[26M04]:[26M06]])</f>
        <v>1.2</v>
      </c>
      <c r="T21" s="69">
        <f>SUM(BE_NL[[#This Row],[26M07]:[26M09]])</f>
        <v>0</v>
      </c>
      <c r="U21" s="69">
        <f>SUM(BE_NL[[#This Row],[26M10]:[26M12]])</f>
        <v>0</v>
      </c>
      <c r="V21" s="256"/>
      <c r="W21" s="256"/>
      <c r="X21" s="256"/>
      <c r="Y21" s="256"/>
      <c r="Z21" s="256"/>
      <c r="AA21" s="256"/>
      <c r="AB21" s="256">
        <f>SUM(BE_NL[[#This Row],[27M01]:[27M03]])</f>
        <v>0</v>
      </c>
      <c r="AC21" s="256">
        <f>SUM(BE_NL[[#This Row],[27M04]:[27M06]])</f>
        <v>0</v>
      </c>
      <c r="AD21" s="256" t="str">
        <f>IF(SUM(BE_NL[[#This Row],[26Q2]:[26Q4]])+SUM(BE_NL[[#This Row],[27Q1]:[27Q2]])=0,"No FSCT",IF(AND(SUM(BE_NL[[#This Row],[26Q2]:[26Q4]])&gt;0,SUM(BE_NL[[#This Row],[27Q1]:[27Q2]])=0),"YES","NO"))</f>
        <v>YES</v>
      </c>
      <c r="AE21" s="85" t="str">
        <f>VLOOKUP(BE_NL[[#This Row],[Product Line]],Prod_T6[],4,0)</f>
        <v>PV</v>
      </c>
      <c r="AF21" s="2"/>
      <c r="AG21" s="2"/>
      <c r="AH21" s="2" t="str">
        <v>0  - Lost</v>
      </c>
    </row>
    <row r="22" spans="1:34" ht="16.5">
      <c r="A22" s="59" t="s">
        <v>86</v>
      </c>
      <c r="B22" s="57" t="s">
        <v>390</v>
      </c>
      <c r="D22" s="2" t="str">
        <f>VLOOKUP(BE_NL[[#This Row],[Product Line]],Prod_T6[],5,0)</f>
        <v>TCL</v>
      </c>
      <c r="E22" s="47" t="s">
        <v>54</v>
      </c>
      <c r="F22" s="47" t="s">
        <v>129</v>
      </c>
      <c r="G22" s="177" t="s">
        <v>156</v>
      </c>
      <c r="H22" s="273" t="s">
        <v>398</v>
      </c>
      <c r="I22" s="60" t="s">
        <v>117</v>
      </c>
      <c r="J22" s="56">
        <v>0.4</v>
      </c>
      <c r="K22" s="56">
        <v>1.2</v>
      </c>
      <c r="L22" s="56">
        <v>1.2</v>
      </c>
      <c r="M22" s="56"/>
      <c r="N22" s="56"/>
      <c r="O22" s="56"/>
      <c r="P22" s="56"/>
      <c r="Q22" s="56"/>
      <c r="R22" s="56"/>
      <c r="S22" s="32">
        <f>SUM(BE_NL[[#This Row],[26M04]:[26M06]])</f>
        <v>2.8</v>
      </c>
      <c r="T22" s="69">
        <f>SUM(BE_NL[[#This Row],[26M07]:[26M09]])</f>
        <v>0</v>
      </c>
      <c r="U22" s="69">
        <f>SUM(BE_NL[[#This Row],[26M10]:[26M12]])</f>
        <v>0</v>
      </c>
      <c r="V22" s="256"/>
      <c r="W22" s="256"/>
      <c r="X22" s="256"/>
      <c r="Y22" s="256"/>
      <c r="Z22" s="256"/>
      <c r="AA22" s="256"/>
      <c r="AB22" s="256">
        <f>SUM(BE_NL[[#This Row],[27M01]:[27M03]])</f>
        <v>0</v>
      </c>
      <c r="AC22" s="256">
        <f>SUM(BE_NL[[#This Row],[27M04]:[27M06]])</f>
        <v>0</v>
      </c>
      <c r="AD22" s="256" t="str">
        <f>IF(SUM(BE_NL[[#This Row],[26Q2]:[26Q4]])+SUM(BE_NL[[#This Row],[27Q1]:[27Q2]])=0,"No FSCT",IF(AND(SUM(BE_NL[[#This Row],[26Q2]:[26Q4]])&gt;0,SUM(BE_NL[[#This Row],[27Q1]:[27Q2]])=0),"YES","NO"))</f>
        <v>YES</v>
      </c>
      <c r="AE22" s="85" t="str">
        <f>VLOOKUP(BE_NL[[#This Row],[Product Line]],Prod_T6[],4,0)</f>
        <v>PV</v>
      </c>
      <c r="AF22" s="2"/>
      <c r="AG22" s="2"/>
      <c r="AH22" s="2" t="str">
        <v>6 - Won</v>
      </c>
    </row>
    <row r="23" spans="1:34" ht="16.5">
      <c r="A23" s="59" t="s">
        <v>86</v>
      </c>
      <c r="B23" s="57" t="s">
        <v>390</v>
      </c>
      <c r="D23" s="2" t="str">
        <f>VLOOKUP(BE_NL[[#This Row],[Product Line]],Prod_T6[],5,0)</f>
        <v>TCL</v>
      </c>
      <c r="E23" s="47" t="s">
        <v>149</v>
      </c>
      <c r="F23" s="47" t="s">
        <v>152</v>
      </c>
      <c r="G23" s="177" t="s">
        <v>136</v>
      </c>
      <c r="H23" s="153" t="s">
        <v>151</v>
      </c>
      <c r="I23" s="60" t="s">
        <v>117</v>
      </c>
      <c r="J23" s="56"/>
      <c r="K23" s="56"/>
      <c r="L23" s="56"/>
      <c r="M23" s="56"/>
      <c r="N23" s="56"/>
      <c r="O23" s="56">
        <v>1.2</v>
      </c>
      <c r="P23" s="56">
        <v>1.2</v>
      </c>
      <c r="Q23" s="56">
        <v>1.2</v>
      </c>
      <c r="R23" s="56">
        <v>1.2</v>
      </c>
      <c r="S23" s="32">
        <f>SUM(BE_NL[[#This Row],[26M04]:[26M06]])</f>
        <v>0</v>
      </c>
      <c r="T23" s="69">
        <f>SUM(BE_NL[[#This Row],[26M07]:[26M09]])</f>
        <v>1.2</v>
      </c>
      <c r="U23" s="69">
        <f>SUM(BE_NL[[#This Row],[26M10]:[26M12]])</f>
        <v>3.5999999999999996</v>
      </c>
      <c r="V23" s="256"/>
      <c r="W23" s="256"/>
      <c r="X23" s="256"/>
      <c r="Y23" s="256"/>
      <c r="Z23" s="256"/>
      <c r="AA23" s="256"/>
      <c r="AB23" s="256">
        <f>SUM(BE_NL[[#This Row],[27M01]:[27M03]])</f>
        <v>0</v>
      </c>
      <c r="AC23" s="256">
        <f>SUM(BE_NL[[#This Row],[27M04]:[27M06]])</f>
        <v>0</v>
      </c>
      <c r="AD23" s="256" t="str">
        <f>IF(SUM(BE_NL[[#This Row],[26Q2]:[26Q4]])+SUM(BE_NL[[#This Row],[27Q1]:[27Q2]])=0,"No FSCT",IF(AND(SUM(BE_NL[[#This Row],[26Q2]:[26Q4]])&gt;0,SUM(BE_NL[[#This Row],[27Q1]:[27Q2]])=0),"YES","NO"))</f>
        <v>YES</v>
      </c>
      <c r="AE23" s="85" t="str">
        <f>VLOOKUP(BE_NL[[#This Row],[Product Line]],Prod_T6[],4,0)</f>
        <v>PV</v>
      </c>
      <c r="AF23" s="2"/>
      <c r="AG23" s="2"/>
      <c r="AH23" s="2" t="str">
        <v>3 - Negotiation</v>
      </c>
    </row>
    <row r="24" spans="1:34" ht="16.5">
      <c r="A24" s="59" t="s">
        <v>86</v>
      </c>
      <c r="B24" s="57" t="s">
        <v>390</v>
      </c>
      <c r="D24" s="2" t="str">
        <f>VLOOKUP(BE_NL[[#This Row],[Product Line]],Prod_T6[],5,0)</f>
        <v>TCL</v>
      </c>
      <c r="E24" s="47" t="s">
        <v>113</v>
      </c>
      <c r="F24" s="47" t="s">
        <v>153</v>
      </c>
      <c r="G24" s="177" t="s">
        <v>136</v>
      </c>
      <c r="H24" s="153" t="s">
        <v>151</v>
      </c>
      <c r="I24" s="60" t="s">
        <v>117</v>
      </c>
      <c r="J24" s="56"/>
      <c r="K24" s="56"/>
      <c r="L24" s="56"/>
      <c r="M24" s="56"/>
      <c r="N24" s="56"/>
      <c r="O24" s="56"/>
      <c r="P24" s="56">
        <v>0.4</v>
      </c>
      <c r="Q24" s="56">
        <v>0.4</v>
      </c>
      <c r="R24" s="56">
        <v>0.4</v>
      </c>
      <c r="S24" s="32">
        <f>SUM(BE_NL[[#This Row],[26M04]:[26M06]])</f>
        <v>0</v>
      </c>
      <c r="T24" s="69">
        <f>SUM(BE_NL[[#This Row],[26M07]:[26M09]])</f>
        <v>0</v>
      </c>
      <c r="U24" s="69">
        <f>SUM(BE_NL[[#This Row],[26M10]:[26M12]])</f>
        <v>1.2000000000000002</v>
      </c>
      <c r="V24" s="256"/>
      <c r="W24" s="256"/>
      <c r="X24" s="256"/>
      <c r="Y24" s="256"/>
      <c r="Z24" s="256"/>
      <c r="AA24" s="256"/>
      <c r="AB24" s="256">
        <f>SUM(BE_NL[[#This Row],[27M01]:[27M03]])</f>
        <v>0</v>
      </c>
      <c r="AC24" s="256">
        <f>SUM(BE_NL[[#This Row],[27M04]:[27M06]])</f>
        <v>0</v>
      </c>
      <c r="AD24" s="256" t="str">
        <f>IF(SUM(BE_NL[[#This Row],[26Q2]:[26Q4]])+SUM(BE_NL[[#This Row],[27Q1]:[27Q2]])=0,"No FSCT",IF(AND(SUM(BE_NL[[#This Row],[26Q2]:[26Q4]])&gt;0,SUM(BE_NL[[#This Row],[27Q1]:[27Q2]])=0),"YES","NO"))</f>
        <v>YES</v>
      </c>
      <c r="AE24" s="85" t="str">
        <f>VLOOKUP(BE_NL[[#This Row],[Product Line]],Prod_T6[],4,0)</f>
        <v>PV</v>
      </c>
      <c r="AF24" s="2"/>
      <c r="AG24" s="2"/>
      <c r="AH24" s="2" t="str">
        <v>3 - Negotiation</v>
      </c>
    </row>
    <row r="25" spans="1:34" ht="15.5" hidden="1">
      <c r="A25" s="59" t="s">
        <v>86</v>
      </c>
      <c r="B25" s="57" t="s">
        <v>390</v>
      </c>
      <c r="D25" s="2" t="str">
        <f>VLOOKUP(BE_NL[[#This Row],[Product Line]],Prod_T6[],5,0)</f>
        <v>TCL</v>
      </c>
      <c r="E25" s="47" t="s">
        <v>54</v>
      </c>
      <c r="F25" s="47" t="s">
        <v>126</v>
      </c>
      <c r="G25" s="178" t="s">
        <v>634</v>
      </c>
      <c r="H25" s="47" t="s">
        <v>643</v>
      </c>
      <c r="I25" s="60" t="s">
        <v>117</v>
      </c>
      <c r="J25" s="56"/>
      <c r="K25" s="56"/>
      <c r="L25" s="56"/>
      <c r="M25" s="56"/>
      <c r="N25" s="56">
        <v>3.25</v>
      </c>
      <c r="O25" s="56">
        <v>3.25</v>
      </c>
      <c r="P25" s="56"/>
      <c r="Q25" s="56"/>
      <c r="R25" s="56"/>
      <c r="S25" s="32">
        <f>SUM(BE_NL[[#This Row],[26M04]:[26M06]])</f>
        <v>0</v>
      </c>
      <c r="T25" s="69">
        <f>SUM(BE_NL[[#This Row],[26M07]:[26M09]])</f>
        <v>6.5</v>
      </c>
      <c r="U25" s="69">
        <f>SUM(BE_NL[[#This Row],[26M10]:[26M12]])</f>
        <v>0</v>
      </c>
      <c r="V25" s="256"/>
      <c r="W25" s="256"/>
      <c r="X25" s="256"/>
      <c r="Y25" s="256"/>
      <c r="Z25" s="256"/>
      <c r="AA25" s="256"/>
      <c r="AB25" s="256">
        <f>SUM(BE_NL[[#This Row],[27M01]:[27M03]])</f>
        <v>0</v>
      </c>
      <c r="AC25" s="256">
        <f>SUM(BE_NL[[#This Row],[27M04]:[27M06]])</f>
        <v>0</v>
      </c>
      <c r="AD25" s="256" t="str">
        <f>IF(SUM(BE_NL[[#This Row],[26Q2]:[26Q4]])+SUM(BE_NL[[#This Row],[27Q1]:[27Q2]])=0,"No FSCT",IF(AND(SUM(BE_NL[[#This Row],[26Q2]:[26Q4]])&gt;0,SUM(BE_NL[[#This Row],[27Q1]:[27Q2]])=0),"YES","NO"))</f>
        <v>YES</v>
      </c>
      <c r="AE25" s="85" t="str">
        <f>VLOOKUP(BE_NL[[#This Row],[Product Line]],Prod_T6[],4,0)</f>
        <v>PV</v>
      </c>
      <c r="AF25" s="2"/>
      <c r="AG25" s="2"/>
      <c r="AH25" s="2" t="str">
        <v>0  - Lost</v>
      </c>
    </row>
    <row r="26" spans="1:34" ht="16.5" hidden="1">
      <c r="A26" s="59" t="s">
        <v>86</v>
      </c>
      <c r="B26" s="57" t="s">
        <v>390</v>
      </c>
      <c r="D26" s="2" t="str">
        <f>VLOOKUP(BE_NL[[#This Row],[Product Line]],Prod_T6[],5,0)</f>
        <v>TCL</v>
      </c>
      <c r="E26" s="47" t="s">
        <v>54</v>
      </c>
      <c r="F26" s="47" t="s">
        <v>166</v>
      </c>
      <c r="G26" s="177" t="s">
        <v>634</v>
      </c>
      <c r="H26" s="47" t="s">
        <v>644</v>
      </c>
      <c r="I26" s="60" t="s">
        <v>117</v>
      </c>
      <c r="J26" s="56"/>
      <c r="K26" s="56">
        <v>0.42</v>
      </c>
      <c r="L26" s="56"/>
      <c r="M26" s="56"/>
      <c r="N26" s="56"/>
      <c r="O26" s="56"/>
      <c r="P26" s="56"/>
      <c r="Q26" s="56"/>
      <c r="R26" s="56"/>
      <c r="S26" s="32">
        <f>SUM(BE_NL[[#This Row],[26M04]:[26M06]])</f>
        <v>0.42</v>
      </c>
      <c r="T26" s="69">
        <f>SUM(BE_NL[[#This Row],[26M07]:[26M09]])</f>
        <v>0</v>
      </c>
      <c r="U26" s="69">
        <f>SUM(BE_NL[[#This Row],[26M10]:[26M12]])</f>
        <v>0</v>
      </c>
      <c r="V26" s="256"/>
      <c r="W26" s="256"/>
      <c r="X26" s="256"/>
      <c r="Y26" s="256"/>
      <c r="Z26" s="256"/>
      <c r="AA26" s="256"/>
      <c r="AB26" s="256">
        <f>SUM(BE_NL[[#This Row],[27M01]:[27M03]])</f>
        <v>0</v>
      </c>
      <c r="AC26" s="256">
        <f>SUM(BE_NL[[#This Row],[27M04]:[27M06]])</f>
        <v>0</v>
      </c>
      <c r="AD26" s="256" t="str">
        <f>IF(SUM(BE_NL[[#This Row],[26Q2]:[26Q4]])+SUM(BE_NL[[#This Row],[27Q1]:[27Q2]])=0,"No FSCT",IF(AND(SUM(BE_NL[[#This Row],[26Q2]:[26Q4]])&gt;0,SUM(BE_NL[[#This Row],[27Q1]:[27Q2]])=0),"YES","NO"))</f>
        <v>YES</v>
      </c>
      <c r="AE26" s="85" t="str">
        <f>VLOOKUP(BE_NL[[#This Row],[Product Line]],Prod_T6[],4,0)</f>
        <v>PV</v>
      </c>
      <c r="AF26" s="2"/>
      <c r="AG26" s="2"/>
      <c r="AH26" s="2" t="str">
        <v>0  - Lost</v>
      </c>
    </row>
    <row r="27" spans="1:34" ht="16.5">
      <c r="A27" s="59" t="s">
        <v>80</v>
      </c>
      <c r="B27" s="57" t="s">
        <v>140</v>
      </c>
      <c r="D27" s="2" t="str">
        <f>VLOOKUP(BE_NL[[#This Row],[Product Line]],Prod_T6[],5,0)</f>
        <v>TCL</v>
      </c>
      <c r="E27" s="47" t="s">
        <v>149</v>
      </c>
      <c r="F27" s="47" t="s">
        <v>152</v>
      </c>
      <c r="G27" s="177" t="s">
        <v>136</v>
      </c>
      <c r="H27" s="153" t="s">
        <v>151</v>
      </c>
      <c r="I27" s="60" t="s">
        <v>117</v>
      </c>
      <c r="J27" s="56"/>
      <c r="K27" s="56"/>
      <c r="L27" s="56"/>
      <c r="M27" s="56"/>
      <c r="N27" s="56"/>
      <c r="O27" s="56">
        <v>0.8</v>
      </c>
      <c r="P27" s="56">
        <v>0.8</v>
      </c>
      <c r="Q27" s="56">
        <v>0.8</v>
      </c>
      <c r="R27" s="56">
        <v>0.8</v>
      </c>
      <c r="S27" s="32">
        <f>SUM(BE_NL[[#This Row],[26M04]:[26M06]])</f>
        <v>0</v>
      </c>
      <c r="T27" s="69">
        <f>SUM(BE_NL[[#This Row],[26M07]:[26M09]])</f>
        <v>0.8</v>
      </c>
      <c r="U27" s="69">
        <f>SUM(BE_NL[[#This Row],[26M10]:[26M12]])</f>
        <v>2.4000000000000004</v>
      </c>
      <c r="V27" s="256"/>
      <c r="W27" s="256"/>
      <c r="X27" s="256"/>
      <c r="Y27" s="256"/>
      <c r="Z27" s="256"/>
      <c r="AA27" s="256"/>
      <c r="AB27" s="256">
        <f>SUM(BE_NL[[#This Row],[27M01]:[27M03]])</f>
        <v>0</v>
      </c>
      <c r="AC27" s="256">
        <f>SUM(BE_NL[[#This Row],[27M04]:[27M06]])</f>
        <v>0</v>
      </c>
      <c r="AD27" s="256" t="str">
        <f>IF(SUM(BE_NL[[#This Row],[26Q2]:[26Q4]])+SUM(BE_NL[[#This Row],[27Q1]:[27Q2]])=0,"No FSCT",IF(AND(SUM(BE_NL[[#This Row],[26Q2]:[26Q4]])&gt;0,SUM(BE_NL[[#This Row],[27Q1]:[27Q2]])=0),"YES","NO"))</f>
        <v>YES</v>
      </c>
      <c r="AE27" s="85" t="str">
        <f>VLOOKUP(BE_NL[[#This Row],[Product Line]],Prod_T6[],4,0)</f>
        <v>PV</v>
      </c>
      <c r="AF27" s="2"/>
      <c r="AG27" s="2"/>
      <c r="AH27" s="2" t="str">
        <v>3 - Negotiation</v>
      </c>
    </row>
    <row r="28" spans="1:34" ht="16.5">
      <c r="A28" s="59" t="s">
        <v>80</v>
      </c>
      <c r="B28" s="57" t="s">
        <v>140</v>
      </c>
      <c r="D28" s="2" t="str">
        <f>VLOOKUP(BE_NL[[#This Row],[Product Line]],Prod_T6[],5,0)</f>
        <v>TCL</v>
      </c>
      <c r="E28" s="47" t="s">
        <v>113</v>
      </c>
      <c r="F28" s="47" t="s">
        <v>153</v>
      </c>
      <c r="G28" s="177" t="s">
        <v>136</v>
      </c>
      <c r="H28" s="153" t="s">
        <v>151</v>
      </c>
      <c r="I28" s="60" t="s">
        <v>117</v>
      </c>
      <c r="J28" s="56"/>
      <c r="K28" s="56"/>
      <c r="L28" s="56"/>
      <c r="M28" s="56"/>
      <c r="N28" s="56"/>
      <c r="O28" s="56">
        <v>0.4</v>
      </c>
      <c r="P28" s="56">
        <v>0.4</v>
      </c>
      <c r="Q28" s="56">
        <v>0.4</v>
      </c>
      <c r="R28" s="56">
        <v>0.4</v>
      </c>
      <c r="S28" s="32">
        <f>SUM(BE_NL[[#This Row],[26M04]:[26M06]])</f>
        <v>0</v>
      </c>
      <c r="T28" s="69">
        <f>SUM(BE_NL[[#This Row],[26M07]:[26M09]])</f>
        <v>0.4</v>
      </c>
      <c r="U28" s="69">
        <f>SUM(BE_NL[[#This Row],[26M10]:[26M12]])</f>
        <v>1.2000000000000002</v>
      </c>
      <c r="V28" s="256"/>
      <c r="W28" s="256"/>
      <c r="X28" s="256"/>
      <c r="Y28" s="256"/>
      <c r="Z28" s="256"/>
      <c r="AA28" s="256"/>
      <c r="AB28" s="256">
        <f>SUM(BE_NL[[#This Row],[27M01]:[27M03]])</f>
        <v>0</v>
      </c>
      <c r="AC28" s="256">
        <f>SUM(BE_NL[[#This Row],[27M04]:[27M06]])</f>
        <v>0</v>
      </c>
      <c r="AD28" s="256" t="str">
        <f>IF(SUM(BE_NL[[#This Row],[26Q2]:[26Q4]])+SUM(BE_NL[[#This Row],[27Q1]:[27Q2]])=0,"No FSCT",IF(AND(SUM(BE_NL[[#This Row],[26Q2]:[26Q4]])&gt;0,SUM(BE_NL[[#This Row],[27Q1]:[27Q2]])=0),"YES","NO"))</f>
        <v>YES</v>
      </c>
      <c r="AE28" s="120" t="str">
        <f>VLOOKUP(BE_NL[[#This Row],[Product Line]],Prod_T6[],4,0)</f>
        <v>PV</v>
      </c>
      <c r="AF28" s="2"/>
      <c r="AG28" s="2"/>
      <c r="AH28" s="2" t="str">
        <v>3 - Negotiation</v>
      </c>
    </row>
    <row r="29" spans="1:34" ht="16.5">
      <c r="A29" s="59" t="s">
        <v>80</v>
      </c>
      <c r="B29" s="57" t="s">
        <v>140</v>
      </c>
      <c r="D29" s="2" t="str">
        <f>VLOOKUP(BE_NL[[#This Row],[Product Line]],Prod_T6[],5,0)</f>
        <v>Sunpower</v>
      </c>
      <c r="E29" s="47" t="s">
        <v>134</v>
      </c>
      <c r="F29" s="47" t="s">
        <v>135</v>
      </c>
      <c r="G29" s="177" t="s">
        <v>136</v>
      </c>
      <c r="H29" s="153" t="s">
        <v>151</v>
      </c>
      <c r="I29" s="60" t="s">
        <v>117</v>
      </c>
      <c r="J29" s="56"/>
      <c r="K29" s="56"/>
      <c r="L29" s="56"/>
      <c r="M29" s="56"/>
      <c r="N29" s="56"/>
      <c r="O29" s="56">
        <v>1</v>
      </c>
      <c r="P29" s="56"/>
      <c r="Q29" s="56"/>
      <c r="R29" s="56"/>
      <c r="S29" s="32">
        <f>SUM(BE_NL[[#This Row],[26M04]:[26M06]])</f>
        <v>0</v>
      </c>
      <c r="T29" s="69">
        <f>SUM(BE_NL[[#This Row],[26M07]:[26M09]])</f>
        <v>1</v>
      </c>
      <c r="U29" s="69">
        <f>SUM(BE_NL[[#This Row],[26M10]:[26M12]])</f>
        <v>0</v>
      </c>
      <c r="V29" s="256"/>
      <c r="W29" s="256"/>
      <c r="X29" s="256"/>
      <c r="Y29" s="256"/>
      <c r="Z29" s="256"/>
      <c r="AA29" s="256"/>
      <c r="AB29" s="256">
        <f>SUM(BE_NL[[#This Row],[27M01]:[27M03]])</f>
        <v>0</v>
      </c>
      <c r="AC29" s="256">
        <f>SUM(BE_NL[[#This Row],[27M04]:[27M06]])</f>
        <v>0</v>
      </c>
      <c r="AD29" s="256" t="str">
        <f>IF(SUM(BE_NL[[#This Row],[26Q2]:[26Q4]])+SUM(BE_NL[[#This Row],[27Q1]:[27Q2]])=0,"No FSCT",IF(AND(SUM(BE_NL[[#This Row],[26Q2]:[26Q4]])&gt;0,SUM(BE_NL[[#This Row],[27Q1]:[27Q2]])=0),"YES","NO"))</f>
        <v>YES</v>
      </c>
      <c r="AE29" s="120" t="str">
        <f>VLOOKUP(BE_NL[[#This Row],[Product Line]],Prod_T6[],4,0)</f>
        <v>PV</v>
      </c>
      <c r="AF29" s="2"/>
      <c r="AG29" s="2"/>
      <c r="AH29" s="2" t="str">
        <v>3 - Negotiation</v>
      </c>
    </row>
    <row r="30" spans="1:34" ht="16.5">
      <c r="A30" s="59" t="s">
        <v>80</v>
      </c>
      <c r="B30" s="57" t="s">
        <v>133</v>
      </c>
      <c r="C30" s="48" t="s">
        <v>138</v>
      </c>
      <c r="D30" s="2" t="str">
        <f>VLOOKUP(BE_NL[[#This Row],[Product Line]],Prod_T6[],5,0)</f>
        <v>Sunpower</v>
      </c>
      <c r="E30" s="47" t="s">
        <v>118</v>
      </c>
      <c r="F30" s="47" t="s">
        <v>145</v>
      </c>
      <c r="G30" s="177" t="s">
        <v>130</v>
      </c>
      <c r="H30" s="57" t="s">
        <v>146</v>
      </c>
      <c r="I30" s="60" t="s">
        <v>117</v>
      </c>
      <c r="J30" s="56">
        <v>0.42</v>
      </c>
      <c r="K30" s="56">
        <v>0.42</v>
      </c>
      <c r="L30" s="56">
        <v>0.42</v>
      </c>
      <c r="M30" s="56">
        <v>0.42</v>
      </c>
      <c r="N30" s="56"/>
      <c r="O30" s="56">
        <v>0.42</v>
      </c>
      <c r="P30" s="56"/>
      <c r="Q30" s="56"/>
      <c r="R30" s="56"/>
      <c r="S30" s="32">
        <f>SUM(BE_NL[[#This Row],[26M04]:[26M06]])</f>
        <v>1.26</v>
      </c>
      <c r="T30" s="69">
        <f>SUM(BE_NL[[#This Row],[26M07]:[26M09]])</f>
        <v>0.84</v>
      </c>
      <c r="U30" s="69">
        <f>SUM(BE_NL[[#This Row],[26M10]:[26M12]])</f>
        <v>0</v>
      </c>
      <c r="V30" s="256"/>
      <c r="W30" s="256"/>
      <c r="X30" s="256"/>
      <c r="Y30" s="256"/>
      <c r="Z30" s="256"/>
      <c r="AA30" s="256"/>
      <c r="AB30" s="256">
        <f>SUM(BE_NL[[#This Row],[27M01]:[27M03]])</f>
        <v>0</v>
      </c>
      <c r="AC30" s="256">
        <f>SUM(BE_NL[[#This Row],[27M04]:[27M06]])</f>
        <v>0</v>
      </c>
      <c r="AD30" s="256" t="str">
        <f>IF(SUM(BE_NL[[#This Row],[26Q2]:[26Q4]])+SUM(BE_NL[[#This Row],[27Q1]:[27Q2]])=0,"No FSCT",IF(AND(SUM(BE_NL[[#This Row],[26Q2]:[26Q4]])&gt;0,SUM(BE_NL[[#This Row],[27Q1]:[27Q2]])=0),"YES","NO"))</f>
        <v>YES</v>
      </c>
      <c r="AE30" s="85" t="str">
        <f>VLOOKUP(BE_NL[[#This Row],[Product Line]],Prod_T6[],4,0)</f>
        <v>PV</v>
      </c>
      <c r="AF30" s="2"/>
      <c r="AG30" s="2"/>
      <c r="AH30" s="2" t="str">
        <v>7 - Booked</v>
      </c>
    </row>
    <row r="31" spans="1:34" ht="16.5">
      <c r="A31" s="59" t="s">
        <v>80</v>
      </c>
      <c r="B31" s="57" t="s">
        <v>133</v>
      </c>
      <c r="D31" s="2" t="str">
        <f>VLOOKUP(BE_NL[[#This Row],[Product Line]],Prod_T6[],5,0)</f>
        <v>Sunpower</v>
      </c>
      <c r="E31" s="47" t="s">
        <v>134</v>
      </c>
      <c r="F31" s="47" t="s">
        <v>135</v>
      </c>
      <c r="G31" s="177" t="s">
        <v>136</v>
      </c>
      <c r="H31" s="47"/>
      <c r="I31" s="60" t="s">
        <v>117</v>
      </c>
      <c r="J31" s="56"/>
      <c r="K31" s="56"/>
      <c r="L31" s="56"/>
      <c r="M31" s="56"/>
      <c r="N31" s="56"/>
      <c r="O31" s="56"/>
      <c r="P31" s="56"/>
      <c r="Q31" s="56">
        <v>0.9</v>
      </c>
      <c r="R31" s="56">
        <v>0.9</v>
      </c>
      <c r="S31" s="32"/>
      <c r="T31" s="69">
        <f>SUM(BE_NL[[#This Row],[26M07]:[26M09]])</f>
        <v>0</v>
      </c>
      <c r="U31" s="69">
        <f>SUM(BE_NL[[#This Row],[26M10]:[26M12]])</f>
        <v>1.8</v>
      </c>
      <c r="V31" s="256"/>
      <c r="W31" s="256"/>
      <c r="X31" s="256"/>
      <c r="Y31" s="256"/>
      <c r="Z31" s="256"/>
      <c r="AA31" s="256"/>
      <c r="AB31" s="256">
        <f>SUM(BE_NL[[#This Row],[27M01]:[27M03]])</f>
        <v>0</v>
      </c>
      <c r="AC31" s="256">
        <f>SUM(BE_NL[[#This Row],[27M04]:[27M06]])</f>
        <v>0</v>
      </c>
      <c r="AD31" s="256" t="str">
        <f>IF(SUM(BE_NL[[#This Row],[26Q2]:[26Q4]])+SUM(BE_NL[[#This Row],[27Q1]:[27Q2]])=0,"No FSCT",IF(AND(SUM(BE_NL[[#This Row],[26Q2]:[26Q4]])&gt;0,SUM(BE_NL[[#This Row],[27Q1]:[27Q2]])=0),"YES","NO"))</f>
        <v>YES</v>
      </c>
      <c r="AE31" s="85" t="str">
        <f>VLOOKUP(BE_NL[[#This Row],[Product Line]],Prod_T6[],4,0)</f>
        <v>PV</v>
      </c>
      <c r="AF31" s="2"/>
      <c r="AG31" s="2"/>
      <c r="AH31" s="2" t="str">
        <v>3 - Negotiation</v>
      </c>
    </row>
    <row r="32" spans="1:34" ht="16.5">
      <c r="A32" s="59" t="s">
        <v>80</v>
      </c>
      <c r="B32" s="57" t="s">
        <v>137</v>
      </c>
      <c r="C32" s="48" t="s">
        <v>138</v>
      </c>
      <c r="D32" s="2" t="str">
        <f>VLOOKUP(BE_NL[[#This Row],[Product Line]],Prod_T6[],5,0)</f>
        <v>Sunpower</v>
      </c>
      <c r="E32" s="47" t="s">
        <v>118</v>
      </c>
      <c r="F32" s="47" t="s">
        <v>119</v>
      </c>
      <c r="G32" s="177" t="s">
        <v>130</v>
      </c>
      <c r="H32" s="57"/>
      <c r="I32" s="60" t="s">
        <v>117</v>
      </c>
      <c r="J32" s="56"/>
      <c r="K32" s="56">
        <v>0.1</v>
      </c>
      <c r="L32" s="56"/>
      <c r="M32" s="56">
        <v>0.1</v>
      </c>
      <c r="N32" s="56">
        <v>0.1</v>
      </c>
      <c r="O32" s="56">
        <v>0.1</v>
      </c>
      <c r="P32" s="56"/>
      <c r="Q32" s="56"/>
      <c r="R32" s="56"/>
      <c r="S32" s="32">
        <f>SUM(BE_NL[[#This Row],[26M04]:[26M06]])</f>
        <v>0.1</v>
      </c>
      <c r="T32" s="69">
        <f>SUM(BE_NL[[#This Row],[26M07]:[26M09]])</f>
        <v>0.30000000000000004</v>
      </c>
      <c r="U32" s="69">
        <f>SUM(BE_NL[[#This Row],[26M10]:[26M12]])</f>
        <v>0</v>
      </c>
      <c r="V32" s="256"/>
      <c r="W32" s="256"/>
      <c r="X32" s="256"/>
      <c r="Y32" s="256"/>
      <c r="Z32" s="256"/>
      <c r="AA32" s="256"/>
      <c r="AB32" s="256">
        <f>SUM(BE_NL[[#This Row],[27M01]:[27M03]])</f>
        <v>0</v>
      </c>
      <c r="AC32" s="256">
        <f>SUM(BE_NL[[#This Row],[27M04]:[27M06]])</f>
        <v>0</v>
      </c>
      <c r="AD32" s="256" t="str">
        <f>IF(SUM(BE_NL[[#This Row],[26Q2]:[26Q4]])+SUM(BE_NL[[#This Row],[27Q1]:[27Q2]])=0,"No FSCT",IF(AND(SUM(BE_NL[[#This Row],[26Q2]:[26Q4]])&gt;0,SUM(BE_NL[[#This Row],[27Q1]:[27Q2]])=0),"YES","NO"))</f>
        <v>YES</v>
      </c>
      <c r="AE32" s="85" t="str">
        <f>VLOOKUP(BE_NL[[#This Row],[Product Line]],Prod_T6[],4,0)</f>
        <v>PV</v>
      </c>
      <c r="AF32" s="2"/>
      <c r="AG32" s="2"/>
      <c r="AH32" s="2" t="str">
        <v>7 - Booked</v>
      </c>
    </row>
    <row r="33" spans="1:34" ht="16.5">
      <c r="A33" s="59" t="s">
        <v>80</v>
      </c>
      <c r="B33" s="57" t="s">
        <v>139</v>
      </c>
      <c r="D33" s="2" t="str">
        <f>VLOOKUP(BE_NL[[#This Row],[Product Line]],Prod_T6[],5,0)</f>
        <v>Sunpower</v>
      </c>
      <c r="E33" s="47" t="s">
        <v>134</v>
      </c>
      <c r="F33" s="47" t="s">
        <v>135</v>
      </c>
      <c r="G33" s="177" t="s">
        <v>136</v>
      </c>
      <c r="H33" s="47"/>
      <c r="I33" s="60" t="s">
        <v>117</v>
      </c>
      <c r="J33" s="56"/>
      <c r="K33" s="56"/>
      <c r="L33" s="56"/>
      <c r="M33" s="56"/>
      <c r="N33" s="56"/>
      <c r="O33" s="56"/>
      <c r="P33" s="56">
        <v>0.2</v>
      </c>
      <c r="Q33" s="56">
        <v>0.2</v>
      </c>
      <c r="R33" s="56">
        <v>0.2</v>
      </c>
      <c r="S33" s="32">
        <f>SUM(BE_NL[[#This Row],[26M04]:[26M06]])</f>
        <v>0</v>
      </c>
      <c r="T33" s="69">
        <f>SUM(BE_NL[[#This Row],[26M07]:[26M09]])</f>
        <v>0</v>
      </c>
      <c r="U33" s="69">
        <f>SUM(BE_NL[[#This Row],[26M10]:[26M12]])</f>
        <v>0.60000000000000009</v>
      </c>
      <c r="V33" s="256"/>
      <c r="W33" s="256"/>
      <c r="X33" s="256"/>
      <c r="Y33" s="256"/>
      <c r="Z33" s="256"/>
      <c r="AA33" s="256"/>
      <c r="AB33" s="256">
        <f>SUM(BE_NL[[#This Row],[27M01]:[27M03]])</f>
        <v>0</v>
      </c>
      <c r="AC33" s="256">
        <f>SUM(BE_NL[[#This Row],[27M04]:[27M06]])</f>
        <v>0</v>
      </c>
      <c r="AD33" s="256" t="str">
        <f>IF(SUM(BE_NL[[#This Row],[26Q2]:[26Q4]])+SUM(BE_NL[[#This Row],[27Q1]:[27Q2]])=0,"No FSCT",IF(AND(SUM(BE_NL[[#This Row],[26Q2]:[26Q4]])&gt;0,SUM(BE_NL[[#This Row],[27Q1]:[27Q2]])=0),"YES","NO"))</f>
        <v>YES</v>
      </c>
      <c r="AE33" s="85" t="str">
        <f>VLOOKUP(BE_NL[[#This Row],[Product Line]],Prod_T6[],4,0)</f>
        <v>PV</v>
      </c>
      <c r="AF33" s="2"/>
      <c r="AG33" s="2"/>
      <c r="AH33" s="2" t="str">
        <v>3 - Negotiation</v>
      </c>
    </row>
    <row r="34" spans="1:34" ht="16.5">
      <c r="A34" s="59" t="s">
        <v>80</v>
      </c>
      <c r="B34" s="57" t="s">
        <v>143</v>
      </c>
      <c r="C34" s="48" t="s">
        <v>138</v>
      </c>
      <c r="D34" s="2" t="str">
        <f>VLOOKUP(BE_NL[[#This Row],[Product Line]],Prod_T6[],5,0)</f>
        <v>Sunpower</v>
      </c>
      <c r="E34" s="47" t="s">
        <v>118</v>
      </c>
      <c r="F34" s="47" t="s">
        <v>119</v>
      </c>
      <c r="G34" s="177" t="s">
        <v>130</v>
      </c>
      <c r="H34" s="57"/>
      <c r="I34" s="60" t="s">
        <v>117</v>
      </c>
      <c r="J34" s="56"/>
      <c r="K34" s="56">
        <v>0.1</v>
      </c>
      <c r="L34" s="56"/>
      <c r="M34" s="56">
        <v>0.1</v>
      </c>
      <c r="N34" s="56"/>
      <c r="O34" s="56">
        <v>0.1</v>
      </c>
      <c r="P34" s="56"/>
      <c r="Q34" s="56">
        <v>0.1</v>
      </c>
      <c r="R34" s="56"/>
      <c r="S34" s="32">
        <f>SUM(BE_NL[[#This Row],[26M04]:[26M06]])</f>
        <v>0.1</v>
      </c>
      <c r="T34" s="69">
        <f>SUM(BE_NL[[#This Row],[26M07]:[26M09]])</f>
        <v>0.2</v>
      </c>
      <c r="U34" s="69">
        <f>SUM(BE_NL[[#This Row],[26M10]:[26M12]])</f>
        <v>0.1</v>
      </c>
      <c r="V34" s="256"/>
      <c r="W34" s="256"/>
      <c r="X34" s="256"/>
      <c r="Y34" s="256"/>
      <c r="Z34" s="256"/>
      <c r="AA34" s="256"/>
      <c r="AB34" s="256">
        <f>SUM(BE_NL[[#This Row],[27M01]:[27M03]])</f>
        <v>0</v>
      </c>
      <c r="AC34" s="256">
        <f>SUM(BE_NL[[#This Row],[27M04]:[27M06]])</f>
        <v>0</v>
      </c>
      <c r="AD34" s="256" t="str">
        <f>IF(SUM(BE_NL[[#This Row],[26Q2]:[26Q4]])+SUM(BE_NL[[#This Row],[27Q1]:[27Q2]])=0,"No FSCT",IF(AND(SUM(BE_NL[[#This Row],[26Q2]:[26Q4]])&gt;0,SUM(BE_NL[[#This Row],[27Q1]:[27Q2]])=0),"YES","NO"))</f>
        <v>YES</v>
      </c>
      <c r="AE34" s="85" t="str">
        <f>VLOOKUP(BE_NL[[#This Row],[Product Line]],Prod_T6[],4,0)</f>
        <v>PV</v>
      </c>
      <c r="AF34" s="2"/>
      <c r="AG34" s="2"/>
      <c r="AH34" s="2" t="str">
        <v>7 - Booked</v>
      </c>
    </row>
    <row r="35" spans="1:34" ht="16.5">
      <c r="A35" s="59" t="s">
        <v>80</v>
      </c>
      <c r="B35" s="57" t="s">
        <v>143</v>
      </c>
      <c r="D35" s="2" t="str">
        <f>VLOOKUP(BE_NL[[#This Row],[Product Line]],Prod_T6[],5,0)</f>
        <v>TCL</v>
      </c>
      <c r="E35" s="274" t="s">
        <v>113</v>
      </c>
      <c r="F35" s="274" t="s">
        <v>135</v>
      </c>
      <c r="G35" s="177" t="s">
        <v>136</v>
      </c>
      <c r="H35" s="47"/>
      <c r="I35" s="60" t="s">
        <v>117</v>
      </c>
      <c r="J35" s="56"/>
      <c r="K35" s="56"/>
      <c r="L35" s="56"/>
      <c r="M35" s="56"/>
      <c r="N35" s="56"/>
      <c r="O35" s="56"/>
      <c r="P35" s="56">
        <v>0.1</v>
      </c>
      <c r="Q35" s="56">
        <v>0.1</v>
      </c>
      <c r="R35" s="56">
        <v>0.1</v>
      </c>
      <c r="S35" s="32"/>
      <c r="T35" s="69">
        <f>SUM(BE_NL[[#This Row],[26M07]:[26M09]])</f>
        <v>0</v>
      </c>
      <c r="U35" s="69">
        <f>SUM(BE_NL[[#This Row],[26M10]:[26M12]])</f>
        <v>0.30000000000000004</v>
      </c>
      <c r="V35" s="256"/>
      <c r="W35" s="256"/>
      <c r="X35" s="256"/>
      <c r="Y35" s="256"/>
      <c r="Z35" s="256"/>
      <c r="AA35" s="256"/>
      <c r="AB35" s="256">
        <f>SUM(BE_NL[[#This Row],[27M01]:[27M03]])</f>
        <v>0</v>
      </c>
      <c r="AC35" s="256">
        <f>SUM(BE_NL[[#This Row],[27M04]:[27M06]])</f>
        <v>0</v>
      </c>
      <c r="AD35" s="256" t="str">
        <f>IF(SUM(BE_NL[[#This Row],[26Q2]:[26Q4]])+SUM(BE_NL[[#This Row],[27Q1]:[27Q2]])=0,"No FSCT",IF(AND(SUM(BE_NL[[#This Row],[26Q2]:[26Q4]])&gt;0,SUM(BE_NL[[#This Row],[27Q1]:[27Q2]])=0),"YES","NO"))</f>
        <v>YES</v>
      </c>
      <c r="AE35" s="85" t="str">
        <f>VLOOKUP(BE_NL[[#This Row],[Product Line]],Prod_T6[],4,0)</f>
        <v>PV</v>
      </c>
      <c r="AF35" s="2"/>
      <c r="AG35" s="2"/>
      <c r="AH35" s="2" t="str">
        <v>3 - Negotiation</v>
      </c>
    </row>
    <row r="36" spans="1:34" ht="16.5">
      <c r="A36" s="59" t="s">
        <v>80</v>
      </c>
      <c r="B36" s="57" t="s">
        <v>144</v>
      </c>
      <c r="C36" s="48" t="s">
        <v>128</v>
      </c>
      <c r="D36" s="2" t="str">
        <f>VLOOKUP(BE_NL[[#This Row],[Product Line]],Prod_T6[],5,0)</f>
        <v>Sunpower</v>
      </c>
      <c r="E36" s="47" t="s">
        <v>118</v>
      </c>
      <c r="F36" s="47" t="s">
        <v>119</v>
      </c>
      <c r="G36" s="177" t="s">
        <v>130</v>
      </c>
      <c r="H36" s="57"/>
      <c r="I36" s="60" t="s">
        <v>117</v>
      </c>
      <c r="J36" s="56"/>
      <c r="K36" s="56">
        <v>0.1</v>
      </c>
      <c r="L36" s="56"/>
      <c r="M36" s="56">
        <v>0.1</v>
      </c>
      <c r="N36" s="56"/>
      <c r="O36" s="56">
        <v>0.1</v>
      </c>
      <c r="P36" s="56"/>
      <c r="Q36" s="56"/>
      <c r="R36" s="56"/>
      <c r="S36" s="32">
        <f>SUM(BE_NL[[#This Row],[26M04]:[26M06]])</f>
        <v>0.1</v>
      </c>
      <c r="T36" s="69">
        <f>SUM(BE_NL[[#This Row],[26M07]:[26M09]])</f>
        <v>0.2</v>
      </c>
      <c r="U36" s="69">
        <f>SUM(BE_NL[[#This Row],[26M10]:[26M12]])</f>
        <v>0</v>
      </c>
      <c r="V36" s="256"/>
      <c r="W36" s="256"/>
      <c r="X36" s="256"/>
      <c r="Y36" s="256"/>
      <c r="Z36" s="256"/>
      <c r="AA36" s="256"/>
      <c r="AB36" s="256">
        <f>SUM(BE_NL[[#This Row],[27M01]:[27M03]])</f>
        <v>0</v>
      </c>
      <c r="AC36" s="256">
        <f>SUM(BE_NL[[#This Row],[27M04]:[27M06]])</f>
        <v>0</v>
      </c>
      <c r="AD36" s="256" t="str">
        <f>IF(SUM(BE_NL[[#This Row],[26Q2]:[26Q4]])+SUM(BE_NL[[#This Row],[27Q1]:[27Q2]])=0,"No FSCT",IF(AND(SUM(BE_NL[[#This Row],[26Q2]:[26Q4]])&gt;0,SUM(BE_NL[[#This Row],[27Q1]:[27Q2]])=0),"YES","NO"))</f>
        <v>YES</v>
      </c>
      <c r="AE36" s="85" t="str">
        <f>VLOOKUP(BE_NL[[#This Row],[Product Line]],Prod_T6[],4,0)</f>
        <v>PV</v>
      </c>
      <c r="AF36" s="2"/>
      <c r="AG36" s="2"/>
      <c r="AH36" s="2" t="str">
        <v>7 - Booked</v>
      </c>
    </row>
    <row r="37" spans="1:34" ht="16.5">
      <c r="A37" s="59" t="s">
        <v>80</v>
      </c>
      <c r="B37" s="57" t="s">
        <v>144</v>
      </c>
      <c r="D37" s="2" t="str">
        <f>VLOOKUP(BE_NL[[#This Row],[Product Line]],Prod_T6[],5,0)</f>
        <v>Sunpower</v>
      </c>
      <c r="E37" s="47" t="s">
        <v>134</v>
      </c>
      <c r="F37" s="47" t="s">
        <v>135</v>
      </c>
      <c r="G37" s="177" t="s">
        <v>136</v>
      </c>
      <c r="H37" s="47"/>
      <c r="I37" s="60" t="s">
        <v>117</v>
      </c>
      <c r="J37" s="56"/>
      <c r="K37" s="56"/>
      <c r="L37" s="56"/>
      <c r="M37" s="56"/>
      <c r="N37" s="56"/>
      <c r="O37" s="56"/>
      <c r="P37" s="56">
        <v>0.1</v>
      </c>
      <c r="Q37" s="56">
        <v>0.1</v>
      </c>
      <c r="R37" s="56">
        <v>0.1</v>
      </c>
      <c r="S37" s="32">
        <f>SUM(BE_NL[[#This Row],[26M04]:[26M06]])</f>
        <v>0</v>
      </c>
      <c r="T37" s="69">
        <f>SUM(BE_NL[[#This Row],[26M07]:[26M09]])</f>
        <v>0</v>
      </c>
      <c r="U37" s="69">
        <f>SUM(BE_NL[[#This Row],[26M10]:[26M12]])</f>
        <v>0.30000000000000004</v>
      </c>
      <c r="V37" s="256"/>
      <c r="W37" s="256"/>
      <c r="X37" s="256"/>
      <c r="Y37" s="256"/>
      <c r="Z37" s="256"/>
      <c r="AA37" s="256"/>
      <c r="AB37" s="256">
        <f>SUM(BE_NL[[#This Row],[27M01]:[27M03]])</f>
        <v>0</v>
      </c>
      <c r="AC37" s="256">
        <f>SUM(BE_NL[[#This Row],[27M04]:[27M06]])</f>
        <v>0</v>
      </c>
      <c r="AD37" s="256" t="str">
        <f>IF(SUM(BE_NL[[#This Row],[26Q2]:[26Q4]])+SUM(BE_NL[[#This Row],[27Q1]:[27Q2]])=0,"No FSCT",IF(AND(SUM(BE_NL[[#This Row],[26Q2]:[26Q4]])&gt;0,SUM(BE_NL[[#This Row],[27Q1]:[27Q2]])=0),"YES","NO"))</f>
        <v>YES</v>
      </c>
      <c r="AE37" s="85" t="str">
        <f>VLOOKUP(BE_NL[[#This Row],[Product Line]],Prod_T6[],4,0)</f>
        <v>PV</v>
      </c>
      <c r="AF37" s="2"/>
      <c r="AG37" s="2"/>
      <c r="AH37" s="2" t="str">
        <v>3 - Negotiation</v>
      </c>
    </row>
    <row r="38" spans="1:34" ht="16.5">
      <c r="A38" s="59" t="s">
        <v>80</v>
      </c>
      <c r="B38" s="57" t="s">
        <v>147</v>
      </c>
      <c r="D38" s="2" t="str">
        <f>VLOOKUP(BE_NL[[#This Row],[Product Line]],Prod_T6[],5,0)</f>
        <v>Sunpower</v>
      </c>
      <c r="E38" s="47" t="s">
        <v>118</v>
      </c>
      <c r="F38" s="47" t="s">
        <v>119</v>
      </c>
      <c r="G38" s="177" t="s">
        <v>130</v>
      </c>
      <c r="H38" s="47"/>
      <c r="I38" s="60" t="s">
        <v>117</v>
      </c>
      <c r="J38" s="56"/>
      <c r="K38" s="56">
        <v>0.2</v>
      </c>
      <c r="L38" s="56"/>
      <c r="M38" s="56">
        <v>0.2</v>
      </c>
      <c r="N38" s="56"/>
      <c r="O38" s="56">
        <v>0.2</v>
      </c>
      <c r="P38" s="56"/>
      <c r="Q38" s="56"/>
      <c r="R38" s="56"/>
      <c r="S38" s="32">
        <f>SUM(BE_NL[[#This Row],[26M04]:[26M06]])</f>
        <v>0.2</v>
      </c>
      <c r="T38" s="69">
        <f>SUM(BE_NL[[#This Row],[26M07]:[26M09]])</f>
        <v>0.4</v>
      </c>
      <c r="U38" s="69">
        <f>SUM(BE_NL[[#This Row],[26M10]:[26M12]])</f>
        <v>0</v>
      </c>
      <c r="V38" s="256"/>
      <c r="W38" s="256"/>
      <c r="X38" s="256"/>
      <c r="Y38" s="256"/>
      <c r="Z38" s="256"/>
      <c r="AA38" s="256"/>
      <c r="AB38" s="256">
        <f>SUM(BE_NL[[#This Row],[27M01]:[27M03]])</f>
        <v>0</v>
      </c>
      <c r="AC38" s="256">
        <f>SUM(BE_NL[[#This Row],[27M04]:[27M06]])</f>
        <v>0</v>
      </c>
      <c r="AD38" s="256" t="str">
        <f>IF(SUM(BE_NL[[#This Row],[26Q2]:[26Q4]])+SUM(BE_NL[[#This Row],[27Q1]:[27Q2]])=0,"No FSCT",IF(AND(SUM(BE_NL[[#This Row],[26Q2]:[26Q4]])&gt;0,SUM(BE_NL[[#This Row],[27Q1]:[27Q2]])=0),"YES","NO"))</f>
        <v>YES</v>
      </c>
      <c r="AE38" s="85" t="str">
        <f>VLOOKUP(BE_NL[[#This Row],[Product Line]],Prod_T6[],4,0)</f>
        <v>PV</v>
      </c>
      <c r="AF38" s="2"/>
      <c r="AG38" s="2"/>
      <c r="AH38" s="2" t="str">
        <v>7 - Booked</v>
      </c>
    </row>
    <row r="39" spans="1:34" ht="16.5">
      <c r="A39" s="59" t="s">
        <v>80</v>
      </c>
      <c r="B39" s="57" t="s">
        <v>147</v>
      </c>
      <c r="D39" s="2" t="str">
        <f>VLOOKUP(BE_NL[[#This Row],[Product Line]],Prod_T6[],5,0)</f>
        <v>Sunpower</v>
      </c>
      <c r="E39" s="47" t="s">
        <v>134</v>
      </c>
      <c r="F39" s="47" t="s">
        <v>135</v>
      </c>
      <c r="G39" s="177" t="s">
        <v>130</v>
      </c>
      <c r="H39" s="47"/>
      <c r="I39" s="60" t="s">
        <v>117</v>
      </c>
      <c r="J39" s="56"/>
      <c r="K39" s="56"/>
      <c r="L39" s="56"/>
      <c r="M39" s="56"/>
      <c r="N39" s="56"/>
      <c r="O39" s="56"/>
      <c r="P39" s="56">
        <v>0.2</v>
      </c>
      <c r="Q39" s="56">
        <v>0.2</v>
      </c>
      <c r="R39" s="56">
        <v>0.2</v>
      </c>
      <c r="S39" s="32">
        <v>0.15</v>
      </c>
      <c r="T39" s="69">
        <f>SUM(BE_NL[[#This Row],[26M07]:[26M09]])</f>
        <v>0</v>
      </c>
      <c r="U39" s="69">
        <f>SUM(BE_NL[[#This Row],[26M10]:[26M12]])</f>
        <v>0.60000000000000009</v>
      </c>
      <c r="V39" s="256"/>
      <c r="W39" s="256"/>
      <c r="X39" s="256"/>
      <c r="Y39" s="256"/>
      <c r="Z39" s="256"/>
      <c r="AA39" s="256"/>
      <c r="AB39" s="256">
        <f>SUM(BE_NL[[#This Row],[27M01]:[27M03]])</f>
        <v>0</v>
      </c>
      <c r="AC39" s="256">
        <f>SUM(BE_NL[[#This Row],[27M04]:[27M06]])</f>
        <v>0</v>
      </c>
      <c r="AD39" s="256" t="str">
        <f>IF(SUM(BE_NL[[#This Row],[26Q2]:[26Q4]])+SUM(BE_NL[[#This Row],[27Q1]:[27Q2]])=0,"No FSCT",IF(AND(SUM(BE_NL[[#This Row],[26Q2]:[26Q4]])&gt;0,SUM(BE_NL[[#This Row],[27Q1]:[27Q2]])=0),"YES","NO"))</f>
        <v>YES</v>
      </c>
      <c r="AE39" s="85" t="str">
        <f>VLOOKUP(BE_NL[[#This Row],[Product Line]],Prod_T6[],4,0)</f>
        <v>PV</v>
      </c>
      <c r="AF39" s="2"/>
      <c r="AG39" s="2"/>
      <c r="AH39" s="2" t="str">
        <v>7 - Booked</v>
      </c>
    </row>
    <row r="40" spans="1:34" ht="16.5" hidden="1">
      <c r="A40" s="59" t="s">
        <v>80</v>
      </c>
      <c r="B40" s="57" t="s">
        <v>148</v>
      </c>
      <c r="D40" s="2" t="str">
        <f>VLOOKUP(BE_NL[[#This Row],[Product Line]],Prod_T6[],5,0)</f>
        <v>TCL</v>
      </c>
      <c r="E40" s="47" t="s">
        <v>149</v>
      </c>
      <c r="F40" s="47" t="s">
        <v>150</v>
      </c>
      <c r="G40" s="177" t="s">
        <v>115</v>
      </c>
      <c r="H40" s="47"/>
      <c r="I40" s="60" t="s">
        <v>117</v>
      </c>
      <c r="J40" s="56"/>
      <c r="K40" s="56"/>
      <c r="L40" s="56"/>
      <c r="M40" s="56"/>
      <c r="N40" s="56"/>
      <c r="O40" s="56"/>
      <c r="P40" s="56">
        <v>0.9</v>
      </c>
      <c r="Q40" s="56">
        <v>0.9</v>
      </c>
      <c r="R40" s="56">
        <v>0.9</v>
      </c>
      <c r="S40" s="32">
        <f>SUM(BE_NL[[#This Row],[26M04]:[26M06]])</f>
        <v>0</v>
      </c>
      <c r="T40" s="69">
        <f>SUM(BE_NL[[#This Row],[26M07]:[26M09]])</f>
        <v>0</v>
      </c>
      <c r="U40" s="69">
        <f>SUM(BE_NL[[#This Row],[26M10]:[26M12]])</f>
        <v>2.7</v>
      </c>
      <c r="V40" s="256"/>
      <c r="W40" s="256"/>
      <c r="X40" s="256"/>
      <c r="Y40" s="256"/>
      <c r="Z40" s="256"/>
      <c r="AA40" s="256"/>
      <c r="AB40" s="256">
        <f>SUM(BE_NL[[#This Row],[27M01]:[27M03]])</f>
        <v>0</v>
      </c>
      <c r="AC40" s="256">
        <f>SUM(BE_NL[[#This Row],[27M04]:[27M06]])</f>
        <v>0</v>
      </c>
      <c r="AD40" s="256" t="str">
        <f>IF(SUM(BE_NL[[#This Row],[26Q2]:[26Q4]])+SUM(BE_NL[[#This Row],[27Q1]:[27Q2]])=0,"No FSCT",IF(AND(SUM(BE_NL[[#This Row],[26Q2]:[26Q4]])&gt;0,SUM(BE_NL[[#This Row],[27Q1]:[27Q2]])=0),"YES","NO"))</f>
        <v>YES</v>
      </c>
      <c r="AE40" s="85" t="str">
        <f>VLOOKUP(BE_NL[[#This Row],[Product Line]],Prod_T6[],4,0)</f>
        <v>PV</v>
      </c>
      <c r="AF40" s="2"/>
      <c r="AG40" s="2"/>
      <c r="AH40" s="2" t="str">
        <v>2 - Initial offer</v>
      </c>
    </row>
    <row r="41" spans="1:34" ht="16.5">
      <c r="A41" s="59" t="s">
        <v>80</v>
      </c>
      <c r="B41" s="57" t="s">
        <v>148</v>
      </c>
      <c r="D41" s="2" t="str">
        <f>VLOOKUP(BE_NL[[#This Row],[Product Line]],Prod_T6[],5,0)</f>
        <v>TCL</v>
      </c>
      <c r="E41" s="274" t="s">
        <v>113</v>
      </c>
      <c r="F41" s="274" t="s">
        <v>135</v>
      </c>
      <c r="G41" s="177" t="s">
        <v>136</v>
      </c>
      <c r="H41" s="47"/>
      <c r="I41" s="60" t="s">
        <v>117</v>
      </c>
      <c r="J41" s="56"/>
      <c r="K41" s="56"/>
      <c r="L41" s="56"/>
      <c r="M41" s="56"/>
      <c r="N41" s="56"/>
      <c r="O41" s="56">
        <v>0.9</v>
      </c>
      <c r="P41" s="56">
        <v>0.9</v>
      </c>
      <c r="Q41" s="56">
        <v>0.9</v>
      </c>
      <c r="R41" s="56">
        <v>0.9</v>
      </c>
      <c r="S41" s="32"/>
      <c r="T41" s="69">
        <f>SUM(BE_NL[[#This Row],[26M07]:[26M09]])</f>
        <v>0.9</v>
      </c>
      <c r="U41" s="69">
        <f>SUM(BE_NL[[#This Row],[26M10]:[26M12]])</f>
        <v>2.7</v>
      </c>
      <c r="V41" s="256"/>
      <c r="W41" s="256"/>
      <c r="X41" s="256"/>
      <c r="Y41" s="256"/>
      <c r="Z41" s="256"/>
      <c r="AA41" s="256"/>
      <c r="AB41" s="256">
        <f>SUM(BE_NL[[#This Row],[27M01]:[27M03]])</f>
        <v>0</v>
      </c>
      <c r="AC41" s="256">
        <f>SUM(BE_NL[[#This Row],[27M04]:[27M06]])</f>
        <v>0</v>
      </c>
      <c r="AD41" s="256" t="str">
        <f>IF(SUM(BE_NL[[#This Row],[26Q2]:[26Q4]])+SUM(BE_NL[[#This Row],[27Q1]:[27Q2]])=0,"No FSCT",IF(AND(SUM(BE_NL[[#This Row],[26Q2]:[26Q4]])&gt;0,SUM(BE_NL[[#This Row],[27Q1]:[27Q2]])=0),"YES","NO"))</f>
        <v>YES</v>
      </c>
      <c r="AE41" s="85" t="str">
        <f>VLOOKUP(BE_NL[[#This Row],[Product Line]],Prod_T6[],4,0)</f>
        <v>PV</v>
      </c>
      <c r="AF41" s="2"/>
      <c r="AG41" s="2"/>
      <c r="AH41" s="2" t="str">
        <v>3 - Negotiation</v>
      </c>
    </row>
    <row r="42" spans="1:34" ht="16.5">
      <c r="A42" s="59" t="s">
        <v>86</v>
      </c>
      <c r="B42" s="57" t="s">
        <v>392</v>
      </c>
      <c r="C42" s="48" t="s">
        <v>393</v>
      </c>
      <c r="D42" s="2" t="str">
        <f>VLOOKUP(BE_NL[[#This Row],[Product Line]],Prod_T6[],5,0)</f>
        <v>Sunpower</v>
      </c>
      <c r="E42" s="47" t="s">
        <v>118</v>
      </c>
      <c r="F42" s="47" t="s">
        <v>255</v>
      </c>
      <c r="G42" s="177" t="s">
        <v>130</v>
      </c>
      <c r="H42" s="57"/>
      <c r="I42" s="60" t="s">
        <v>117</v>
      </c>
      <c r="J42" s="56"/>
      <c r="K42" s="56">
        <v>0.4</v>
      </c>
      <c r="L42" s="56"/>
      <c r="M42" s="56"/>
      <c r="N42" s="56"/>
      <c r="O42" s="56"/>
      <c r="P42" s="56"/>
      <c r="Q42" s="56"/>
      <c r="R42" s="56"/>
      <c r="S42" s="32">
        <f>SUM(BE_NL[[#This Row],[26M04]:[26M06]])</f>
        <v>0.4</v>
      </c>
      <c r="T42" s="69">
        <f>SUM(BE_NL[[#This Row],[26M07]:[26M09]])</f>
        <v>0</v>
      </c>
      <c r="U42" s="69">
        <f>SUM(BE_NL[[#This Row],[26M10]:[26M12]])</f>
        <v>0</v>
      </c>
      <c r="V42" s="256"/>
      <c r="W42" s="256"/>
      <c r="X42" s="256"/>
      <c r="Y42" s="256"/>
      <c r="Z42" s="256"/>
      <c r="AA42" s="256"/>
      <c r="AB42" s="256">
        <f>SUM(BE_NL[[#This Row],[27M01]:[27M03]])</f>
        <v>0</v>
      </c>
      <c r="AC42" s="256">
        <f>SUM(BE_NL[[#This Row],[27M04]:[27M06]])</f>
        <v>0</v>
      </c>
      <c r="AD42" s="256" t="str">
        <f>IF(SUM(BE_NL[[#This Row],[26Q2]:[26Q4]])+SUM(BE_NL[[#This Row],[27Q1]:[27Q2]])=0,"No FSCT",IF(AND(SUM(BE_NL[[#This Row],[26Q2]:[26Q4]])&gt;0,SUM(BE_NL[[#This Row],[27Q1]:[27Q2]])=0),"YES","NO"))</f>
        <v>YES</v>
      </c>
      <c r="AE42" s="85" t="str">
        <f>VLOOKUP(BE_NL[[#This Row],[Product Line]],Prod_T6[],4,0)</f>
        <v>PV</v>
      </c>
      <c r="AF42" s="2"/>
      <c r="AG42" s="2"/>
      <c r="AH42" s="2" t="str">
        <v>7 - Booked</v>
      </c>
    </row>
    <row r="43" spans="1:34" ht="16.5" hidden="1">
      <c r="A43" s="59" t="s">
        <v>86</v>
      </c>
      <c r="B43" s="57" t="s">
        <v>392</v>
      </c>
      <c r="C43" s="48" t="s">
        <v>393</v>
      </c>
      <c r="D43" s="2" t="str">
        <f>VLOOKUP(BE_NL[[#This Row],[Product Line]],Prod_T6[],5,0)</f>
        <v>TCL</v>
      </c>
      <c r="E43" s="47" t="s">
        <v>149</v>
      </c>
      <c r="F43" s="47" t="s">
        <v>155</v>
      </c>
      <c r="G43" s="177" t="s">
        <v>115</v>
      </c>
      <c r="H43" s="57"/>
      <c r="I43" s="60" t="s">
        <v>117</v>
      </c>
      <c r="J43" s="56"/>
      <c r="K43" s="56"/>
      <c r="L43" s="56"/>
      <c r="M43" s="56"/>
      <c r="N43" s="56">
        <v>0.82</v>
      </c>
      <c r="O43" s="56"/>
      <c r="P43" s="56"/>
      <c r="Q43" s="56"/>
      <c r="R43" s="56"/>
      <c r="S43" s="32">
        <f>SUM(BE_NL[[#This Row],[26M04]:[26M06]])</f>
        <v>0</v>
      </c>
      <c r="T43" s="69">
        <f>SUM(BE_NL[[#This Row],[26M07]:[26M09]])</f>
        <v>0.82</v>
      </c>
      <c r="U43" s="69">
        <f>SUM(BE_NL[[#This Row],[26M10]:[26M12]])</f>
        <v>0</v>
      </c>
      <c r="V43" s="256"/>
      <c r="W43" s="256"/>
      <c r="X43" s="256"/>
      <c r="Y43" s="256"/>
      <c r="Z43" s="256"/>
      <c r="AA43" s="256"/>
      <c r="AB43" s="256">
        <f>SUM(BE_NL[[#This Row],[27M01]:[27M03]])</f>
        <v>0</v>
      </c>
      <c r="AC43" s="256">
        <f>SUM(BE_NL[[#This Row],[27M04]:[27M06]])</f>
        <v>0</v>
      </c>
      <c r="AD43" s="256" t="str">
        <f>IF(SUM(BE_NL[[#This Row],[26Q2]:[26Q4]])+SUM(BE_NL[[#This Row],[27Q1]:[27Q2]])=0,"No FSCT",IF(AND(SUM(BE_NL[[#This Row],[26Q2]:[26Q4]])&gt;0,SUM(BE_NL[[#This Row],[27Q1]:[27Q2]])=0),"YES","NO"))</f>
        <v>YES</v>
      </c>
      <c r="AE43" s="85" t="str">
        <f>VLOOKUP(BE_NL[[#This Row],[Product Line]],Prod_T6[],4,0)</f>
        <v>PV</v>
      </c>
      <c r="AF43" s="2"/>
      <c r="AG43" s="2"/>
      <c r="AH43" s="2" t="str">
        <v>2 - Initial offer</v>
      </c>
    </row>
    <row r="44" spans="1:34" ht="16.5" hidden="1">
      <c r="A44" s="59" t="s">
        <v>86</v>
      </c>
      <c r="B44" s="57" t="s">
        <v>645</v>
      </c>
      <c r="D44" s="2" t="str">
        <f>VLOOKUP(BE_NL[[#This Row],[Product Line]],Prod_T6[],5,0)</f>
        <v>TCL</v>
      </c>
      <c r="E44" s="47" t="s">
        <v>317</v>
      </c>
      <c r="F44" s="47" t="s">
        <v>318</v>
      </c>
      <c r="G44" s="177" t="s">
        <v>634</v>
      </c>
      <c r="H44" s="153" t="s">
        <v>646</v>
      </c>
      <c r="I44" s="60" t="s">
        <v>117</v>
      </c>
      <c r="J44" s="56"/>
      <c r="K44" s="56"/>
      <c r="L44" s="56"/>
      <c r="M44" s="56">
        <v>1</v>
      </c>
      <c r="N44" s="56"/>
      <c r="O44" s="56"/>
      <c r="P44" s="56"/>
      <c r="Q44" s="56"/>
      <c r="R44" s="56"/>
      <c r="S44" s="32">
        <f>SUM(BE_NL[[#This Row],[26M04]:[26M06]])</f>
        <v>0</v>
      </c>
      <c r="T44" s="69">
        <f>SUM(BE_NL[[#This Row],[26M07]:[26M09]])</f>
        <v>1</v>
      </c>
      <c r="U44" s="69">
        <f>SUM(BE_NL[[#This Row],[26M10]:[26M12]])</f>
        <v>0</v>
      </c>
      <c r="V44" s="256"/>
      <c r="W44" s="256"/>
      <c r="X44" s="256"/>
      <c r="Y44" s="256"/>
      <c r="Z44" s="256"/>
      <c r="AA44" s="256"/>
      <c r="AB44" s="256">
        <f>SUM(BE_NL[[#This Row],[27M01]:[27M03]])</f>
        <v>0</v>
      </c>
      <c r="AC44" s="256">
        <f>SUM(BE_NL[[#This Row],[27M04]:[27M06]])</f>
        <v>0</v>
      </c>
      <c r="AD44" s="256" t="str">
        <f>IF(SUM(BE_NL[[#This Row],[26Q2]:[26Q4]])+SUM(BE_NL[[#This Row],[27Q1]:[27Q2]])=0,"No FSCT",IF(AND(SUM(BE_NL[[#This Row],[26Q2]:[26Q4]])&gt;0,SUM(BE_NL[[#This Row],[27Q1]:[27Q2]])=0),"YES","NO"))</f>
        <v>YES</v>
      </c>
      <c r="AE44" s="120" t="str">
        <f>VLOOKUP(BE_NL[[#This Row],[Product Line]],Prod_T6[],4,0)</f>
        <v>PV</v>
      </c>
      <c r="AF44" s="2"/>
      <c r="AG44" s="2"/>
      <c r="AH44" s="2" t="str">
        <v>0  - Lost</v>
      </c>
    </row>
    <row r="45" spans="1:34" ht="16.5" hidden="1">
      <c r="A45" s="59" t="s">
        <v>86</v>
      </c>
      <c r="B45" s="57" t="s">
        <v>645</v>
      </c>
      <c r="C45" s="48" t="s">
        <v>393</v>
      </c>
      <c r="D45" s="2" t="str">
        <f>VLOOKUP(BE_NL[[#This Row],[Product Line]],Prod_T6[],5,0)</f>
        <v>TCL</v>
      </c>
      <c r="E45" s="47" t="s">
        <v>149</v>
      </c>
      <c r="F45" s="47" t="s">
        <v>152</v>
      </c>
      <c r="G45" s="177" t="s">
        <v>634</v>
      </c>
      <c r="H45" s="106" t="s">
        <v>647</v>
      </c>
      <c r="I45" s="60" t="s">
        <v>117</v>
      </c>
      <c r="J45" s="56"/>
      <c r="K45" s="56"/>
      <c r="L45" s="56"/>
      <c r="M45" s="56"/>
      <c r="N45" s="56"/>
      <c r="O45" s="56"/>
      <c r="P45" s="56"/>
      <c r="Q45" s="56"/>
      <c r="R45" s="56"/>
      <c r="S45" s="32">
        <f>SUM(BE_NL[[#This Row],[26M04]:[26M06]])</f>
        <v>0</v>
      </c>
      <c r="T45" s="69">
        <f>SUM(BE_NL[[#This Row],[26M07]:[26M09]])</f>
        <v>0</v>
      </c>
      <c r="U45" s="69">
        <f>SUM(BE_NL[[#This Row],[26M10]:[26M12]])</f>
        <v>0</v>
      </c>
      <c r="V45" s="256"/>
      <c r="W45" s="256"/>
      <c r="X45" s="256"/>
      <c r="Y45" s="256"/>
      <c r="Z45" s="256"/>
      <c r="AA45" s="256"/>
      <c r="AB45" s="256">
        <f>SUM(BE_NL[[#This Row],[27M01]:[27M03]])</f>
        <v>0</v>
      </c>
      <c r="AC45" s="256">
        <f>SUM(BE_NL[[#This Row],[27M04]:[27M06]])</f>
        <v>0</v>
      </c>
      <c r="AD45" s="256" t="str">
        <f>IF(SUM(BE_NL[[#This Row],[26Q2]:[26Q4]])+SUM(BE_NL[[#This Row],[27Q1]:[27Q2]])=0,"No FSCT",IF(AND(SUM(BE_NL[[#This Row],[26Q2]:[26Q4]])&gt;0,SUM(BE_NL[[#This Row],[27Q1]:[27Q2]])=0),"YES","NO"))</f>
        <v>No FSCT</v>
      </c>
      <c r="AE45" s="120" t="str">
        <f>VLOOKUP(BE_NL[[#This Row],[Product Line]],Prod_T6[],4,0)</f>
        <v>PV</v>
      </c>
      <c r="AF45" s="2"/>
      <c r="AG45" s="2"/>
      <c r="AH45" s="2" t="str">
        <v>0  - Lost</v>
      </c>
    </row>
    <row r="46" spans="1:34" ht="16.5">
      <c r="A46" s="59" t="s">
        <v>86</v>
      </c>
      <c r="B46" s="57" t="s">
        <v>388</v>
      </c>
      <c r="D46" s="2" t="str">
        <f>VLOOKUP(BE_NL[[#This Row],[Product Line]],Prod_T6[],5,0)</f>
        <v>TCL</v>
      </c>
      <c r="E46" s="47" t="s">
        <v>317</v>
      </c>
      <c r="F46" s="47" t="s">
        <v>318</v>
      </c>
      <c r="G46" s="177" t="s">
        <v>130</v>
      </c>
      <c r="H46" s="47" t="s">
        <v>395</v>
      </c>
      <c r="I46" s="60" t="s">
        <v>117</v>
      </c>
      <c r="J46" s="56"/>
      <c r="K46" s="56"/>
      <c r="L46" s="56"/>
      <c r="M46" s="56">
        <v>0.42</v>
      </c>
      <c r="N46" s="56"/>
      <c r="O46" s="56"/>
      <c r="P46" s="56"/>
      <c r="Q46" s="56"/>
      <c r="R46" s="56"/>
      <c r="S46" s="32">
        <f>SUM(BE_NL[[#This Row],[26M04]:[26M06]])</f>
        <v>0</v>
      </c>
      <c r="T46" s="69">
        <f>SUM(BE_NL[[#This Row],[26M07]:[26M09]])</f>
        <v>0.42</v>
      </c>
      <c r="U46" s="69">
        <f>SUM(BE_NL[[#This Row],[26M10]:[26M12]])</f>
        <v>0</v>
      </c>
      <c r="V46" s="256"/>
      <c r="W46" s="256"/>
      <c r="X46" s="256"/>
      <c r="Y46" s="256"/>
      <c r="Z46" s="256"/>
      <c r="AA46" s="256"/>
      <c r="AB46" s="256">
        <f>SUM(BE_NL[[#This Row],[27M01]:[27M03]])</f>
        <v>0</v>
      </c>
      <c r="AC46" s="256">
        <f>SUM(BE_NL[[#This Row],[27M04]:[27M06]])</f>
        <v>0</v>
      </c>
      <c r="AD46" s="256" t="str">
        <f>IF(SUM(BE_NL[[#This Row],[26Q2]:[26Q4]])+SUM(BE_NL[[#This Row],[27Q1]:[27Q2]])=0,"No FSCT",IF(AND(SUM(BE_NL[[#This Row],[26Q2]:[26Q4]])&gt;0,SUM(BE_NL[[#This Row],[27Q1]:[27Q2]])=0),"YES","NO"))</f>
        <v>YES</v>
      </c>
      <c r="AE46" s="85" t="str">
        <f>VLOOKUP(BE_NL[[#This Row],[Product Line]],Prod_T6[],4,0)</f>
        <v>PV</v>
      </c>
      <c r="AF46" s="2"/>
      <c r="AG46" s="2"/>
      <c r="AH46" s="2" t="str">
        <v>7 - Booked</v>
      </c>
    </row>
    <row r="47" spans="1:34" ht="16.5">
      <c r="A47" s="59" t="s">
        <v>86</v>
      </c>
      <c r="B47" s="57" t="s">
        <v>388</v>
      </c>
      <c r="D47" s="2" t="str">
        <f>VLOOKUP(BE_NL[[#This Row],[Product Line]],Prod_T6[],5,0)</f>
        <v>TCL</v>
      </c>
      <c r="E47" s="47" t="s">
        <v>113</v>
      </c>
      <c r="F47" s="47" t="s">
        <v>153</v>
      </c>
      <c r="G47" s="177" t="s">
        <v>136</v>
      </c>
      <c r="H47" s="47" t="s">
        <v>394</v>
      </c>
      <c r="I47" s="60" t="s">
        <v>117</v>
      </c>
      <c r="J47" s="56"/>
      <c r="K47" s="56"/>
      <c r="L47" s="56"/>
      <c r="M47" s="56"/>
      <c r="N47" s="56"/>
      <c r="O47" s="56"/>
      <c r="P47" s="56">
        <v>2</v>
      </c>
      <c r="Q47" s="56">
        <v>2</v>
      </c>
      <c r="R47" s="56">
        <v>2</v>
      </c>
      <c r="S47" s="32">
        <f>SUM(BE_NL[[#This Row],[26M04]:[26M06]])</f>
        <v>0</v>
      </c>
      <c r="T47" s="69">
        <f>SUM(BE_NL[[#This Row],[26M07]:[26M09]])</f>
        <v>0</v>
      </c>
      <c r="U47" s="69">
        <f>SUM(BE_NL[[#This Row],[26M10]:[26M12]])</f>
        <v>6</v>
      </c>
      <c r="V47" s="256"/>
      <c r="W47" s="256"/>
      <c r="X47" s="256"/>
      <c r="Y47" s="256"/>
      <c r="Z47" s="256"/>
      <c r="AA47" s="256"/>
      <c r="AB47" s="256">
        <f>SUM(BE_NL[[#This Row],[27M01]:[27M03]])</f>
        <v>0</v>
      </c>
      <c r="AC47" s="256">
        <f>SUM(BE_NL[[#This Row],[27M04]:[27M06]])</f>
        <v>0</v>
      </c>
      <c r="AD47" s="256" t="str">
        <f>IF(SUM(BE_NL[[#This Row],[26Q2]:[26Q4]])+SUM(BE_NL[[#This Row],[27Q1]:[27Q2]])=0,"No FSCT",IF(AND(SUM(BE_NL[[#This Row],[26Q2]:[26Q4]])&gt;0,SUM(BE_NL[[#This Row],[27Q1]:[27Q2]])=0),"YES","NO"))</f>
        <v>YES</v>
      </c>
      <c r="AE47" s="85" t="str">
        <f>VLOOKUP(BE_NL[[#This Row],[Product Line]],Prod_T6[],4,0)</f>
        <v>PV</v>
      </c>
      <c r="AF47" s="2"/>
      <c r="AG47" s="2"/>
      <c r="AH47" s="2" t="str">
        <v>3 - Negotiation</v>
      </c>
    </row>
    <row r="48" spans="1:34" ht="16.5">
      <c r="A48" s="59" t="s">
        <v>86</v>
      </c>
      <c r="B48" s="57" t="s">
        <v>388</v>
      </c>
      <c r="D48" s="2" t="str">
        <f>VLOOKUP(BE_NL[[#This Row],[Product Line]],Prod_T6[],5,0)</f>
        <v>Sunpower</v>
      </c>
      <c r="E48" s="47" t="s">
        <v>134</v>
      </c>
      <c r="F48" s="47" t="s">
        <v>135</v>
      </c>
      <c r="G48" s="177" t="s">
        <v>136</v>
      </c>
      <c r="H48" s="47" t="s">
        <v>399</v>
      </c>
      <c r="I48" s="60" t="s">
        <v>117</v>
      </c>
      <c r="J48" s="56"/>
      <c r="K48" s="56"/>
      <c r="L48" s="56"/>
      <c r="M48" s="56"/>
      <c r="N48" s="56"/>
      <c r="O48" s="56"/>
      <c r="P48" s="56">
        <v>2</v>
      </c>
      <c r="Q48" s="56">
        <v>2</v>
      </c>
      <c r="R48" s="56">
        <v>2</v>
      </c>
      <c r="S48" s="32">
        <f>SUM(BE_NL[[#This Row],[26M04]:[26M06]])</f>
        <v>0</v>
      </c>
      <c r="T48" s="69">
        <f>SUM(BE_NL[[#This Row],[26M07]:[26M09]])</f>
        <v>0</v>
      </c>
      <c r="U48" s="69">
        <f>SUM(BE_NL[[#This Row],[26M10]:[26M12]])</f>
        <v>6</v>
      </c>
      <c r="V48" s="256"/>
      <c r="W48" s="256"/>
      <c r="X48" s="256"/>
      <c r="Y48" s="256"/>
      <c r="Z48" s="256"/>
      <c r="AA48" s="256"/>
      <c r="AB48" s="256">
        <f>SUM(BE_NL[[#This Row],[27M01]:[27M03]])</f>
        <v>0</v>
      </c>
      <c r="AC48" s="256">
        <f>SUM(BE_NL[[#This Row],[27M04]:[27M06]])</f>
        <v>0</v>
      </c>
      <c r="AD48" s="256" t="str">
        <f>IF(SUM(BE_NL[[#This Row],[26Q2]:[26Q4]])+SUM(BE_NL[[#This Row],[27Q1]:[27Q2]])=0,"No FSCT",IF(AND(SUM(BE_NL[[#This Row],[26Q2]:[26Q4]])&gt;0,SUM(BE_NL[[#This Row],[27Q1]:[27Q2]])=0),"YES","NO"))</f>
        <v>YES</v>
      </c>
      <c r="AE48" s="85" t="str">
        <f>VLOOKUP(BE_NL[[#This Row],[Product Line]],Prod_T6[],4,0)</f>
        <v>PV</v>
      </c>
      <c r="AF48" s="2"/>
      <c r="AG48" s="2"/>
      <c r="AH48" s="2" t="str">
        <v>3 - Negotiation</v>
      </c>
    </row>
    <row r="49" spans="1:34" ht="16.5" hidden="1">
      <c r="A49" s="59" t="s">
        <v>86</v>
      </c>
      <c r="B49" s="57" t="s">
        <v>388</v>
      </c>
      <c r="D49" s="2" t="str">
        <f>VLOOKUP(BE_NL[[#This Row],[Product Line]],Prod_T6[],5,0)</f>
        <v>TCL</v>
      </c>
      <c r="E49" s="47" t="s">
        <v>149</v>
      </c>
      <c r="F49" s="47" t="s">
        <v>155</v>
      </c>
      <c r="G49" s="177" t="s">
        <v>115</v>
      </c>
      <c r="H49" s="47" t="s">
        <v>389</v>
      </c>
      <c r="I49" s="60" t="s">
        <v>117</v>
      </c>
      <c r="J49" s="56"/>
      <c r="K49" s="56"/>
      <c r="L49" s="56"/>
      <c r="M49" s="56"/>
      <c r="N49" s="56"/>
      <c r="O49" s="56"/>
      <c r="P49" s="56">
        <v>2</v>
      </c>
      <c r="Q49" s="56">
        <v>2</v>
      </c>
      <c r="R49" s="56">
        <v>2</v>
      </c>
      <c r="S49" s="32">
        <f>SUM(BE_NL[[#This Row],[26M04]:[26M06]])</f>
        <v>0</v>
      </c>
      <c r="T49" s="69">
        <f>SUM(BE_NL[[#This Row],[26M07]:[26M09]])</f>
        <v>0</v>
      </c>
      <c r="U49" s="69">
        <f>SUM(BE_NL[[#This Row],[26M10]:[26M12]])</f>
        <v>6</v>
      </c>
      <c r="V49" s="256"/>
      <c r="W49" s="256"/>
      <c r="X49" s="256"/>
      <c r="Y49" s="256"/>
      <c r="Z49" s="256"/>
      <c r="AA49" s="256"/>
      <c r="AB49" s="256">
        <f>SUM(BE_NL[[#This Row],[27M01]:[27M03]])</f>
        <v>0</v>
      </c>
      <c r="AC49" s="256">
        <f>SUM(BE_NL[[#This Row],[27M04]:[27M06]])</f>
        <v>0</v>
      </c>
      <c r="AD49" s="256" t="str">
        <f>IF(SUM(BE_NL[[#This Row],[26Q2]:[26Q4]])+SUM(BE_NL[[#This Row],[27Q1]:[27Q2]])=0,"No FSCT",IF(AND(SUM(BE_NL[[#This Row],[26Q2]:[26Q4]])&gt;0,SUM(BE_NL[[#This Row],[27Q1]:[27Q2]])=0),"YES","NO"))</f>
        <v>YES</v>
      </c>
      <c r="AE49" s="85" t="str">
        <f>VLOOKUP(BE_NL[[#This Row],[Product Line]],Prod_T6[],4,0)</f>
        <v>PV</v>
      </c>
      <c r="AF49" s="2"/>
      <c r="AG49" s="2"/>
      <c r="AH49" s="2" t="str">
        <v>2 - Initial offer</v>
      </c>
    </row>
    <row r="50" spans="1:34" ht="16.5" hidden="1">
      <c r="A50" s="59" t="s">
        <v>86</v>
      </c>
      <c r="B50" s="57" t="s">
        <v>388</v>
      </c>
      <c r="D50" s="2" t="str">
        <f>VLOOKUP(BE_NL[[#This Row],[Product Line]],Prod_T6[],5,0)</f>
        <v>TCL</v>
      </c>
      <c r="E50" s="47" t="s">
        <v>149</v>
      </c>
      <c r="F50" s="47" t="s">
        <v>150</v>
      </c>
      <c r="G50" s="177" t="s">
        <v>115</v>
      </c>
      <c r="H50" s="47" t="s">
        <v>389</v>
      </c>
      <c r="I50" s="60" t="s">
        <v>117</v>
      </c>
      <c r="J50" s="56"/>
      <c r="K50" s="56"/>
      <c r="L50" s="56"/>
      <c r="M50" s="56"/>
      <c r="N50" s="56"/>
      <c r="O50" s="56"/>
      <c r="P50" s="56">
        <v>3</v>
      </c>
      <c r="Q50" s="56">
        <v>3</v>
      </c>
      <c r="R50" s="56">
        <v>3</v>
      </c>
      <c r="S50" s="32">
        <f>SUM(BE_NL[[#This Row],[26M04]:[26M06]])</f>
        <v>0</v>
      </c>
      <c r="T50" s="69">
        <f>SUM(BE_NL[[#This Row],[26M07]:[26M09]])</f>
        <v>0</v>
      </c>
      <c r="U50" s="69">
        <f>SUM(BE_NL[[#This Row],[26M10]:[26M12]])</f>
        <v>9</v>
      </c>
      <c r="V50" s="256"/>
      <c r="W50" s="256"/>
      <c r="X50" s="256"/>
      <c r="Y50" s="256"/>
      <c r="Z50" s="256"/>
      <c r="AA50" s="256"/>
      <c r="AB50" s="256">
        <f>SUM(BE_NL[[#This Row],[27M01]:[27M03]])</f>
        <v>0</v>
      </c>
      <c r="AC50" s="256">
        <f>SUM(BE_NL[[#This Row],[27M04]:[27M06]])</f>
        <v>0</v>
      </c>
      <c r="AD50" s="256" t="str">
        <f>IF(SUM(BE_NL[[#This Row],[26Q2]:[26Q4]])+SUM(BE_NL[[#This Row],[27Q1]:[27Q2]])=0,"No FSCT",IF(AND(SUM(BE_NL[[#This Row],[26Q2]:[26Q4]])&gt;0,SUM(BE_NL[[#This Row],[27Q1]:[27Q2]])=0),"YES","NO"))</f>
        <v>YES</v>
      </c>
      <c r="AE50" s="120" t="str">
        <f>VLOOKUP(BE_NL[[#This Row],[Product Line]],Prod_T6[],4,0)</f>
        <v>PV</v>
      </c>
      <c r="AF50" s="2"/>
      <c r="AG50" s="2"/>
      <c r="AH50" s="2" t="str">
        <v>2 - Initial offer</v>
      </c>
    </row>
    <row r="51" spans="1:34" ht="16.5" hidden="1">
      <c r="A51" s="59" t="s">
        <v>86</v>
      </c>
      <c r="B51" s="57" t="s">
        <v>388</v>
      </c>
      <c r="D51" s="2" t="str">
        <f>VLOOKUP(BE_NL[[#This Row],[Product Line]],Prod_T6[],5,0)</f>
        <v>Sunpower</v>
      </c>
      <c r="E51" s="47" t="s">
        <v>118</v>
      </c>
      <c r="F51" s="47" t="s">
        <v>119</v>
      </c>
      <c r="G51" s="177" t="s">
        <v>115</v>
      </c>
      <c r="H51" s="47" t="s">
        <v>389</v>
      </c>
      <c r="I51" s="60" t="s">
        <v>117</v>
      </c>
      <c r="J51" s="56"/>
      <c r="K51" s="56"/>
      <c r="L51" s="56"/>
      <c r="M51" s="56"/>
      <c r="N51" s="56"/>
      <c r="O51" s="56"/>
      <c r="P51" s="56">
        <v>1</v>
      </c>
      <c r="Q51" s="56">
        <v>1</v>
      </c>
      <c r="R51" s="56">
        <v>1</v>
      </c>
      <c r="S51" s="32">
        <f>SUM(BE_NL[[#This Row],[26M04]:[26M06]])</f>
        <v>0</v>
      </c>
      <c r="T51" s="69">
        <f>SUM(BE_NL[[#This Row],[26M07]:[26M09]])</f>
        <v>0</v>
      </c>
      <c r="U51" s="69">
        <f>SUM(BE_NL[[#This Row],[26M10]:[26M12]])</f>
        <v>3</v>
      </c>
      <c r="V51" s="256"/>
      <c r="W51" s="256"/>
      <c r="X51" s="256"/>
      <c r="Y51" s="256"/>
      <c r="Z51" s="256"/>
      <c r="AA51" s="256"/>
      <c r="AB51" s="256">
        <f>SUM(BE_NL[[#This Row],[27M01]:[27M03]])</f>
        <v>0</v>
      </c>
      <c r="AC51" s="256">
        <f>SUM(BE_NL[[#This Row],[27M04]:[27M06]])</f>
        <v>0</v>
      </c>
      <c r="AD51" s="256" t="str">
        <f>IF(SUM(BE_NL[[#This Row],[26Q2]:[26Q4]])+SUM(BE_NL[[#This Row],[27Q1]:[27Q2]])=0,"No FSCT",IF(AND(SUM(BE_NL[[#This Row],[26Q2]:[26Q4]])&gt;0,SUM(BE_NL[[#This Row],[27Q1]:[27Q2]])=0),"YES","NO"))</f>
        <v>YES</v>
      </c>
      <c r="AE51" s="85" t="str">
        <f>VLOOKUP(BE_NL[[#This Row],[Product Line]],Prod_T6[],4,0)</f>
        <v>PV</v>
      </c>
      <c r="AF51" s="2"/>
      <c r="AG51" s="2"/>
      <c r="AH51" s="2" t="str">
        <v>2 - Initial offer</v>
      </c>
    </row>
    <row r="52" spans="1:34" ht="16.5" hidden="1">
      <c r="A52" s="59" t="s">
        <v>86</v>
      </c>
      <c r="B52" s="57" t="s">
        <v>388</v>
      </c>
      <c r="D52" s="2" t="str">
        <f>VLOOKUP(BE_NL[[#This Row],[Product Line]],Prod_T6[],5,0)</f>
        <v>TCL</v>
      </c>
      <c r="E52" s="47" t="s">
        <v>149</v>
      </c>
      <c r="F52" s="47" t="s">
        <v>391</v>
      </c>
      <c r="G52" s="177" t="s">
        <v>115</v>
      </c>
      <c r="H52" s="47" t="s">
        <v>389</v>
      </c>
      <c r="I52" s="60" t="s">
        <v>117</v>
      </c>
      <c r="J52" s="56"/>
      <c r="K52" s="56"/>
      <c r="L52" s="56"/>
      <c r="M52" s="56"/>
      <c r="N52" s="56"/>
      <c r="O52" s="56"/>
      <c r="P52" s="56">
        <v>0.8</v>
      </c>
      <c r="Q52" s="56">
        <v>0.8</v>
      </c>
      <c r="R52" s="56">
        <v>0.8</v>
      </c>
      <c r="S52" s="32">
        <f>SUM(BE_NL[[#This Row],[26M04]:[26M06]])</f>
        <v>0</v>
      </c>
      <c r="T52" s="69">
        <f>SUM(BE_NL[[#This Row],[26M07]:[26M09]])</f>
        <v>0</v>
      </c>
      <c r="U52" s="69">
        <f>SUM(BE_NL[[#This Row],[26M10]:[26M12]])</f>
        <v>2.4000000000000004</v>
      </c>
      <c r="V52" s="256"/>
      <c r="W52" s="256"/>
      <c r="X52" s="256"/>
      <c r="Y52" s="256"/>
      <c r="Z52" s="256"/>
      <c r="AA52" s="256"/>
      <c r="AB52" s="256">
        <f>SUM(BE_NL[[#This Row],[27M01]:[27M03]])</f>
        <v>0</v>
      </c>
      <c r="AC52" s="256">
        <f>SUM(BE_NL[[#This Row],[27M04]:[27M06]])</f>
        <v>0</v>
      </c>
      <c r="AD52" s="256" t="str">
        <f>IF(SUM(BE_NL[[#This Row],[26Q2]:[26Q4]])+SUM(BE_NL[[#This Row],[27Q1]:[27Q2]])=0,"No FSCT",IF(AND(SUM(BE_NL[[#This Row],[26Q2]:[26Q4]])&gt;0,SUM(BE_NL[[#This Row],[27Q1]:[27Q2]])=0),"YES","NO"))</f>
        <v>YES</v>
      </c>
      <c r="AE52" s="85" t="str">
        <f>VLOOKUP(BE_NL[[#This Row],[Product Line]],Prod_T6[],4,0)</f>
        <v>PV</v>
      </c>
      <c r="AF52" s="2"/>
      <c r="AG52" s="2"/>
      <c r="AH52" s="2" t="str">
        <v>2 - Initial offer</v>
      </c>
    </row>
    <row r="53" spans="1:34" ht="16.5" hidden="1">
      <c r="A53" s="59" t="s">
        <v>80</v>
      </c>
      <c r="B53" s="57" t="s">
        <v>127</v>
      </c>
      <c r="D53" s="2" t="str">
        <f>VLOOKUP(BE_NL[[#This Row],[Product Line]],Prod_T6[],5,0)</f>
        <v>TCL</v>
      </c>
      <c r="E53" s="47" t="s">
        <v>141</v>
      </c>
      <c r="F53" s="47" t="s">
        <v>46</v>
      </c>
      <c r="G53" s="177" t="s">
        <v>115</v>
      </c>
      <c r="H53" s="47" t="s">
        <v>142</v>
      </c>
      <c r="I53" s="60" t="s">
        <v>132</v>
      </c>
      <c r="J53" s="56"/>
      <c r="K53" s="56"/>
      <c r="L53" s="56"/>
      <c r="M53" s="56"/>
      <c r="N53" s="56"/>
      <c r="O53" s="56"/>
      <c r="P53" s="56">
        <v>2</v>
      </c>
      <c r="Q53" s="56">
        <v>2</v>
      </c>
      <c r="R53" s="56">
        <v>2</v>
      </c>
      <c r="S53" s="32">
        <f>SUM(BE_NL[[#This Row],[26M04]:[26M06]])</f>
        <v>0</v>
      </c>
      <c r="T53" s="69">
        <f>SUM(BE_NL[[#This Row],[26M07]:[26M09]])</f>
        <v>0</v>
      </c>
      <c r="U53" s="69">
        <f>SUM(BE_NL[[#This Row],[26M10]:[26M12]])</f>
        <v>6</v>
      </c>
      <c r="V53" s="256"/>
      <c r="W53" s="256"/>
      <c r="X53" s="256"/>
      <c r="Y53" s="256"/>
      <c r="Z53" s="256"/>
      <c r="AA53" s="256"/>
      <c r="AB53" s="256">
        <f>SUM(BE_NL[[#This Row],[27M01]:[27M03]])</f>
        <v>0</v>
      </c>
      <c r="AC53" s="256">
        <f>SUM(BE_NL[[#This Row],[27M04]:[27M06]])</f>
        <v>0</v>
      </c>
      <c r="AD53" s="256" t="str">
        <f>IF(SUM(BE_NL[[#This Row],[26Q2]:[26Q4]])+SUM(BE_NL[[#This Row],[27Q1]:[27Q2]])=0,"No FSCT",IF(AND(SUM(BE_NL[[#This Row],[26Q2]:[26Q4]])&gt;0,SUM(BE_NL[[#This Row],[27Q1]:[27Q2]])=0),"YES","NO"))</f>
        <v>YES</v>
      </c>
      <c r="AE53" s="85" t="str">
        <f>VLOOKUP(BE_NL[[#This Row],[Product Line]],Prod_T6[],4,0)</f>
        <v>ESS</v>
      </c>
      <c r="AF53" s="2"/>
      <c r="AG53" s="2"/>
      <c r="AH53" s="2" t="str">
        <v>2 - Initial offer</v>
      </c>
    </row>
    <row r="54" spans="1:34" ht="16.5" hidden="1">
      <c r="A54" s="59" t="s">
        <v>80</v>
      </c>
      <c r="B54" s="57" t="s">
        <v>127</v>
      </c>
      <c r="D54" s="2" t="str">
        <f>VLOOKUP(BE_NL[[#This Row],[Product Line]],Prod_T6[],5,0)</f>
        <v>TCL</v>
      </c>
      <c r="E54" s="47" t="s">
        <v>141</v>
      </c>
      <c r="F54" s="47" t="s">
        <v>50</v>
      </c>
      <c r="G54" s="177" t="s">
        <v>115</v>
      </c>
      <c r="H54" s="47" t="s">
        <v>142</v>
      </c>
      <c r="I54" s="60" t="s">
        <v>132</v>
      </c>
      <c r="J54" s="56"/>
      <c r="K54" s="56"/>
      <c r="L54" s="56"/>
      <c r="M54" s="56"/>
      <c r="N54" s="56"/>
      <c r="O54" s="56"/>
      <c r="P54" s="56">
        <v>2</v>
      </c>
      <c r="Q54" s="56">
        <v>3</v>
      </c>
      <c r="R54" s="56">
        <v>3</v>
      </c>
      <c r="S54" s="32">
        <f>SUM(BE_NL[[#This Row],[26M04]:[26M06]])</f>
        <v>0</v>
      </c>
      <c r="T54" s="69">
        <f>SUM(BE_NL[[#This Row],[26M07]:[26M09]])</f>
        <v>0</v>
      </c>
      <c r="U54" s="69">
        <f>SUM(BE_NL[[#This Row],[26M10]:[26M12]])</f>
        <v>8</v>
      </c>
      <c r="V54" s="256"/>
      <c r="W54" s="256"/>
      <c r="X54" s="256"/>
      <c r="Y54" s="256"/>
      <c r="Z54" s="256"/>
      <c r="AA54" s="256"/>
      <c r="AB54" s="256">
        <f>SUM(BE_NL[[#This Row],[27M01]:[27M03]])</f>
        <v>0</v>
      </c>
      <c r="AC54" s="256">
        <f>SUM(BE_NL[[#This Row],[27M04]:[27M06]])</f>
        <v>0</v>
      </c>
      <c r="AD54" s="256" t="str">
        <f>IF(SUM(BE_NL[[#This Row],[26Q2]:[26Q4]])+SUM(BE_NL[[#This Row],[27Q1]:[27Q2]])=0,"No FSCT",IF(AND(SUM(BE_NL[[#This Row],[26Q2]:[26Q4]])&gt;0,SUM(BE_NL[[#This Row],[27Q1]:[27Q2]])=0),"YES","NO"))</f>
        <v>YES</v>
      </c>
      <c r="AE54" s="85" t="str">
        <f>VLOOKUP(BE_NL[[#This Row],[Product Line]],Prod_T6[],4,0)</f>
        <v>ESS</v>
      </c>
      <c r="AF54" s="2"/>
      <c r="AG54" s="2"/>
      <c r="AH54" s="2" t="str">
        <v>2 - Initial offer</v>
      </c>
    </row>
    <row r="55" spans="1:34" ht="16.5" hidden="1">
      <c r="A55" s="59" t="s">
        <v>86</v>
      </c>
      <c r="B55" s="57" t="s">
        <v>390</v>
      </c>
      <c r="D55" s="2" t="str">
        <f>VLOOKUP(BE_NL[[#This Row],[Product Line]],Prod_T6[],5,0)</f>
        <v>TCL</v>
      </c>
      <c r="E55" s="47" t="s">
        <v>141</v>
      </c>
      <c r="F55" s="47" t="s">
        <v>46</v>
      </c>
      <c r="G55" s="177" t="s">
        <v>115</v>
      </c>
      <c r="H55" s="47" t="s">
        <v>142</v>
      </c>
      <c r="I55" s="60" t="s">
        <v>117</v>
      </c>
      <c r="J55" s="56"/>
      <c r="K55" s="56"/>
      <c r="L55" s="56"/>
      <c r="M55" s="56"/>
      <c r="N55" s="56"/>
      <c r="O55" s="56"/>
      <c r="P55" s="56">
        <v>1</v>
      </c>
      <c r="Q55" s="56">
        <v>3</v>
      </c>
      <c r="R55" s="56">
        <v>3</v>
      </c>
      <c r="S55" s="32">
        <f>SUM(BE_NL[[#This Row],[26M04]:[26M06]])</f>
        <v>0</v>
      </c>
      <c r="T55" s="69">
        <f>SUM(BE_NL[[#This Row],[26M07]:[26M09]])</f>
        <v>0</v>
      </c>
      <c r="U55" s="69">
        <f>SUM(BE_NL[[#This Row],[26M10]:[26M12]])</f>
        <v>7</v>
      </c>
      <c r="V55" s="256"/>
      <c r="W55" s="256"/>
      <c r="X55" s="256"/>
      <c r="Y55" s="256"/>
      <c r="Z55" s="256"/>
      <c r="AA55" s="256"/>
      <c r="AB55" s="256">
        <f>SUM(BE_NL[[#This Row],[27M01]:[27M03]])</f>
        <v>0</v>
      </c>
      <c r="AC55" s="256">
        <f>SUM(BE_NL[[#This Row],[27M04]:[27M06]])</f>
        <v>0</v>
      </c>
      <c r="AD55" s="256" t="str">
        <f>IF(SUM(BE_NL[[#This Row],[26Q2]:[26Q4]])+SUM(BE_NL[[#This Row],[27Q1]:[27Q2]])=0,"No FSCT",IF(AND(SUM(BE_NL[[#This Row],[26Q2]:[26Q4]])&gt;0,SUM(BE_NL[[#This Row],[27Q1]:[27Q2]])=0),"YES","NO"))</f>
        <v>YES</v>
      </c>
      <c r="AE55" s="85" t="str">
        <f>VLOOKUP(BE_NL[[#This Row],[Product Line]],Prod_T6[],4,0)</f>
        <v>ESS</v>
      </c>
      <c r="AF55" s="2"/>
      <c r="AG55" s="2"/>
      <c r="AH55" s="2" t="str">
        <v>2 - Initial offer</v>
      </c>
    </row>
    <row r="56" spans="1:34" ht="16.5" hidden="1">
      <c r="A56" s="59" t="s">
        <v>86</v>
      </c>
      <c r="B56" s="57" t="s">
        <v>390</v>
      </c>
      <c r="D56" s="2" t="str">
        <f>VLOOKUP(BE_NL[[#This Row],[Product Line]],Prod_T6[],5,0)</f>
        <v>TCL</v>
      </c>
      <c r="E56" s="47" t="s">
        <v>141</v>
      </c>
      <c r="F56" s="47" t="s">
        <v>50</v>
      </c>
      <c r="G56" s="177" t="s">
        <v>115</v>
      </c>
      <c r="H56" s="47" t="s">
        <v>142</v>
      </c>
      <c r="I56" s="60" t="s">
        <v>117</v>
      </c>
      <c r="J56" s="56"/>
      <c r="K56" s="56"/>
      <c r="L56" s="56"/>
      <c r="M56" s="56"/>
      <c r="N56" s="56"/>
      <c r="O56" s="56"/>
      <c r="P56" s="56">
        <v>1</v>
      </c>
      <c r="Q56" s="56">
        <v>2</v>
      </c>
      <c r="R56" s="56">
        <v>2</v>
      </c>
      <c r="S56" s="32">
        <f>SUM(BE_NL[[#This Row],[26M04]:[26M06]])</f>
        <v>0</v>
      </c>
      <c r="T56" s="69">
        <f>SUM(BE_NL[[#This Row],[26M07]:[26M09]])</f>
        <v>0</v>
      </c>
      <c r="U56" s="69">
        <f>SUM(BE_NL[[#This Row],[26M10]:[26M12]])</f>
        <v>5</v>
      </c>
      <c r="V56" s="256"/>
      <c r="W56" s="256"/>
      <c r="X56" s="256"/>
      <c r="Y56" s="256"/>
      <c r="Z56" s="256"/>
      <c r="AA56" s="256"/>
      <c r="AB56" s="256">
        <f>SUM(BE_NL[[#This Row],[27M01]:[27M03]])</f>
        <v>0</v>
      </c>
      <c r="AC56" s="256">
        <f>SUM(BE_NL[[#This Row],[27M04]:[27M06]])</f>
        <v>0</v>
      </c>
      <c r="AD56" s="256" t="str">
        <f>IF(SUM(BE_NL[[#This Row],[26Q2]:[26Q4]])+SUM(BE_NL[[#This Row],[27Q1]:[27Q2]])=0,"No FSCT",IF(AND(SUM(BE_NL[[#This Row],[26Q2]:[26Q4]])&gt;0,SUM(BE_NL[[#This Row],[27Q1]:[27Q2]])=0),"YES","NO"))</f>
        <v>YES</v>
      </c>
      <c r="AE56" s="85" t="str">
        <f>VLOOKUP(BE_NL[[#This Row],[Product Line]],Prod_T6[],4,0)</f>
        <v>ESS</v>
      </c>
      <c r="AF56" s="2"/>
      <c r="AG56" s="2"/>
      <c r="AH56" s="2" t="str">
        <v>2 - Initial offer</v>
      </c>
    </row>
    <row r="57" spans="1:34" ht="16.5" hidden="1">
      <c r="A57" s="59" t="s">
        <v>80</v>
      </c>
      <c r="B57" s="57" t="s">
        <v>140</v>
      </c>
      <c r="D57" s="2" t="str">
        <f>VLOOKUP(BE_NL[[#This Row],[Product Line]],Prod_T6[],5,0)</f>
        <v>TCL</v>
      </c>
      <c r="E57" s="47" t="s">
        <v>141</v>
      </c>
      <c r="F57" s="47" t="s">
        <v>46</v>
      </c>
      <c r="G57" s="177" t="s">
        <v>115</v>
      </c>
      <c r="H57" s="47" t="s">
        <v>142</v>
      </c>
      <c r="I57" s="60" t="s">
        <v>117</v>
      </c>
      <c r="J57" s="56"/>
      <c r="K57" s="56"/>
      <c r="L57" s="56"/>
      <c r="M57" s="56"/>
      <c r="N57" s="56"/>
      <c r="O57" s="56"/>
      <c r="P57" s="56">
        <v>1</v>
      </c>
      <c r="Q57" s="56">
        <v>1</v>
      </c>
      <c r="R57" s="56">
        <v>1</v>
      </c>
      <c r="S57" s="32">
        <f>SUM(BE_NL[[#This Row],[26M04]:[26M06]])</f>
        <v>0</v>
      </c>
      <c r="T57" s="69">
        <f>SUM(BE_NL[[#This Row],[26M07]:[26M09]])</f>
        <v>0</v>
      </c>
      <c r="U57" s="69">
        <f>SUM(BE_NL[[#This Row],[26M10]:[26M12]])</f>
        <v>3</v>
      </c>
      <c r="V57" s="256"/>
      <c r="W57" s="256"/>
      <c r="X57" s="256"/>
      <c r="Y57" s="256"/>
      <c r="Z57" s="256"/>
      <c r="AA57" s="256"/>
      <c r="AB57" s="256">
        <f>SUM(BE_NL[[#This Row],[27M01]:[27M03]])</f>
        <v>0</v>
      </c>
      <c r="AC57" s="256">
        <f>SUM(BE_NL[[#This Row],[27M04]:[27M06]])</f>
        <v>0</v>
      </c>
      <c r="AD57" s="256" t="str">
        <f>IF(SUM(BE_NL[[#This Row],[26Q2]:[26Q4]])+SUM(BE_NL[[#This Row],[27Q1]:[27Q2]])=0,"No FSCT",IF(AND(SUM(BE_NL[[#This Row],[26Q2]:[26Q4]])&gt;0,SUM(BE_NL[[#This Row],[27Q1]:[27Q2]])=0),"YES","NO"))</f>
        <v>YES</v>
      </c>
      <c r="AE57" s="85" t="str">
        <f>VLOOKUP(BE_NL[[#This Row],[Product Line]],Prod_T6[],4,0)</f>
        <v>ESS</v>
      </c>
      <c r="AF57" s="2"/>
      <c r="AG57" s="2"/>
      <c r="AH57" s="2" t="str">
        <v>2 - Initial offer</v>
      </c>
    </row>
    <row r="58" spans="1:34" ht="16.5" hidden="1">
      <c r="A58" s="59" t="s">
        <v>80</v>
      </c>
      <c r="B58" s="57" t="s">
        <v>140</v>
      </c>
      <c r="D58" s="2" t="str">
        <f>VLOOKUP(BE_NL[[#This Row],[Product Line]],Prod_T6[],5,0)</f>
        <v>TCL</v>
      </c>
      <c r="E58" s="47" t="s">
        <v>141</v>
      </c>
      <c r="F58" s="47" t="s">
        <v>50</v>
      </c>
      <c r="G58" s="177" t="s">
        <v>115</v>
      </c>
      <c r="H58" s="47" t="s">
        <v>142</v>
      </c>
      <c r="I58" s="60" t="s">
        <v>117</v>
      </c>
      <c r="J58" s="56"/>
      <c r="K58" s="56"/>
      <c r="L58" s="56"/>
      <c r="M58" s="56"/>
      <c r="N58" s="56"/>
      <c r="O58" s="56"/>
      <c r="P58" s="56">
        <v>1</v>
      </c>
      <c r="Q58" s="56">
        <v>1</v>
      </c>
      <c r="R58" s="56">
        <v>1</v>
      </c>
      <c r="S58" s="32">
        <f>SUM(BE_NL[[#This Row],[26M04]:[26M06]])</f>
        <v>0</v>
      </c>
      <c r="T58" s="69">
        <f>SUM(BE_NL[[#This Row],[26M07]:[26M09]])</f>
        <v>0</v>
      </c>
      <c r="U58" s="69">
        <f>SUM(BE_NL[[#This Row],[26M10]:[26M12]])</f>
        <v>3</v>
      </c>
      <c r="V58" s="256"/>
      <c r="W58" s="256"/>
      <c r="X58" s="256"/>
      <c r="Y58" s="256"/>
      <c r="Z58" s="256"/>
      <c r="AA58" s="256"/>
      <c r="AB58" s="256">
        <f>SUM(BE_NL[[#This Row],[27M01]:[27M03]])</f>
        <v>0</v>
      </c>
      <c r="AC58" s="256">
        <f>SUM(BE_NL[[#This Row],[27M04]:[27M06]])</f>
        <v>0</v>
      </c>
      <c r="AD58" s="256" t="str">
        <f>IF(SUM(BE_NL[[#This Row],[26Q2]:[26Q4]])+SUM(BE_NL[[#This Row],[27Q1]:[27Q2]])=0,"No FSCT",IF(AND(SUM(BE_NL[[#This Row],[26Q2]:[26Q4]])&gt;0,SUM(BE_NL[[#This Row],[27Q1]:[27Q2]])=0),"YES","NO"))</f>
        <v>YES</v>
      </c>
      <c r="AE58" s="85" t="str">
        <f>VLOOKUP(BE_NL[[#This Row],[Product Line]],Prod_T6[],4,0)</f>
        <v>ESS</v>
      </c>
      <c r="AF58" s="2"/>
      <c r="AG58" s="2"/>
      <c r="AH58" s="3" t="str">
        <v>2 - Initial offer</v>
      </c>
    </row>
    <row r="59" spans="1:34" ht="16.5" hidden="1">
      <c r="A59" s="59" t="s">
        <v>86</v>
      </c>
      <c r="B59" s="57" t="s">
        <v>388</v>
      </c>
      <c r="C59" s="48" t="s">
        <v>138</v>
      </c>
      <c r="D59" s="2" t="str">
        <f>VLOOKUP(BE_NL[[#This Row],[Product Line]],Prod_T6[],5,0)</f>
        <v>TCL</v>
      </c>
      <c r="E59" s="47" t="s">
        <v>38</v>
      </c>
      <c r="F59" s="47" t="s">
        <v>400</v>
      </c>
      <c r="G59" s="177" t="s">
        <v>115</v>
      </c>
      <c r="H59" s="47" t="s">
        <v>401</v>
      </c>
      <c r="I59" s="60" t="s">
        <v>117</v>
      </c>
      <c r="J59" s="56">
        <v>0</v>
      </c>
      <c r="K59" s="56">
        <v>0</v>
      </c>
      <c r="L59" s="56">
        <v>0</v>
      </c>
      <c r="M59" s="56">
        <v>1</v>
      </c>
      <c r="N59" s="56">
        <v>1</v>
      </c>
      <c r="O59" s="56">
        <v>1</v>
      </c>
      <c r="P59" s="56">
        <v>1</v>
      </c>
      <c r="Q59" s="56">
        <v>10</v>
      </c>
      <c r="R59" s="56">
        <v>20</v>
      </c>
      <c r="S59" s="32">
        <f>SUM(BE_NL[[#This Row],[26M04]:[26M06]])</f>
        <v>0</v>
      </c>
      <c r="T59" s="69">
        <f>SUM(BE_NL[[#This Row],[26M07]:[26M09]])</f>
        <v>3</v>
      </c>
      <c r="U59" s="69">
        <f>SUM(BE_NL[[#This Row],[26M10]:[26M12]])</f>
        <v>31</v>
      </c>
      <c r="V59" s="256"/>
      <c r="W59" s="256"/>
      <c r="X59" s="256"/>
      <c r="Y59" s="256"/>
      <c r="Z59" s="256"/>
      <c r="AA59" s="256"/>
      <c r="AB59" s="256">
        <f>SUM(BE_NL[[#This Row],[27M01]:[27M03]])</f>
        <v>0</v>
      </c>
      <c r="AC59" s="256">
        <f>SUM(BE_NL[[#This Row],[27M04]:[27M06]])</f>
        <v>0</v>
      </c>
      <c r="AD59" s="256" t="str">
        <f>IF(SUM(BE_NL[[#This Row],[26Q2]:[26Q4]])+SUM(BE_NL[[#This Row],[27Q1]:[27Q2]])=0,"No FSCT",IF(AND(SUM(BE_NL[[#This Row],[26Q2]:[26Q4]])&gt;0,SUM(BE_NL[[#This Row],[27Q1]:[27Q2]])=0),"YES","NO"))</f>
        <v>YES</v>
      </c>
      <c r="AE59" s="120" t="str">
        <f>VLOOKUP(BE_NL[[#This Row],[Product Line]],Prod_T6[],4,0)</f>
        <v>HP</v>
      </c>
      <c r="AF59" s="3"/>
      <c r="AG59" s="3"/>
      <c r="AH59" s="3" t="str">
        <v>2 - Initial offer</v>
      </c>
    </row>
    <row r="60" spans="1:34" ht="13.5">
      <c r="A60" s="3"/>
      <c r="B60" s="38"/>
      <c r="C60" s="3"/>
      <c r="D60" s="3"/>
      <c r="E60" s="3"/>
      <c r="F60" s="38"/>
      <c r="G60" s="38"/>
      <c r="H60" s="119" t="s">
        <v>638</v>
      </c>
      <c r="I60" s="118"/>
      <c r="J60" s="196">
        <f>SUBTOTAL(9,BE_NL[26M04])</f>
        <v>1.69</v>
      </c>
      <c r="K60" s="197">
        <f>SUBTOTAL(9,BE_NL[26M05])</f>
        <v>5.43</v>
      </c>
      <c r="L60" s="198">
        <f>SUBTOTAL(9,BE_NL[26M06])</f>
        <v>8.56</v>
      </c>
      <c r="M60" s="196">
        <f>SUBTOTAL(9,BE_NL[26M07])</f>
        <v>5.379999999999999</v>
      </c>
      <c r="N60" s="197">
        <f>SUBTOTAL(9,BE_NL[26M08])</f>
        <v>2.94</v>
      </c>
      <c r="O60" s="198">
        <f>SUBTOTAL(9,BE_NL[26M09])</f>
        <v>12.92</v>
      </c>
      <c r="P60" s="196">
        <f>SUBTOTAL(9,BE_NL[26M10])</f>
        <v>11.7</v>
      </c>
      <c r="Q60" s="197">
        <f>SUBTOTAL(9,BE_NL[26M11])</f>
        <v>11.100000000000001</v>
      </c>
      <c r="R60" s="198">
        <f>SUBTOTAL(9,BE_NL[26M12])</f>
        <v>11</v>
      </c>
      <c r="S60" s="199">
        <f>SUBTOTAL(9,BE_NL[26Q2])</f>
        <v>13.729999999999997</v>
      </c>
      <c r="T60" s="199">
        <f>SUBTOTAL(9,BE_NL[26Q3])</f>
        <v>21.239999999999995</v>
      </c>
      <c r="U60" s="199">
        <f>SUBTOTAL(9,BE_NL[26Q4])</f>
        <v>33.800000000000011</v>
      </c>
      <c r="V60" s="257"/>
      <c r="W60" s="257"/>
      <c r="X60" s="257"/>
      <c r="Y60" s="257"/>
      <c r="Z60" s="257"/>
      <c r="AA60" s="257"/>
      <c r="AB60" s="257"/>
      <c r="AC60" s="257"/>
      <c r="AD60" s="257"/>
      <c r="AE60" s="3"/>
      <c r="AF60" s="3"/>
      <c r="AG60" s="3"/>
      <c r="AH60" s="3"/>
    </row>
  </sheetData>
  <phoneticPr fontId="58" type="noConversion"/>
  <dataValidations count="3">
    <dataValidation type="list" allowBlank="1" showInputMessage="1" showErrorMessage="1" sqref="A6:A59" xr:uid="{5471460F-705E-4681-AEFA-FCE7C3522714}">
      <formula1>Country_List</formula1>
    </dataValidation>
    <dataValidation type="list" allowBlank="1" showInputMessage="1" showErrorMessage="1" sqref="E6:E59" xr:uid="{623CF4AB-ABFD-420D-9597-BD099068318C}">
      <formula1>Product_List</formula1>
    </dataValidation>
    <dataValidation type="list" allowBlank="1" showInputMessage="1" showErrorMessage="1" sqref="B6:B59 F6:F59" xr:uid="{8D72E0D4-6094-4089-8BC0-391E40B4B7C0}">
      <formula1>INDIRECT(A6)</formula1>
    </dataValidation>
  </dataValidations>
  <pageMargins left="0.70866141732283505" right="0.70866141732283505" top="0.74803149606299202" bottom="0.74803149606299202" header="0.31496062992126" footer="0.31496062992126"/>
  <pageSetup paperSize="9" scale="44" orientation="landscape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97D3E97-A363-4F57-97E8-031B70B3FBF9}">
          <x14:formula1>
            <xm:f>'Stages and Status'!$D$4:$D$11</xm:f>
          </x14:formula1>
          <xm:sqref>G6:G59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2C970-B5E9-4EE2-BC2A-351BE8AD7ECD}">
  <sheetPr codeName="Sheet5">
    <tabColor theme="8"/>
    <pageSetUpPr fitToPage="1"/>
  </sheetPr>
  <dimension ref="A1:AH178"/>
  <sheetViews>
    <sheetView zoomScale="85" zoomScaleNormal="85" workbookViewId="0">
      <pane xSplit="7" topLeftCell="H1" activePane="topRight" state="frozen"/>
      <selection activeCell="B6" sqref="B6"/>
      <selection pane="topRight" activeCell="AH1" sqref="A1:AH99"/>
    </sheetView>
  </sheetViews>
  <sheetFormatPr defaultColWidth="7.90625" defaultRowHeight="13" outlineLevelCol="1"/>
  <cols>
    <col min="1" max="1" width="13.36328125" style="3" bestFit="1" customWidth="1"/>
    <col min="2" max="2" width="19.90625" style="38" customWidth="1"/>
    <col min="3" max="4" width="12.7265625" style="3" customWidth="1" outlineLevel="1"/>
    <col min="5" max="5" width="17.36328125" style="3" bestFit="1" customWidth="1"/>
    <col min="6" max="6" width="23.7265625" style="38" customWidth="1"/>
    <col min="7" max="7" width="17.6328125" style="38" bestFit="1" customWidth="1"/>
    <col min="8" max="8" width="29.36328125" style="38" customWidth="1"/>
    <col min="9" max="9" width="12.6328125" style="39" bestFit="1" customWidth="1"/>
    <col min="10" max="14" width="12.36328125" style="2" customWidth="1" outlineLevel="1"/>
    <col min="15" max="18" width="12.36328125" style="2" bestFit="1" customWidth="1"/>
    <col min="19" max="19" width="12.7265625" style="35" customWidth="1" outlineLevel="1"/>
    <col min="20" max="20" width="12.7265625" style="3" customWidth="1" outlineLevel="1"/>
    <col min="21" max="21" width="12.7265625" style="3" bestFit="1" customWidth="1"/>
    <col min="22" max="29" width="12.7265625" style="3" customWidth="1"/>
    <col min="30" max="30" width="17.08984375" style="3" customWidth="1"/>
    <col min="31" max="31" width="21.36328125" style="3" bestFit="1" customWidth="1"/>
    <col min="32" max="33" width="7.90625" style="3"/>
    <col min="34" max="34" width="17.6328125" style="3" bestFit="1" customWidth="1"/>
    <col min="35" max="16384" width="7.90625" style="3"/>
  </cols>
  <sheetData>
    <row r="1" spans="1:34">
      <c r="B1" s="3"/>
      <c r="G1" s="38" t="s">
        <v>622</v>
      </c>
      <c r="I1" s="34"/>
      <c r="J1" s="2" t="s">
        <v>623</v>
      </c>
      <c r="K1" s="2" t="s">
        <v>623</v>
      </c>
      <c r="L1" s="2" t="s">
        <v>623</v>
      </c>
      <c r="M1" s="2" t="s">
        <v>623</v>
      </c>
      <c r="N1" s="2" t="s">
        <v>623</v>
      </c>
      <c r="O1" s="2" t="s">
        <v>623</v>
      </c>
      <c r="P1" s="2" t="s">
        <v>623</v>
      </c>
      <c r="Q1" s="2" t="s">
        <v>623</v>
      </c>
      <c r="R1" s="2" t="s">
        <v>623</v>
      </c>
      <c r="S1" s="2" t="s">
        <v>623</v>
      </c>
      <c r="T1" s="2" t="s">
        <v>623</v>
      </c>
      <c r="U1" s="2" t="s">
        <v>623</v>
      </c>
      <c r="V1" s="2" t="s">
        <v>623</v>
      </c>
      <c r="W1" s="2" t="s">
        <v>623</v>
      </c>
      <c r="X1" s="2" t="s">
        <v>623</v>
      </c>
      <c r="Y1" s="2" t="s">
        <v>623</v>
      </c>
      <c r="Z1" s="2" t="s">
        <v>623</v>
      </c>
      <c r="AA1" s="2" t="s">
        <v>623</v>
      </c>
      <c r="AB1" s="2" t="s">
        <v>623</v>
      </c>
      <c r="AC1" s="2" t="s">
        <v>623</v>
      </c>
      <c r="AD1" s="2"/>
    </row>
    <row r="2" spans="1:34" ht="13.4" customHeight="1">
      <c r="B2" s="3"/>
      <c r="G2" s="38" t="s">
        <v>27</v>
      </c>
      <c r="H2" s="49"/>
      <c r="I2" s="63"/>
      <c r="J2" s="195" cm="1">
        <f t="array" aca="1" ref="J2" ca="1">SUMPRODUCT((UK_NO[Product Category]=$G2)*SUBTOTAL(109,OFFSET(INDEX(UK_NO[26M04],1),ROW(UK_NO[26M04])-MIN(ROW(UK_NO[26M04])),0,1)))</f>
        <v>0</v>
      </c>
      <c r="K2" s="195" cm="1">
        <f t="array" aca="1" ref="K2" ca="1">SUMPRODUCT((UK_NO[Product Category]=$G2)*SUBTOTAL(109,OFFSET(INDEX(UK_NO[26M05],1),ROW(UK_NO[26M05])-MIN(ROW(UK_NO[26M05])),0,1)))</f>
        <v>0.39700000000000002</v>
      </c>
      <c r="L2" s="195" cm="1">
        <f t="array" aca="1" ref="L2" ca="1">SUMPRODUCT((UK_NO[Product Category]=$G2)*SUBTOTAL(109,OFFSET(INDEX(UK_NO[26M06],1),ROW(UK_NO[26M06])-MIN(ROW(UK_NO[26M06])),0,1)))</f>
        <v>0</v>
      </c>
      <c r="M2" s="195" cm="1">
        <f t="array" aca="1" ref="M2" ca="1">SUMPRODUCT((UK_NO[Product Category]=$G2)*SUBTOTAL(109,OFFSET(INDEX(UK_NO[26M07],1),ROW(UK_NO[26M07])-MIN(ROW(UK_NO[26M07])),0,1)))</f>
        <v>3</v>
      </c>
      <c r="N2" s="195" cm="1">
        <f t="array" aca="1" ref="N2" ca="1">SUMPRODUCT((UK_NO[Product Category]=$G2)*SUBTOTAL(109,OFFSET(INDEX(UK_NO[26M08],1),ROW(UK_NO[26M08])-MIN(ROW(UK_NO[26M08])),0,1)))</f>
        <v>2</v>
      </c>
      <c r="O2" s="195" cm="1">
        <f t="array" aca="1" ref="O2" ca="1">SUMPRODUCT((UK_NO[Product Category]=$G2)*SUBTOTAL(109,OFFSET(INDEX(UK_NO[26M09],1),ROW(UK_NO[26M09])-MIN(ROW(UK_NO[26M09])),0,1)))</f>
        <v>9</v>
      </c>
      <c r="P2" s="195" cm="1">
        <f t="array" aca="1" ref="P2" ca="1">SUMPRODUCT((UK_NO[Product Category]=$G2)*SUBTOTAL(109,OFFSET(INDEX(UK_NO[26M10],1),ROW(UK_NO[26M10])-MIN(ROW(UK_NO[26M10])),0,1)))</f>
        <v>41</v>
      </c>
      <c r="Q2" s="195" cm="1">
        <f t="array" aca="1" ref="Q2" ca="1">SUMPRODUCT((UK_NO[Product Category]=$G2)*SUBTOTAL(109,OFFSET(INDEX(UK_NO[26M11],1),ROW(UK_NO[26M11])-MIN(ROW(UK_NO[26M11])),0,1)))</f>
        <v>41</v>
      </c>
      <c r="R2" s="195" cm="1">
        <f t="array" aca="1" ref="R2" ca="1">SUMPRODUCT((UK_NO[Product Category]=$G2)*SUBTOTAL(109,OFFSET(INDEX(UK_NO[26M12],1),ROW(UK_NO[26M12])-MIN(ROW(UK_NO[26M12])),0,1)))</f>
        <v>15</v>
      </c>
      <c r="S2" s="195" cm="1">
        <f t="array" aca="1" ref="S2" ca="1">SUMPRODUCT((UK_NO[Product Category]=$G2)*SUBTOTAL(109,OFFSET(INDEX(UK_NO[26Q2],1),ROW(UK_NO[26Q2])-MIN(ROW(UK_NO[26Q2])),0,1)))</f>
        <v>0.39700000000000002</v>
      </c>
      <c r="T2" s="195" cm="1">
        <f t="array" aca="1" ref="T2" ca="1">SUMPRODUCT((UK_NO[Product Category]=$G2)*SUBTOTAL(109,OFFSET(INDEX(UK_NO[26Q3],1),ROW(UK_NO[26Q3])-MIN(ROW(UK_NO[26Q3])),0,1)))</f>
        <v>14</v>
      </c>
      <c r="U2" s="195" cm="1">
        <f t="array" aca="1" ref="U2" ca="1">SUMPRODUCT((UK_NO[Product Category]=$G2)*SUBTOTAL(109,OFFSET(INDEX(UK_NO[26Q4],1),ROW(UK_NO[26Q4])-MIN(ROW(UK_NO[26Q4])),0,1)))</f>
        <v>97</v>
      </c>
      <c r="V2" s="195" cm="1">
        <f t="array" aca="1" ref="V2" ca="1">SUMPRODUCT((UK_NO[Product Category]=$G2)*SUBTOTAL(109,OFFSET(INDEX(UK_NO[27M01],1),ROW(UK_NO[27M01])-MIN(ROW(UK_NO[27M01])),0,1)))</f>
        <v>0</v>
      </c>
      <c r="W2" s="195" cm="1">
        <f t="array" aca="1" ref="W2" ca="1">SUMPRODUCT((UK_NO[Product Category]=$G2)*SUBTOTAL(109,OFFSET(INDEX(UK_NO[27M02],1),ROW(UK_NO[27M02])-MIN(ROW(UK_NO[27M02])),0,1)))</f>
        <v>0</v>
      </c>
      <c r="X2" s="195" cm="1">
        <f t="array" aca="1" ref="X2" ca="1">SUMPRODUCT((UK_NO[Product Category]=$G2)*SUBTOTAL(109,OFFSET(INDEX(UK_NO[27M03],1),ROW(UK_NO[27M03])-MIN(ROW(UK_NO[27M03])),0,1)))</f>
        <v>0</v>
      </c>
      <c r="Y2" s="195" cm="1">
        <f t="array" aca="1" ref="Y2" ca="1">SUMPRODUCT((UK_NO[Product Category]=$G2)*SUBTOTAL(109,OFFSET(INDEX(UK_NO[27M04],1),ROW(UK_NO[27M04])-MIN(ROW(UK_NO[27M04])),0,1)))</f>
        <v>0</v>
      </c>
      <c r="Z2" s="195" cm="1">
        <f t="array" aca="1" ref="Z2" ca="1">SUMPRODUCT((UK_NO[Product Category]=$G2)*SUBTOTAL(109,OFFSET(INDEX(UK_NO[27M05],1),ROW(UK_NO[27M05])-MIN(ROW(UK_NO[27M05])),0,1)))</f>
        <v>0</v>
      </c>
      <c r="AA2" s="195" cm="1">
        <f t="array" aca="1" ref="AA2" ca="1">SUMPRODUCT((UK_NO[Product Category]=$G2)*SUBTOTAL(109,OFFSET(INDEX(UK_NO[27M06],1),ROW(UK_NO[27M06])-MIN(ROW(UK_NO[27M06])),0,1)))</f>
        <v>0</v>
      </c>
      <c r="AB2" s="195" cm="1">
        <f t="array" aca="1" ref="AB2" ca="1">SUMPRODUCT((UK_NO[Product Category]=$G2)*SUBTOTAL(109,OFFSET(INDEX(UK_NO[27Q1],1),ROW(UK_NO[27Q1])-MIN(ROW(UK_NO[27Q1])),0,1)))</f>
        <v>0</v>
      </c>
      <c r="AC2" s="195" cm="1">
        <f t="array" aca="1" ref="AC2" ca="1">SUMPRODUCT((UK_NO[Product Category]=$G2)*SUBTOTAL(109,OFFSET(INDEX(UK_NO[27Q2],1),ROW(UK_NO[27Q2])-MIN(ROW(UK_NO[27Q2])),0,1)))</f>
        <v>0</v>
      </c>
      <c r="AD2" s="255"/>
    </row>
    <row r="3" spans="1:34" ht="13.4" customHeight="1">
      <c r="B3" s="3"/>
      <c r="G3" s="38" t="s">
        <v>87</v>
      </c>
      <c r="H3" s="49"/>
      <c r="I3" s="63"/>
      <c r="J3" s="195" cm="1">
        <f t="array" aca="1" ref="J3" ca="1">SUMPRODUCT((UK_NO[Product Category]=$G3)*SUBTOTAL(109,OFFSET(INDEX(UK_NO[26M04],1),ROW(UK_NO[26M04])-MIN(ROW(UK_NO[26M04])),0,1)))</f>
        <v>0</v>
      </c>
      <c r="K3" s="195" cm="1">
        <f t="array" aca="1" ref="K3" ca="1">SUMPRODUCT((UK_NO[Product Category]=$G3)*SUBTOTAL(109,OFFSET(INDEX(UK_NO[26M05],1),ROW(UK_NO[26M05])-MIN(ROW(UK_NO[26M05])),0,1)))</f>
        <v>0</v>
      </c>
      <c r="L3" s="195" cm="1">
        <f t="array" aca="1" ref="L3" ca="1">SUMPRODUCT((UK_NO[Product Category]=$G3)*SUBTOTAL(109,OFFSET(INDEX(UK_NO[26M06],1),ROW(UK_NO[26M06])-MIN(ROW(UK_NO[26M06])),0,1)))</f>
        <v>0</v>
      </c>
      <c r="M3" s="195" cm="1">
        <f t="array" aca="1" ref="M3" ca="1">SUMPRODUCT((UK_NO[Product Category]=$G3)*SUBTOTAL(109,OFFSET(INDEX(UK_NO[26M07],1),ROW(UK_NO[26M07])-MIN(ROW(UK_NO[26M07])),0,1)))</f>
        <v>0</v>
      </c>
      <c r="N3" s="195" cm="1">
        <f t="array" aca="1" ref="N3" ca="1">SUMPRODUCT((UK_NO[Product Category]=$G3)*SUBTOTAL(109,OFFSET(INDEX(UK_NO[26M08],1),ROW(UK_NO[26M08])-MIN(ROW(UK_NO[26M08])),0,1)))</f>
        <v>0</v>
      </c>
      <c r="O3" s="195" cm="1">
        <f t="array" aca="1" ref="O3" ca="1">SUMPRODUCT((UK_NO[Product Category]=$G3)*SUBTOTAL(109,OFFSET(INDEX(UK_NO[26M09],1),ROW(UK_NO[26M09])-MIN(ROW(UK_NO[26M09])),0,1)))</f>
        <v>0</v>
      </c>
      <c r="P3" s="195" cm="1">
        <f t="array" aca="1" ref="P3" ca="1">SUMPRODUCT((UK_NO[Product Category]=$G3)*SUBTOTAL(109,OFFSET(INDEX(UK_NO[26M10],1),ROW(UK_NO[26M10])-MIN(ROW(UK_NO[26M10])),0,1)))</f>
        <v>0</v>
      </c>
      <c r="Q3" s="195" cm="1">
        <f t="array" aca="1" ref="Q3" ca="1">SUMPRODUCT((UK_NO[Product Category]=$G3)*SUBTOTAL(109,OFFSET(INDEX(UK_NO[26M11],1),ROW(UK_NO[26M11])-MIN(ROW(UK_NO[26M11])),0,1)))</f>
        <v>0</v>
      </c>
      <c r="R3" s="195" cm="1">
        <f t="array" aca="1" ref="R3" ca="1">SUMPRODUCT((UK_NO[Product Category]=$G3)*SUBTOTAL(109,OFFSET(INDEX(UK_NO[26M12],1),ROW(UK_NO[26M12])-MIN(ROW(UK_NO[26M12])),0,1)))</f>
        <v>0</v>
      </c>
      <c r="S3" s="195" cm="1">
        <f t="array" aca="1" ref="S3" ca="1">SUMPRODUCT((UK_NO[Product Category]=$G3)*SUBTOTAL(109,OFFSET(INDEX(UK_NO[26Q2],1),ROW(UK_NO[26Q2])-MIN(ROW(UK_NO[26Q2])),0,1)))</f>
        <v>0</v>
      </c>
      <c r="T3" s="195" cm="1">
        <f t="array" aca="1" ref="T3" ca="1">SUMPRODUCT((UK_NO[Product Category]=$G3)*SUBTOTAL(109,OFFSET(INDEX(UK_NO[26Q3],1),ROW(UK_NO[26Q3])-MIN(ROW(UK_NO[26Q3])),0,1)))</f>
        <v>0</v>
      </c>
      <c r="U3" s="195" cm="1">
        <f t="array" aca="1" ref="U3" ca="1">SUMPRODUCT((UK_NO[Product Category]=$G3)*SUBTOTAL(109,OFFSET(INDEX(UK_NO[26Q4],1),ROW(UK_NO[26Q4])-MIN(ROW(UK_NO[26Q4])),0,1)))</f>
        <v>0</v>
      </c>
      <c r="V3" s="195" cm="1">
        <f t="array" aca="1" ref="V3" ca="1">SUMPRODUCT((UK_NO[Product Category]=$G3)*SUBTOTAL(109,OFFSET(INDEX(UK_NO[27M01],1),ROW(UK_NO[27M01])-MIN(ROW(UK_NO[27M01])),0,1)))</f>
        <v>0</v>
      </c>
      <c r="W3" s="195" cm="1">
        <f t="array" aca="1" ref="W3" ca="1">SUMPRODUCT((UK_NO[Product Category]=$G3)*SUBTOTAL(109,OFFSET(INDEX(UK_NO[27M02],1),ROW(UK_NO[27M02])-MIN(ROW(UK_NO[27M02])),0,1)))</f>
        <v>0</v>
      </c>
      <c r="X3" s="195" cm="1">
        <f t="array" aca="1" ref="X3" ca="1">SUMPRODUCT((UK_NO[Product Category]=$G3)*SUBTOTAL(109,OFFSET(INDEX(UK_NO[27M03],1),ROW(UK_NO[27M03])-MIN(ROW(UK_NO[27M03])),0,1)))</f>
        <v>0</v>
      </c>
      <c r="Y3" s="195" cm="1">
        <f t="array" aca="1" ref="Y3" ca="1">SUMPRODUCT((UK_NO[Product Category]=$G3)*SUBTOTAL(109,OFFSET(INDEX(UK_NO[27M04],1),ROW(UK_NO[27M04])-MIN(ROW(UK_NO[27M04])),0,1)))</f>
        <v>0</v>
      </c>
      <c r="Z3" s="195" cm="1">
        <f t="array" aca="1" ref="Z3" ca="1">SUMPRODUCT((UK_NO[Product Category]=$G3)*SUBTOTAL(109,OFFSET(INDEX(UK_NO[27M05],1),ROW(UK_NO[27M05])-MIN(ROW(UK_NO[27M05])),0,1)))</f>
        <v>0</v>
      </c>
      <c r="AA3" s="195" cm="1">
        <f t="array" aca="1" ref="AA3" ca="1">SUMPRODUCT((UK_NO[Product Category]=$G3)*SUBTOTAL(109,OFFSET(INDEX(UK_NO[27M06],1),ROW(UK_NO[27M06])-MIN(ROW(UK_NO[27M06])),0,1)))</f>
        <v>0</v>
      </c>
      <c r="AB3" s="195" cm="1">
        <f t="array" aca="1" ref="AB3" ca="1">SUMPRODUCT((UK_NO[Product Category]=$G3)*SUBTOTAL(109,OFFSET(INDEX(UK_NO[27Q1],1),ROW(UK_NO[27Q1])-MIN(ROW(UK_NO[27Q1])),0,1)))</f>
        <v>0</v>
      </c>
      <c r="AC3" s="195" cm="1">
        <f t="array" aca="1" ref="AC3" ca="1">SUMPRODUCT((UK_NO[Product Category]=$G3)*SUBTOTAL(109,OFFSET(INDEX(UK_NO[27Q2],1),ROW(UK_NO[27Q2])-MIN(ROW(UK_NO[27Q2])),0,1)))</f>
        <v>0</v>
      </c>
      <c r="AD3" s="255"/>
    </row>
    <row r="4" spans="1:34" ht="13.4" customHeight="1">
      <c r="B4" s="3"/>
      <c r="F4" s="3"/>
      <c r="G4" s="38" t="s">
        <v>70</v>
      </c>
      <c r="H4" s="49"/>
      <c r="I4" s="64"/>
      <c r="J4" s="195" cm="1">
        <f t="array" aca="1" ref="J4" ca="1">SUMPRODUCT((UK_NO[Product Category]=$G4)*SUBTOTAL(109,OFFSET(INDEX(UK_NO[26M04],1),ROW(UK_NO[26M04])-MIN(ROW(UK_NO[26M04])),0,1)))</f>
        <v>25.386399999999998</v>
      </c>
      <c r="K4" s="195" cm="1">
        <f t="array" aca="1" ref="K4" ca="1">SUMPRODUCT((UK_NO[Product Category]=$G4)*SUBTOTAL(109,OFFSET(INDEX(UK_NO[26M05],1),ROW(UK_NO[26M05])-MIN(ROW(UK_NO[26M05])),0,1)))</f>
        <v>31.479999999999997</v>
      </c>
      <c r="L4" s="195" cm="1">
        <f t="array" aca="1" ref="L4" ca="1">SUMPRODUCT((UK_NO[Product Category]=$G4)*SUBTOTAL(109,OFFSET(INDEX(UK_NO[26M06],1),ROW(UK_NO[26M06])-MIN(ROW(UK_NO[26M06])),0,1)))</f>
        <v>44.501000000000012</v>
      </c>
      <c r="M4" s="195" cm="1">
        <f t="array" aca="1" ref="M4" ca="1">SUMPRODUCT((UK_NO[Product Category]=$G4)*SUBTOTAL(109,OFFSET(INDEX(UK_NO[26M07],1),ROW(UK_NO[26M07])-MIN(ROW(UK_NO[26M07])),0,1)))</f>
        <v>47.092999999999996</v>
      </c>
      <c r="N4" s="195" cm="1">
        <f t="array" aca="1" ref="N4" ca="1">SUMPRODUCT((UK_NO[Product Category]=$G4)*SUBTOTAL(109,OFFSET(INDEX(UK_NO[26M08],1),ROW(UK_NO[26M08])-MIN(ROW(UK_NO[26M08])),0,1)))</f>
        <v>19.656000000000002</v>
      </c>
      <c r="O4" s="195" cm="1">
        <f t="array" aca="1" ref="O4" ca="1">SUMPRODUCT((UK_NO[Product Category]=$G4)*SUBTOTAL(109,OFFSET(INDEX(UK_NO[26M09],1),ROW(UK_NO[26M09])-MIN(ROW(UK_NO[26M09])),0,1)))</f>
        <v>23.874000000000002</v>
      </c>
      <c r="P4" s="195" cm="1">
        <f t="array" aca="1" ref="P4" ca="1">SUMPRODUCT((UK_NO[Product Category]=$G4)*SUBTOTAL(109,OFFSET(INDEX(UK_NO[26M10],1),ROW(UK_NO[26M10])-MIN(ROW(UK_NO[26M10])),0,1)))</f>
        <v>16.732000000000003</v>
      </c>
      <c r="Q4" s="195" cm="1">
        <f t="array" aca="1" ref="Q4" ca="1">SUMPRODUCT((UK_NO[Product Category]=$G4)*SUBTOTAL(109,OFFSET(INDEX(UK_NO[26M11],1),ROW(UK_NO[26M11])-MIN(ROW(UK_NO[26M11])),0,1)))</f>
        <v>18.853000000000002</v>
      </c>
      <c r="R4" s="195" cm="1">
        <f t="array" aca="1" ref="R4" ca="1">SUMPRODUCT((UK_NO[Product Category]=$G4)*SUBTOTAL(109,OFFSET(INDEX(UK_NO[26M12],1),ROW(UK_NO[26M12])-MIN(ROW(UK_NO[26M12])),0,1)))</f>
        <v>6.5169999999999995</v>
      </c>
      <c r="S4" s="195" cm="1">
        <f t="array" aca="1" ref="S4" ca="1">SUMPRODUCT((UK_NO[Product Category]=$G4)*SUBTOTAL(109,OFFSET(INDEX(UK_NO[26Q2],1),ROW(UK_NO[26Q2])-MIN(ROW(UK_NO[26Q2])),0,1)))</f>
        <v>98.737400000000008</v>
      </c>
      <c r="T4" s="195" cm="1">
        <f t="array" aca="1" ref="T4" ca="1">SUMPRODUCT((UK_NO[Product Category]=$G4)*SUBTOTAL(109,OFFSET(INDEX(UK_NO[26Q3],1),ROW(UK_NO[26Q3])-MIN(ROW(UK_NO[26Q3])),0,1)))</f>
        <v>90.623000000000033</v>
      </c>
      <c r="U4" s="195" cm="1">
        <f t="array" aca="1" ref="U4" ca="1">SUMPRODUCT((UK_NO[Product Category]=$G4)*SUBTOTAL(109,OFFSET(INDEX(UK_NO[26Q4],1),ROW(UK_NO[26Q4])-MIN(ROW(UK_NO[26Q4])),0,1)))</f>
        <v>42.102000000000004</v>
      </c>
      <c r="V4" s="195" cm="1">
        <f t="array" aca="1" ref="V4" ca="1">SUMPRODUCT((UK_NO[Product Category]=$G4)*SUBTOTAL(109,OFFSET(INDEX(UK_NO[27M01],1),ROW(UK_NO[27M01])-MIN(ROW(UK_NO[27M01])),0,1)))</f>
        <v>0</v>
      </c>
      <c r="W4" s="195" cm="1">
        <f t="array" aca="1" ref="W4" ca="1">SUMPRODUCT((UK_NO[Product Category]=$G4)*SUBTOTAL(109,OFFSET(INDEX(UK_NO[27M02],1),ROW(UK_NO[27M02])-MIN(ROW(UK_NO[27M02])),0,1)))</f>
        <v>0</v>
      </c>
      <c r="X4" s="195" cm="1">
        <f t="array" aca="1" ref="X4" ca="1">SUMPRODUCT((UK_NO[Product Category]=$G4)*SUBTOTAL(109,OFFSET(INDEX(UK_NO[27M03],1),ROW(UK_NO[27M03])-MIN(ROW(UK_NO[27M03])),0,1)))</f>
        <v>0</v>
      </c>
      <c r="Y4" s="195" cm="1">
        <f t="array" aca="1" ref="Y4" ca="1">SUMPRODUCT((UK_NO[Product Category]=$G4)*SUBTOTAL(109,OFFSET(INDEX(UK_NO[27M04],1),ROW(UK_NO[27M04])-MIN(ROW(UK_NO[27M04])),0,1)))</f>
        <v>0</v>
      </c>
      <c r="Z4" s="195" cm="1">
        <f t="array" aca="1" ref="Z4" ca="1">SUMPRODUCT((UK_NO[Product Category]=$G4)*SUBTOTAL(109,OFFSET(INDEX(UK_NO[27M05],1),ROW(UK_NO[27M05])-MIN(ROW(UK_NO[27M05])),0,1)))</f>
        <v>0</v>
      </c>
      <c r="AA4" s="195" cm="1">
        <f t="array" aca="1" ref="AA4" ca="1">SUMPRODUCT((UK_NO[Product Category]=$G4)*SUBTOTAL(109,OFFSET(INDEX(UK_NO[27M06],1),ROW(UK_NO[27M06])-MIN(ROW(UK_NO[27M06])),0,1)))</f>
        <v>0</v>
      </c>
      <c r="AB4" s="195" cm="1">
        <f t="array" aca="1" ref="AB4" ca="1">SUMPRODUCT((UK_NO[Product Category]=$G4)*SUBTOTAL(109,OFFSET(INDEX(UK_NO[27Q1],1),ROW(UK_NO[27Q1])-MIN(ROW(UK_NO[27Q1])),0,1)))</f>
        <v>0</v>
      </c>
      <c r="AC4" s="195" cm="1">
        <f t="array" aca="1" ref="AC4" ca="1">SUMPRODUCT((UK_NO[Product Category]=$G4)*SUBTOTAL(109,OFFSET(INDEX(UK_NO[27Q2],1),ROW(UK_NO[27Q2])-MIN(ROW(UK_NO[27Q2])),0,1)))</f>
        <v>0</v>
      </c>
      <c r="AD4" s="255"/>
    </row>
    <row r="5" spans="1:34" s="36" customFormat="1" ht="14">
      <c r="A5" s="10" t="s">
        <v>45</v>
      </c>
      <c r="B5" s="11" t="s">
        <v>1</v>
      </c>
      <c r="C5" s="10" t="s">
        <v>92</v>
      </c>
      <c r="D5" s="10" t="s">
        <v>624</v>
      </c>
      <c r="E5" s="10" t="s">
        <v>3</v>
      </c>
      <c r="F5" s="10" t="s">
        <v>28</v>
      </c>
      <c r="G5" s="11" t="s">
        <v>5</v>
      </c>
      <c r="H5" s="11" t="s">
        <v>93</v>
      </c>
      <c r="I5" s="9" t="s">
        <v>94</v>
      </c>
      <c r="J5" s="12" t="s">
        <v>95</v>
      </c>
      <c r="K5" s="12" t="s">
        <v>96</v>
      </c>
      <c r="L5" s="12" t="s">
        <v>97</v>
      </c>
      <c r="M5" s="12" t="s">
        <v>98</v>
      </c>
      <c r="N5" s="12" t="s">
        <v>99</v>
      </c>
      <c r="O5" s="12" t="s">
        <v>625</v>
      </c>
      <c r="P5" s="12" t="s">
        <v>34</v>
      </c>
      <c r="Q5" s="12" t="s">
        <v>101</v>
      </c>
      <c r="R5" s="12" t="s">
        <v>36</v>
      </c>
      <c r="S5" s="193" t="s">
        <v>626</v>
      </c>
      <c r="T5" s="193" t="s">
        <v>627</v>
      </c>
      <c r="U5" s="107" t="s">
        <v>628</v>
      </c>
      <c r="V5" s="107" t="s">
        <v>629</v>
      </c>
      <c r="W5" s="107" t="s">
        <v>103</v>
      </c>
      <c r="X5" s="107" t="s">
        <v>104</v>
      </c>
      <c r="Y5" s="107" t="s">
        <v>105</v>
      </c>
      <c r="Z5" s="107" t="s">
        <v>106</v>
      </c>
      <c r="AA5" s="107" t="s">
        <v>107</v>
      </c>
      <c r="AB5" s="107" t="s">
        <v>630</v>
      </c>
      <c r="AC5" s="107" t="s">
        <v>631</v>
      </c>
      <c r="AD5" s="107" t="s">
        <v>632</v>
      </c>
      <c r="AE5" s="78" t="s">
        <v>26</v>
      </c>
    </row>
    <row r="6" spans="1:34" s="2" customFormat="1" ht="16.5" customHeight="1">
      <c r="A6" s="14" t="s">
        <v>56</v>
      </c>
      <c r="B6" s="1" t="s">
        <v>492</v>
      </c>
      <c r="C6" s="31" t="s">
        <v>493</v>
      </c>
      <c r="D6" s="2" t="str">
        <f>VLOOKUP(UK_NO[[#This Row],[Product Line]],Prod_T6[],5,0)</f>
        <v>Sunpower</v>
      </c>
      <c r="E6" s="2" t="s">
        <v>134</v>
      </c>
      <c r="F6" s="1" t="s">
        <v>135</v>
      </c>
      <c r="G6" s="1" t="s">
        <v>115</v>
      </c>
      <c r="H6" s="1" t="s">
        <v>494</v>
      </c>
      <c r="I6" s="40" t="s">
        <v>117</v>
      </c>
      <c r="J6" s="13">
        <v>8.5000000000000006E-2</v>
      </c>
      <c r="K6" s="13">
        <v>8.5000000000000006E-2</v>
      </c>
      <c r="L6" s="13">
        <v>8.5000000000000006E-2</v>
      </c>
      <c r="M6" s="13"/>
      <c r="N6" s="13"/>
      <c r="O6" s="13"/>
      <c r="P6" s="13"/>
      <c r="Q6" s="13">
        <v>7.1999999999999995E-2</v>
      </c>
      <c r="R6" s="13">
        <v>7.1999999999999995E-2</v>
      </c>
      <c r="S6" s="32"/>
      <c r="T6" s="69">
        <f>SUM(UK_NO[[#This Row],[26M07]:[26M09]])</f>
        <v>0</v>
      </c>
      <c r="U6" s="69">
        <f>SUM(UK_NO[[#This Row],[26M10]:[26M12]])</f>
        <v>0.14399999999999999</v>
      </c>
      <c r="V6" s="256"/>
      <c r="W6" s="256"/>
      <c r="X6" s="256"/>
      <c r="Y6" s="256"/>
      <c r="Z6" s="256"/>
      <c r="AA6" s="256"/>
      <c r="AB6" s="256">
        <f>SUM(UK_NO[[#This Row],[27M01]:[27M03]])</f>
        <v>0</v>
      </c>
      <c r="AC6" s="256">
        <f>SUM(UK_NO[[#This Row],[27M04]:[27M06]])</f>
        <v>0</v>
      </c>
      <c r="AD6" s="256" t="str">
        <f>IF(SUM(UK_NO[[#This Row],[26Q2]:[26Q4]])+SUM(UK_NO[[#This Row],[27Q1]:[27Q2]])=0,"No FSCT",IF(AND(SUM(UK_NO[[#This Row],[26Q2]:[26Q4]])&gt;0,SUM(UK_NO[[#This Row],[27Q1]:[27Q2]])=0),"YES","NO"))</f>
        <v>YES</v>
      </c>
      <c r="AE6" s="85" t="str">
        <f>VLOOKUP(UK_NO[[#This Row],[Product Line]],Prod_T6[],4,0)</f>
        <v>PV</v>
      </c>
      <c r="AH6" s="2" t="str" cm="1">
        <f t="array" ref="AH6:AH98">UK_NO[Stage]</f>
        <v>2 - Initial offer</v>
      </c>
    </row>
    <row r="7" spans="1:34" s="2" customFormat="1" ht="16.5" customHeight="1">
      <c r="A7" s="14" t="s">
        <v>56</v>
      </c>
      <c r="B7" s="1" t="s">
        <v>492</v>
      </c>
      <c r="C7" s="31" t="s">
        <v>493</v>
      </c>
      <c r="D7" s="2" t="str">
        <f>VLOOKUP(UK_NO[[#This Row],[Product Line]],Prod_T6[],5,0)</f>
        <v>Sunpower</v>
      </c>
      <c r="E7" s="2" t="s">
        <v>118</v>
      </c>
      <c r="F7" s="1" t="s">
        <v>119</v>
      </c>
      <c r="G7" s="1" t="s">
        <v>130</v>
      </c>
      <c r="H7" s="1" t="s">
        <v>494</v>
      </c>
      <c r="I7" s="40" t="s">
        <v>117</v>
      </c>
      <c r="J7" s="13">
        <v>8.5000000000000006E-2</v>
      </c>
      <c r="K7" s="13">
        <v>8.5000000000000006E-2</v>
      </c>
      <c r="L7" s="13">
        <v>8.5000000000000006E-2</v>
      </c>
      <c r="M7" s="13">
        <v>8.5000000000000006E-2</v>
      </c>
      <c r="N7" s="13">
        <v>8.5000000000000006E-2</v>
      </c>
      <c r="O7" s="13">
        <v>8.5000000000000006E-2</v>
      </c>
      <c r="P7" s="13">
        <v>8.5000000000000006E-2</v>
      </c>
      <c r="Q7" s="13">
        <v>8.5000000000000006E-2</v>
      </c>
      <c r="R7" s="13">
        <v>8.5000000000000006E-2</v>
      </c>
      <c r="S7" s="32">
        <f>SUM(UK_NO[[#This Row],[26M04]:[26M06]])</f>
        <v>0.255</v>
      </c>
      <c r="T7" s="69">
        <f>SUM(UK_NO[[#This Row],[26M07]:[26M09]])</f>
        <v>0.255</v>
      </c>
      <c r="U7" s="69">
        <f>SUM(UK_NO[[#This Row],[26M10]:[26M12]])</f>
        <v>0.255</v>
      </c>
      <c r="V7" s="256"/>
      <c r="W7" s="256"/>
      <c r="X7" s="256"/>
      <c r="Y7" s="256"/>
      <c r="Z7" s="256"/>
      <c r="AA7" s="256"/>
      <c r="AB7" s="256">
        <f>SUM(UK_NO[[#This Row],[27M01]:[27M03]])</f>
        <v>0</v>
      </c>
      <c r="AC7" s="256">
        <f>SUM(UK_NO[[#This Row],[27M04]:[27M06]])</f>
        <v>0</v>
      </c>
      <c r="AD7" s="256" t="str">
        <f>IF(SUM(UK_NO[[#This Row],[26Q2]:[26Q4]])+SUM(UK_NO[[#This Row],[27Q1]:[27Q2]])=0,"No FSCT",IF(AND(SUM(UK_NO[[#This Row],[26Q2]:[26Q4]])&gt;0,SUM(UK_NO[[#This Row],[27Q1]:[27Q2]])=0),"YES","NO"))</f>
        <v>YES</v>
      </c>
      <c r="AE7" s="85" t="str">
        <f>VLOOKUP(UK_NO[[#This Row],[Product Line]],Prod_T6[],4,0)</f>
        <v>PV</v>
      </c>
      <c r="AH7" s="2" t="str">
        <v>7 - Booked</v>
      </c>
    </row>
    <row r="8" spans="1:34" s="2" customFormat="1" ht="16.5" customHeight="1">
      <c r="A8" s="14" t="s">
        <v>56</v>
      </c>
      <c r="B8" s="1" t="s">
        <v>560</v>
      </c>
      <c r="C8" s="31" t="s">
        <v>512</v>
      </c>
      <c r="D8" s="2" t="str">
        <f>VLOOKUP(UK_NO[[#This Row],[Product Line]],Prod_T6[],5,0)</f>
        <v>TCL</v>
      </c>
      <c r="E8" s="2" t="s">
        <v>141</v>
      </c>
      <c r="F8" s="1" t="s">
        <v>46</v>
      </c>
      <c r="G8" s="1" t="s">
        <v>156</v>
      </c>
      <c r="H8" s="1" t="s">
        <v>562</v>
      </c>
      <c r="I8" s="40" t="s">
        <v>117</v>
      </c>
      <c r="J8" s="13"/>
      <c r="K8" s="13">
        <v>0.39700000000000002</v>
      </c>
      <c r="L8" s="13"/>
      <c r="M8" s="13">
        <v>2</v>
      </c>
      <c r="N8" s="13"/>
      <c r="O8" s="13"/>
      <c r="P8" s="13">
        <v>4</v>
      </c>
      <c r="Q8" s="13">
        <v>4</v>
      </c>
      <c r="R8" s="13">
        <v>4</v>
      </c>
      <c r="S8" s="32">
        <f>SUM(UK_NO[[#This Row],[26M04]:[26M06]])</f>
        <v>0.39700000000000002</v>
      </c>
      <c r="T8" s="69">
        <f>SUM(UK_NO[[#This Row],[26M07]:[26M09]])</f>
        <v>2</v>
      </c>
      <c r="U8" s="69">
        <f>SUM(UK_NO[[#This Row],[26M10]:[26M12]])</f>
        <v>12</v>
      </c>
      <c r="V8" s="256"/>
      <c r="W8" s="256"/>
      <c r="X8" s="256"/>
      <c r="Y8" s="256"/>
      <c r="Z8" s="256"/>
      <c r="AA8" s="256"/>
      <c r="AB8" s="256">
        <f>SUM(UK_NO[[#This Row],[27M01]:[27M03]])</f>
        <v>0</v>
      </c>
      <c r="AC8" s="256">
        <f>SUM(UK_NO[[#This Row],[27M04]:[27M06]])</f>
        <v>0</v>
      </c>
      <c r="AD8" s="256" t="str">
        <f>IF(SUM(UK_NO[[#This Row],[26Q2]:[26Q4]])+SUM(UK_NO[[#This Row],[27Q1]:[27Q2]])=0,"No FSCT",IF(AND(SUM(UK_NO[[#This Row],[26Q2]:[26Q4]])&gt;0,SUM(UK_NO[[#This Row],[27Q1]:[27Q2]])=0),"YES","NO"))</f>
        <v>YES</v>
      </c>
      <c r="AE8" s="85" t="str">
        <f>VLOOKUP(UK_NO[[#This Row],[Product Line]],Prod_T6[],4,0)</f>
        <v>ESS</v>
      </c>
      <c r="AH8" s="2" t="str">
        <v>6 - Won</v>
      </c>
    </row>
    <row r="9" spans="1:34" s="2" customFormat="1" ht="16.5" customHeight="1">
      <c r="A9" s="14" t="s">
        <v>56</v>
      </c>
      <c r="B9" s="1" t="s">
        <v>560</v>
      </c>
      <c r="C9" s="31" t="s">
        <v>512</v>
      </c>
      <c r="D9" s="2" t="str">
        <f>VLOOKUP(UK_NO[[#This Row],[Product Line]],Prod_T6[],5,0)</f>
        <v>TCL</v>
      </c>
      <c r="E9" s="2" t="s">
        <v>141</v>
      </c>
      <c r="F9" s="1" t="s">
        <v>50</v>
      </c>
      <c r="G9" s="1" t="s">
        <v>115</v>
      </c>
      <c r="H9" s="1"/>
      <c r="I9" s="15" t="s">
        <v>117</v>
      </c>
      <c r="J9" s="13"/>
      <c r="K9" s="13"/>
      <c r="L9" s="13"/>
      <c r="M9" s="113"/>
      <c r="N9" s="113"/>
      <c r="O9" s="113"/>
      <c r="P9" s="13">
        <v>2</v>
      </c>
      <c r="Q9" s="13"/>
      <c r="R9" s="13"/>
      <c r="S9" s="32">
        <f>SUM(UK_NO[[#This Row],[26M04]:[26M06]])</f>
        <v>0</v>
      </c>
      <c r="T9" s="69">
        <f>SUM(UK_NO[[#This Row],[26M07]:[26M09]])</f>
        <v>0</v>
      </c>
      <c r="U9" s="69">
        <f>SUM(UK_NO[[#This Row],[26M10]:[26M12]])</f>
        <v>2</v>
      </c>
      <c r="V9" s="256"/>
      <c r="W9" s="256"/>
      <c r="X9" s="256"/>
      <c r="Y9" s="256"/>
      <c r="Z9" s="256"/>
      <c r="AA9" s="256"/>
      <c r="AB9" s="256">
        <f>SUM(UK_NO[[#This Row],[27M01]:[27M03]])</f>
        <v>0</v>
      </c>
      <c r="AC9" s="256">
        <f>SUM(UK_NO[[#This Row],[27M04]:[27M06]])</f>
        <v>0</v>
      </c>
      <c r="AD9" s="256" t="str">
        <f>IF(SUM(UK_NO[[#This Row],[26Q2]:[26Q4]])+SUM(UK_NO[[#This Row],[27Q1]:[27Q2]])=0,"No FSCT",IF(AND(SUM(UK_NO[[#This Row],[26Q2]:[26Q4]])&gt;0,SUM(UK_NO[[#This Row],[27Q1]:[27Q2]])=0),"YES","NO"))</f>
        <v>YES</v>
      </c>
      <c r="AE9" s="85" t="str">
        <f>VLOOKUP(UK_NO[[#This Row],[Product Line]],Prod_T6[],4,0)</f>
        <v>ESS</v>
      </c>
      <c r="AH9" s="2" t="str">
        <v>2 - Initial offer</v>
      </c>
    </row>
    <row r="10" spans="1:34" s="2" customFormat="1" ht="16.5" customHeight="1">
      <c r="A10" s="29" t="s">
        <v>56</v>
      </c>
      <c r="B10" s="1" t="s">
        <v>560</v>
      </c>
      <c r="C10" s="31" t="s">
        <v>512</v>
      </c>
      <c r="D10" s="2" t="str">
        <f>VLOOKUP(UK_NO[[#This Row],[Product Line]],Prod_T6[],5,0)</f>
        <v>TCL</v>
      </c>
      <c r="E10" s="2" t="s">
        <v>113</v>
      </c>
      <c r="F10" s="1" t="s">
        <v>561</v>
      </c>
      <c r="G10" s="1" t="s">
        <v>156</v>
      </c>
      <c r="H10" s="1"/>
      <c r="I10" s="40" t="s">
        <v>117</v>
      </c>
      <c r="J10" s="13"/>
      <c r="K10" s="13"/>
      <c r="L10" s="13"/>
      <c r="M10" s="13"/>
      <c r="N10" s="13"/>
      <c r="O10" s="13">
        <v>0.43099999999999999</v>
      </c>
      <c r="P10" s="13"/>
      <c r="Q10" s="13"/>
      <c r="R10" s="13"/>
      <c r="S10" s="32">
        <f>SUM(UK_NO[[#This Row],[26M04]:[26M06]])</f>
        <v>0</v>
      </c>
      <c r="T10" s="69">
        <f>SUM(UK_NO[[#This Row],[26M07]:[26M09]])</f>
        <v>0.43099999999999999</v>
      </c>
      <c r="U10" s="69">
        <f>SUM(UK_NO[[#This Row],[26M10]:[26M12]])</f>
        <v>0</v>
      </c>
      <c r="V10" s="256"/>
      <c r="W10" s="256"/>
      <c r="X10" s="256"/>
      <c r="Y10" s="256"/>
      <c r="Z10" s="256"/>
      <c r="AA10" s="256"/>
      <c r="AB10" s="256">
        <f>SUM(UK_NO[[#This Row],[27M01]:[27M03]])</f>
        <v>0</v>
      </c>
      <c r="AC10" s="256">
        <f>SUM(UK_NO[[#This Row],[27M04]:[27M06]])</f>
        <v>0</v>
      </c>
      <c r="AD10" s="256" t="str">
        <f>IF(SUM(UK_NO[[#This Row],[26Q2]:[26Q4]])+SUM(UK_NO[[#This Row],[27Q1]:[27Q2]])=0,"No FSCT",IF(AND(SUM(UK_NO[[#This Row],[26Q2]:[26Q4]])&gt;0,SUM(UK_NO[[#This Row],[27Q1]:[27Q2]])=0),"YES","NO"))</f>
        <v>YES</v>
      </c>
      <c r="AE10" s="85" t="str">
        <f>VLOOKUP(UK_NO[[#This Row],[Product Line]],Prod_T6[],4,0)</f>
        <v>PV</v>
      </c>
      <c r="AH10" s="2" t="str">
        <v>6 - Won</v>
      </c>
    </row>
    <row r="11" spans="1:34" s="2" customFormat="1" ht="16.5" customHeight="1">
      <c r="A11" s="29" t="s">
        <v>56</v>
      </c>
      <c r="B11" s="1" t="s">
        <v>560</v>
      </c>
      <c r="C11" s="31" t="s">
        <v>512</v>
      </c>
      <c r="D11" s="2" t="str">
        <f>VLOOKUP(UK_NO[[#This Row],[Product Line]],Prod_T6[],5,0)</f>
        <v>TCL</v>
      </c>
      <c r="E11" s="2" t="s">
        <v>149</v>
      </c>
      <c r="F11" s="1" t="s">
        <v>152</v>
      </c>
      <c r="G11" s="1" t="s">
        <v>156</v>
      </c>
      <c r="H11" s="1"/>
      <c r="I11" s="40" t="s">
        <v>117</v>
      </c>
      <c r="J11" s="13"/>
      <c r="K11" s="13"/>
      <c r="L11" s="13"/>
      <c r="M11" s="13"/>
      <c r="N11" s="13">
        <v>0.43099999999999999</v>
      </c>
      <c r="O11" s="13"/>
      <c r="P11" s="13"/>
      <c r="Q11" s="13"/>
      <c r="R11" s="13"/>
      <c r="S11" s="32">
        <f>SUM(UK_NO[[#This Row],[26M04]:[26M06]])</f>
        <v>0</v>
      </c>
      <c r="T11" s="69">
        <f>SUM(UK_NO[[#This Row],[26M07]:[26M09]])</f>
        <v>0.43099999999999999</v>
      </c>
      <c r="U11" s="69">
        <f>SUM(UK_NO[[#This Row],[26M10]:[26M12]])</f>
        <v>0</v>
      </c>
      <c r="V11" s="256"/>
      <c r="W11" s="256"/>
      <c r="X11" s="256"/>
      <c r="Y11" s="256"/>
      <c r="Z11" s="256"/>
      <c r="AA11" s="256"/>
      <c r="AB11" s="256">
        <f>SUM(UK_NO[[#This Row],[27M01]:[27M03]])</f>
        <v>0</v>
      </c>
      <c r="AC11" s="256">
        <f>SUM(UK_NO[[#This Row],[27M04]:[27M06]])</f>
        <v>0</v>
      </c>
      <c r="AD11" s="256" t="str">
        <f>IF(SUM(UK_NO[[#This Row],[26Q2]:[26Q4]])+SUM(UK_NO[[#This Row],[27Q1]:[27Q2]])=0,"No FSCT",IF(AND(SUM(UK_NO[[#This Row],[26Q2]:[26Q4]])&gt;0,SUM(UK_NO[[#This Row],[27Q1]:[27Q2]])=0),"YES","NO"))</f>
        <v>YES</v>
      </c>
      <c r="AE11" s="85" t="str">
        <f>VLOOKUP(UK_NO[[#This Row],[Product Line]],Prod_T6[],4,0)</f>
        <v>PV</v>
      </c>
      <c r="AH11" s="2" t="str">
        <v>6 - Won</v>
      </c>
    </row>
    <row r="12" spans="1:34" s="2" customFormat="1" ht="16.5" customHeight="1">
      <c r="A12" s="14" t="s">
        <v>56</v>
      </c>
      <c r="B12" s="1" t="s">
        <v>559</v>
      </c>
      <c r="C12" s="31" t="s">
        <v>493</v>
      </c>
      <c r="D12" s="2" t="str">
        <f>VLOOKUP(UK_NO[[#This Row],[Product Line]],Prod_T6[],5,0)</f>
        <v>Sunpower</v>
      </c>
      <c r="E12" s="2" t="s">
        <v>134</v>
      </c>
      <c r="F12" s="1" t="s">
        <v>135</v>
      </c>
      <c r="G12" s="1" t="s">
        <v>115</v>
      </c>
      <c r="H12" s="1"/>
      <c r="I12" s="40" t="s">
        <v>117</v>
      </c>
      <c r="J12" s="13">
        <v>0.03</v>
      </c>
      <c r="K12" s="13">
        <v>0.03</v>
      </c>
      <c r="L12" s="13">
        <v>0.03</v>
      </c>
      <c r="M12" s="13"/>
      <c r="N12" s="13"/>
      <c r="O12" s="13"/>
      <c r="P12" s="13"/>
      <c r="Q12" s="13"/>
      <c r="R12" s="13">
        <v>0.03</v>
      </c>
      <c r="S12" s="32"/>
      <c r="T12" s="69">
        <f>SUM(UK_NO[[#This Row],[26M07]:[26M09]])</f>
        <v>0</v>
      </c>
      <c r="U12" s="69">
        <f>SUM(UK_NO[[#This Row],[26M10]:[26M12]])</f>
        <v>0.03</v>
      </c>
      <c r="V12" s="256"/>
      <c r="W12" s="256"/>
      <c r="X12" s="256"/>
      <c r="Y12" s="256"/>
      <c r="Z12" s="256"/>
      <c r="AA12" s="256"/>
      <c r="AB12" s="256">
        <f>SUM(UK_NO[[#This Row],[27M01]:[27M03]])</f>
        <v>0</v>
      </c>
      <c r="AC12" s="256">
        <f>SUM(UK_NO[[#This Row],[27M04]:[27M06]])</f>
        <v>0</v>
      </c>
      <c r="AD12" s="256" t="str">
        <f>IF(SUM(UK_NO[[#This Row],[26Q2]:[26Q4]])+SUM(UK_NO[[#This Row],[27Q1]:[27Q2]])=0,"No FSCT",IF(AND(SUM(UK_NO[[#This Row],[26Q2]:[26Q4]])&gt;0,SUM(UK_NO[[#This Row],[27Q1]:[27Q2]])=0),"YES","NO"))</f>
        <v>YES</v>
      </c>
      <c r="AE12" s="85" t="str">
        <f>VLOOKUP(UK_NO[[#This Row],[Product Line]],Prod_T6[],4,0)</f>
        <v>PV</v>
      </c>
      <c r="AH12" s="2" t="str">
        <v>2 - Initial offer</v>
      </c>
    </row>
    <row r="13" spans="1:34" ht="16.5" customHeight="1">
      <c r="A13" s="14" t="s">
        <v>56</v>
      </c>
      <c r="B13" s="1" t="s">
        <v>559</v>
      </c>
      <c r="C13" s="31" t="s">
        <v>493</v>
      </c>
      <c r="D13" s="2" t="str">
        <f>VLOOKUP(UK_NO[[#This Row],[Product Line]],Prod_T6[],5,0)</f>
        <v>Sunpower</v>
      </c>
      <c r="E13" s="2" t="s">
        <v>118</v>
      </c>
      <c r="F13" s="1" t="s">
        <v>119</v>
      </c>
      <c r="G13" s="1" t="s">
        <v>130</v>
      </c>
      <c r="H13" s="1"/>
      <c r="I13" s="40" t="s">
        <v>117</v>
      </c>
      <c r="J13" s="13">
        <v>0.03</v>
      </c>
      <c r="K13" s="13">
        <v>0.03</v>
      </c>
      <c r="L13" s="13">
        <v>0.03</v>
      </c>
      <c r="M13" s="13">
        <v>0.03</v>
      </c>
      <c r="N13" s="13">
        <v>0.03</v>
      </c>
      <c r="O13" s="13">
        <v>0.03</v>
      </c>
      <c r="P13" s="13">
        <v>0.03</v>
      </c>
      <c r="Q13" s="13">
        <v>0.03</v>
      </c>
      <c r="R13" s="13">
        <v>0.03</v>
      </c>
      <c r="S13" s="32">
        <f>SUM(UK_NO[[#This Row],[26M04]:[26M06]])</f>
        <v>0.09</v>
      </c>
      <c r="T13" s="69">
        <f>SUM(UK_NO[[#This Row],[26M07]:[26M09]])</f>
        <v>0.09</v>
      </c>
      <c r="U13" s="69">
        <f>SUM(UK_NO[[#This Row],[26M10]:[26M12]])</f>
        <v>0.09</v>
      </c>
      <c r="V13" s="256"/>
      <c r="W13" s="256"/>
      <c r="X13" s="256"/>
      <c r="Y13" s="256"/>
      <c r="Z13" s="256"/>
      <c r="AA13" s="256"/>
      <c r="AB13" s="256">
        <f>SUM(UK_NO[[#This Row],[27M01]:[27M03]])</f>
        <v>0</v>
      </c>
      <c r="AC13" s="256">
        <f>SUM(UK_NO[[#This Row],[27M04]:[27M06]])</f>
        <v>0</v>
      </c>
      <c r="AD13" s="256" t="str">
        <f>IF(SUM(UK_NO[[#This Row],[26Q2]:[26Q4]])+SUM(UK_NO[[#This Row],[27Q1]:[27Q2]])=0,"No FSCT",IF(AND(SUM(UK_NO[[#This Row],[26Q2]:[26Q4]])&gt;0,SUM(UK_NO[[#This Row],[27Q1]:[27Q2]])=0),"YES","NO"))</f>
        <v>YES</v>
      </c>
      <c r="AE13" s="85" t="str">
        <f>VLOOKUP(UK_NO[[#This Row],[Product Line]],Prod_T6[],4,0)</f>
        <v>PV</v>
      </c>
      <c r="AF13" s="2"/>
      <c r="AG13" s="2"/>
      <c r="AH13" s="3" t="str">
        <v>7 - Booked</v>
      </c>
    </row>
    <row r="14" spans="1:34" ht="16.5" customHeight="1">
      <c r="A14" s="14" t="s">
        <v>56</v>
      </c>
      <c r="B14" s="1" t="s">
        <v>557</v>
      </c>
      <c r="C14" s="31" t="s">
        <v>493</v>
      </c>
      <c r="D14" s="2" t="str">
        <f>VLOOKUP(UK_NO[[#This Row],[Product Line]],Prod_T6[],5,0)</f>
        <v>Sunpower</v>
      </c>
      <c r="E14" s="2" t="s">
        <v>118</v>
      </c>
      <c r="F14" s="1" t="s">
        <v>119</v>
      </c>
      <c r="G14" s="1" t="s">
        <v>136</v>
      </c>
      <c r="H14" s="1" t="s">
        <v>558</v>
      </c>
      <c r="I14" s="40" t="s">
        <v>117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32">
        <f>SUM(UK_NO[[#This Row],[26M04]:[26M06]])</f>
        <v>0</v>
      </c>
      <c r="T14" s="69">
        <f>SUM(UK_NO[[#This Row],[26M07]:[26M09]])</f>
        <v>0</v>
      </c>
      <c r="U14" s="69">
        <f>SUM(UK_NO[[#This Row],[26M10]:[26M12]])</f>
        <v>0</v>
      </c>
      <c r="V14" s="256"/>
      <c r="W14" s="256"/>
      <c r="X14" s="256"/>
      <c r="Y14" s="256"/>
      <c r="Z14" s="256"/>
      <c r="AA14" s="256"/>
      <c r="AB14" s="256">
        <f>SUM(UK_NO[[#This Row],[27M01]:[27M03]])</f>
        <v>0</v>
      </c>
      <c r="AC14" s="256">
        <f>SUM(UK_NO[[#This Row],[27M04]:[27M06]])</f>
        <v>0</v>
      </c>
      <c r="AD14" s="256" t="str">
        <f>IF(SUM(UK_NO[[#This Row],[26Q2]:[26Q4]])+SUM(UK_NO[[#This Row],[27Q1]:[27Q2]])=0,"No FSCT",IF(AND(SUM(UK_NO[[#This Row],[26Q2]:[26Q4]])&gt;0,SUM(UK_NO[[#This Row],[27Q1]:[27Q2]])=0),"YES","NO"))</f>
        <v>No FSCT</v>
      </c>
      <c r="AE14" s="85" t="str">
        <f>VLOOKUP(UK_NO[[#This Row],[Product Line]],Prod_T6[],4,0)</f>
        <v>PV</v>
      </c>
      <c r="AH14" s="3" t="str">
        <v>3 - Negotiation</v>
      </c>
    </row>
    <row r="15" spans="1:34" ht="16.5" customHeight="1">
      <c r="A15" s="14" t="s">
        <v>56</v>
      </c>
      <c r="B15" s="1" t="s">
        <v>556</v>
      </c>
      <c r="C15" s="31" t="s">
        <v>512</v>
      </c>
      <c r="D15" s="2" t="str">
        <f>VLOOKUP(UK_NO[[#This Row],[Product Line]],Prod_T6[],5,0)</f>
        <v>Sunpower</v>
      </c>
      <c r="E15" s="2" t="s">
        <v>118</v>
      </c>
      <c r="F15" s="1" t="s">
        <v>119</v>
      </c>
      <c r="G15" s="1" t="s">
        <v>156</v>
      </c>
      <c r="H15" s="1"/>
      <c r="I15" s="40" t="s">
        <v>117</v>
      </c>
      <c r="J15" s="13">
        <v>6.6000000000000003E-2</v>
      </c>
      <c r="K15" s="13">
        <v>6.6000000000000003E-2</v>
      </c>
      <c r="L15" s="13">
        <v>3.3000000000000002E-2</v>
      </c>
      <c r="M15" s="13">
        <v>6.6000000000000003E-2</v>
      </c>
      <c r="N15" s="13">
        <v>6.6000000000000003E-2</v>
      </c>
      <c r="O15" s="13">
        <v>6.6000000000000003E-2</v>
      </c>
      <c r="P15" s="13">
        <v>6.6000000000000003E-2</v>
      </c>
      <c r="Q15" s="13">
        <v>6.6000000000000003E-2</v>
      </c>
      <c r="R15" s="13">
        <v>6.6000000000000003E-2</v>
      </c>
      <c r="S15" s="32">
        <f>SUM(UK_NO[[#This Row],[26M04]:[26M06]])</f>
        <v>0.16500000000000001</v>
      </c>
      <c r="T15" s="69">
        <f>SUM(UK_NO[[#This Row],[26M07]:[26M09]])</f>
        <v>0.19800000000000001</v>
      </c>
      <c r="U15" s="69">
        <f>SUM(UK_NO[[#This Row],[26M10]:[26M12]])</f>
        <v>0.19800000000000001</v>
      </c>
      <c r="V15" s="256"/>
      <c r="W15" s="256"/>
      <c r="X15" s="256"/>
      <c r="Y15" s="256"/>
      <c r="Z15" s="256"/>
      <c r="AA15" s="256"/>
      <c r="AB15" s="256">
        <f>SUM(UK_NO[[#This Row],[27M01]:[27M03]])</f>
        <v>0</v>
      </c>
      <c r="AC15" s="256">
        <f>SUM(UK_NO[[#This Row],[27M04]:[27M06]])</f>
        <v>0</v>
      </c>
      <c r="AD15" s="256" t="str">
        <f>IF(SUM(UK_NO[[#This Row],[26Q2]:[26Q4]])+SUM(UK_NO[[#This Row],[27Q1]:[27Q2]])=0,"No FSCT",IF(AND(SUM(UK_NO[[#This Row],[26Q2]:[26Q4]])&gt;0,SUM(UK_NO[[#This Row],[27Q1]:[27Q2]])=0),"YES","NO"))</f>
        <v>YES</v>
      </c>
      <c r="AE15" s="85" t="str">
        <f>VLOOKUP(UK_NO[[#This Row],[Product Line]],Prod_T6[],4,0)</f>
        <v>PV</v>
      </c>
      <c r="AH15" s="2" t="str">
        <v>6 - Won</v>
      </c>
    </row>
    <row r="16" spans="1:34" s="2" customFormat="1" ht="16.5" customHeight="1">
      <c r="A16" s="14" t="s">
        <v>56</v>
      </c>
      <c r="B16" s="1" t="s">
        <v>554</v>
      </c>
      <c r="C16" s="31" t="s">
        <v>493</v>
      </c>
      <c r="D16" s="2" t="str">
        <f>VLOOKUP(UK_NO[[#This Row],[Product Line]],Prod_T6[],5,0)</f>
        <v>Sunpower</v>
      </c>
      <c r="E16" s="2" t="s">
        <v>118</v>
      </c>
      <c r="F16" s="1" t="s">
        <v>119</v>
      </c>
      <c r="G16" s="1" t="s">
        <v>136</v>
      </c>
      <c r="H16" s="1" t="s">
        <v>555</v>
      </c>
      <c r="I16" s="40" t="s">
        <v>117</v>
      </c>
      <c r="J16" s="13">
        <v>0</v>
      </c>
      <c r="K16" s="13">
        <v>0</v>
      </c>
      <c r="L16" s="67">
        <v>0.5</v>
      </c>
      <c r="M16" s="13">
        <v>0</v>
      </c>
      <c r="N16" s="13">
        <v>0</v>
      </c>
      <c r="O16" s="13">
        <v>0</v>
      </c>
      <c r="P16" s="13">
        <v>0</v>
      </c>
      <c r="Q16" s="13">
        <v>0.2</v>
      </c>
      <c r="R16" s="13">
        <v>0</v>
      </c>
      <c r="S16" s="32"/>
      <c r="T16" s="69">
        <f>SUM(UK_NO[[#This Row],[26M07]:[26M09]])</f>
        <v>0</v>
      </c>
      <c r="U16" s="69">
        <f>SUM(UK_NO[[#This Row],[26M10]:[26M12]])</f>
        <v>0.2</v>
      </c>
      <c r="V16" s="256"/>
      <c r="W16" s="256"/>
      <c r="X16" s="256"/>
      <c r="Y16" s="256"/>
      <c r="Z16" s="256"/>
      <c r="AA16" s="256"/>
      <c r="AB16" s="256">
        <f>SUM(UK_NO[[#This Row],[27M01]:[27M03]])</f>
        <v>0</v>
      </c>
      <c r="AC16" s="256">
        <f>SUM(UK_NO[[#This Row],[27M04]:[27M06]])</f>
        <v>0</v>
      </c>
      <c r="AD16" s="256" t="str">
        <f>IF(SUM(UK_NO[[#This Row],[26Q2]:[26Q4]])+SUM(UK_NO[[#This Row],[27Q1]:[27Q2]])=0,"No FSCT",IF(AND(SUM(UK_NO[[#This Row],[26Q2]:[26Q4]])&gt;0,SUM(UK_NO[[#This Row],[27Q1]:[27Q2]])=0),"YES","NO"))</f>
        <v>YES</v>
      </c>
      <c r="AE16" s="85" t="str">
        <f>VLOOKUP(UK_NO[[#This Row],[Product Line]],Prod_T6[],4,0)</f>
        <v>PV</v>
      </c>
      <c r="AH16" s="2" t="str">
        <v>3 - Negotiation</v>
      </c>
    </row>
    <row r="17" spans="1:34" s="2" customFormat="1" ht="16.5" customHeight="1">
      <c r="A17" s="14" t="s">
        <v>56</v>
      </c>
      <c r="B17" s="1" t="s">
        <v>548</v>
      </c>
      <c r="C17" s="31" t="s">
        <v>498</v>
      </c>
      <c r="D17" s="2" t="str">
        <f>VLOOKUP(UK_NO[[#This Row],[Product Line]],Prod_T6[],5,0)</f>
        <v>Sunpower</v>
      </c>
      <c r="E17" s="2" t="s">
        <v>276</v>
      </c>
      <c r="F17" s="1" t="s">
        <v>553</v>
      </c>
      <c r="G17" s="1" t="s">
        <v>130</v>
      </c>
      <c r="H17" s="1"/>
      <c r="I17" s="15" t="s">
        <v>132</v>
      </c>
      <c r="J17" s="13">
        <v>1.274</v>
      </c>
      <c r="K17" s="13"/>
      <c r="L17" s="13"/>
      <c r="M17" s="13"/>
      <c r="N17" s="13"/>
      <c r="O17" s="13"/>
      <c r="P17" s="13"/>
      <c r="Q17" s="13"/>
      <c r="R17" s="13"/>
      <c r="S17" s="32">
        <f>SUM(UK_NO[[#This Row],[26M04]:[26M06]])</f>
        <v>1.274</v>
      </c>
      <c r="T17" s="69">
        <f>SUM(UK_NO[[#This Row],[26M07]:[26M09]])</f>
        <v>0</v>
      </c>
      <c r="U17" s="69">
        <f>SUM(UK_NO[[#This Row],[26M10]:[26M12]])</f>
        <v>0</v>
      </c>
      <c r="V17" s="256"/>
      <c r="W17" s="256"/>
      <c r="X17" s="256"/>
      <c r="Y17" s="256"/>
      <c r="Z17" s="256"/>
      <c r="AA17" s="256"/>
      <c r="AB17" s="256">
        <f>SUM(UK_NO[[#This Row],[27M01]:[27M03]])</f>
        <v>0</v>
      </c>
      <c r="AC17" s="256">
        <f>SUM(UK_NO[[#This Row],[27M04]:[27M06]])</f>
        <v>0</v>
      </c>
      <c r="AD17" s="256" t="str">
        <f>IF(SUM(UK_NO[[#This Row],[26Q2]:[26Q4]])+SUM(UK_NO[[#This Row],[27Q1]:[27Q2]])=0,"No FSCT",IF(AND(SUM(UK_NO[[#This Row],[26Q2]:[26Q4]])&gt;0,SUM(UK_NO[[#This Row],[27Q1]:[27Q2]])=0),"YES","NO"))</f>
        <v>YES</v>
      </c>
      <c r="AE17" s="85" t="str">
        <f>VLOOKUP(UK_NO[[#This Row],[Product Line]],Prod_T6[],4,0)</f>
        <v>PV</v>
      </c>
      <c r="AH17" s="2" t="str">
        <v>7 - Booked</v>
      </c>
    </row>
    <row r="18" spans="1:34" s="2" customFormat="1" ht="16.5" customHeight="1">
      <c r="A18" s="14" t="s">
        <v>56</v>
      </c>
      <c r="B18" s="1" t="s">
        <v>548</v>
      </c>
      <c r="C18" s="31" t="s">
        <v>498</v>
      </c>
      <c r="D18" s="2" t="str">
        <f>VLOOKUP(UK_NO[[#This Row],[Product Line]],Prod_T6[],5,0)</f>
        <v>Sunpower</v>
      </c>
      <c r="E18" s="2" t="s">
        <v>118</v>
      </c>
      <c r="F18" s="1" t="s">
        <v>145</v>
      </c>
      <c r="G18" s="1" t="s">
        <v>156</v>
      </c>
      <c r="H18" s="1" t="s">
        <v>552</v>
      </c>
      <c r="I18" s="15" t="s">
        <v>132</v>
      </c>
      <c r="J18" s="13"/>
      <c r="K18" s="13">
        <v>4.3</v>
      </c>
      <c r="L18" s="13"/>
      <c r="M18" s="13"/>
      <c r="N18" s="13"/>
      <c r="O18" s="13"/>
      <c r="P18" s="13"/>
      <c r="Q18" s="13"/>
      <c r="R18" s="13"/>
      <c r="S18" s="32">
        <f>SUM(UK_NO[[#This Row],[26M04]:[26M06]])</f>
        <v>4.3</v>
      </c>
      <c r="T18" s="69">
        <f>SUM(UK_NO[[#This Row],[26M07]:[26M09]])</f>
        <v>0</v>
      </c>
      <c r="U18" s="69">
        <f>SUM(UK_NO[[#This Row],[26M10]:[26M12]])</f>
        <v>0</v>
      </c>
      <c r="V18" s="256"/>
      <c r="W18" s="256"/>
      <c r="X18" s="256"/>
      <c r="Y18" s="256"/>
      <c r="Z18" s="256"/>
      <c r="AA18" s="256"/>
      <c r="AB18" s="256">
        <f>SUM(UK_NO[[#This Row],[27M01]:[27M03]])</f>
        <v>0</v>
      </c>
      <c r="AC18" s="256">
        <f>SUM(UK_NO[[#This Row],[27M04]:[27M06]])</f>
        <v>0</v>
      </c>
      <c r="AD18" s="256" t="str">
        <f>IF(SUM(UK_NO[[#This Row],[26Q2]:[26Q4]])+SUM(UK_NO[[#This Row],[27Q1]:[27Q2]])=0,"No FSCT",IF(AND(SUM(UK_NO[[#This Row],[26Q2]:[26Q4]])&gt;0,SUM(UK_NO[[#This Row],[27Q1]:[27Q2]])=0),"YES","NO"))</f>
        <v>YES</v>
      </c>
      <c r="AE18" s="85" t="str">
        <f>VLOOKUP(UK_NO[[#This Row],[Product Line]],Prod_T6[],4,0)</f>
        <v>PV</v>
      </c>
      <c r="AH18" s="2" t="str">
        <v>6 - Won</v>
      </c>
    </row>
    <row r="19" spans="1:34" s="2" customFormat="1" ht="16.5" customHeight="1">
      <c r="A19" s="14" t="s">
        <v>56</v>
      </c>
      <c r="B19" s="1" t="s">
        <v>548</v>
      </c>
      <c r="C19" s="31" t="s">
        <v>498</v>
      </c>
      <c r="D19" s="2" t="str">
        <f>VLOOKUP(UK_NO[[#This Row],[Product Line]],Prod_T6[],5,0)</f>
        <v>Sunpower</v>
      </c>
      <c r="E19" s="2" t="s">
        <v>118</v>
      </c>
      <c r="F19" s="1" t="s">
        <v>119</v>
      </c>
      <c r="G19" s="1" t="s">
        <v>115</v>
      </c>
      <c r="H19" s="1"/>
      <c r="I19" s="15" t="s">
        <v>132</v>
      </c>
      <c r="J19" s="13"/>
      <c r="K19" s="13"/>
      <c r="L19" s="13"/>
      <c r="M19" s="13">
        <v>4.0999999999999996</v>
      </c>
      <c r="N19" s="13"/>
      <c r="O19" s="13">
        <v>4.0999999999999996</v>
      </c>
      <c r="P19" s="13"/>
      <c r="Q19" s="13"/>
      <c r="R19" s="13"/>
      <c r="S19" s="32">
        <f>SUM(UK_NO[[#This Row],[26M04]:[26M06]])</f>
        <v>0</v>
      </c>
      <c r="T19" s="69">
        <f>SUM(UK_NO[[#This Row],[26M07]:[26M09]])</f>
        <v>8.1999999999999993</v>
      </c>
      <c r="U19" s="69">
        <f>SUM(UK_NO[[#This Row],[26M10]:[26M12]])</f>
        <v>0</v>
      </c>
      <c r="V19" s="256"/>
      <c r="W19" s="256"/>
      <c r="X19" s="256"/>
      <c r="Y19" s="256"/>
      <c r="Z19" s="256"/>
      <c r="AA19" s="256"/>
      <c r="AB19" s="256">
        <f>SUM(UK_NO[[#This Row],[27M01]:[27M03]])</f>
        <v>0</v>
      </c>
      <c r="AC19" s="256">
        <f>SUM(UK_NO[[#This Row],[27M04]:[27M06]])</f>
        <v>0</v>
      </c>
      <c r="AD19" s="256" t="str">
        <f>IF(SUM(UK_NO[[#This Row],[26Q2]:[26Q4]])+SUM(UK_NO[[#This Row],[27Q1]:[27Q2]])=0,"No FSCT",IF(AND(SUM(UK_NO[[#This Row],[26Q2]:[26Q4]])&gt;0,SUM(UK_NO[[#This Row],[27Q1]:[27Q2]])=0),"YES","NO"))</f>
        <v>YES</v>
      </c>
      <c r="AE19" s="85" t="str">
        <f>VLOOKUP(UK_NO[[#This Row],[Product Line]],Prod_T6[],4,0)</f>
        <v>PV</v>
      </c>
      <c r="AH19" s="2" t="str">
        <v>2 - Initial offer</v>
      </c>
    </row>
    <row r="20" spans="1:34" s="2" customFormat="1" ht="16.5" customHeight="1">
      <c r="A20" s="14" t="s">
        <v>56</v>
      </c>
      <c r="B20" s="1" t="s">
        <v>548</v>
      </c>
      <c r="C20" s="31" t="s">
        <v>498</v>
      </c>
      <c r="D20" s="2" t="str">
        <f>VLOOKUP(UK_NO[[#This Row],[Product Line]],Prod_T6[],5,0)</f>
        <v>TCL</v>
      </c>
      <c r="E20" s="2" t="s">
        <v>314</v>
      </c>
      <c r="F20" s="1" t="s">
        <v>648</v>
      </c>
      <c r="G20" s="1" t="s">
        <v>634</v>
      </c>
      <c r="H20" s="1" t="s">
        <v>649</v>
      </c>
      <c r="I20" s="15" t="s">
        <v>132</v>
      </c>
      <c r="J20" s="13"/>
      <c r="K20" s="13"/>
      <c r="L20" s="13">
        <f>0.397*6</f>
        <v>2.3820000000000001</v>
      </c>
      <c r="M20" s="13"/>
      <c r="N20" s="13"/>
      <c r="O20" s="13"/>
      <c r="P20" s="13"/>
      <c r="Q20" s="13"/>
      <c r="R20" s="13"/>
      <c r="S20" s="32">
        <f>SUM(UK_NO[[#This Row],[26M04]:[26M06]])</f>
        <v>2.3820000000000001</v>
      </c>
      <c r="T20" s="69">
        <f>SUM(UK_NO[[#This Row],[26M07]:[26M09]])</f>
        <v>0</v>
      </c>
      <c r="U20" s="69">
        <f>SUM(UK_NO[[#This Row],[26M10]:[26M12]])</f>
        <v>0</v>
      </c>
      <c r="V20" s="256"/>
      <c r="W20" s="256"/>
      <c r="X20" s="256"/>
      <c r="Y20" s="256"/>
      <c r="Z20" s="256"/>
      <c r="AA20" s="256"/>
      <c r="AB20" s="256">
        <f>SUM(UK_NO[[#This Row],[27M01]:[27M03]])</f>
        <v>0</v>
      </c>
      <c r="AC20" s="256">
        <f>SUM(UK_NO[[#This Row],[27M04]:[27M06]])</f>
        <v>0</v>
      </c>
      <c r="AD20" s="256" t="str">
        <f>IF(SUM(UK_NO[[#This Row],[26Q2]:[26Q4]])+SUM(UK_NO[[#This Row],[27Q1]:[27Q2]])=0,"No FSCT",IF(AND(SUM(UK_NO[[#This Row],[26Q2]:[26Q4]])&gt;0,SUM(UK_NO[[#This Row],[27Q1]:[27Q2]])=0),"YES","NO"))</f>
        <v>YES</v>
      </c>
      <c r="AE20" s="85" t="str">
        <f>VLOOKUP(UK_NO[[#This Row],[Product Line]],Prod_T6[],4,0)</f>
        <v>PV</v>
      </c>
      <c r="AH20" s="2" t="str">
        <v>0  - Lost</v>
      </c>
    </row>
    <row r="21" spans="1:34" s="2" customFormat="1" ht="16.5" customHeight="1">
      <c r="A21" s="14" t="s">
        <v>56</v>
      </c>
      <c r="B21" s="1" t="s">
        <v>548</v>
      </c>
      <c r="C21" s="31" t="s">
        <v>498</v>
      </c>
      <c r="D21" s="2" t="str">
        <f>VLOOKUP(UK_NO[[#This Row],[Product Line]],Prod_T6[],5,0)</f>
        <v>TCL</v>
      </c>
      <c r="E21" s="2" t="s">
        <v>314</v>
      </c>
      <c r="F21" s="1" t="s">
        <v>372</v>
      </c>
      <c r="G21" s="1" t="s">
        <v>115</v>
      </c>
      <c r="H21" s="1"/>
      <c r="I21" s="15" t="s">
        <v>132</v>
      </c>
      <c r="J21" s="13"/>
      <c r="K21" s="13"/>
      <c r="L21" s="13"/>
      <c r="M21" s="13"/>
      <c r="N21" s="13">
        <v>2.3820000000000001</v>
      </c>
      <c r="O21" s="13"/>
      <c r="P21" s="13"/>
      <c r="Q21" s="13"/>
      <c r="R21" s="13"/>
      <c r="S21" s="32">
        <f>SUM(UK_NO[[#This Row],[26M04]:[26M06]])</f>
        <v>0</v>
      </c>
      <c r="T21" s="69">
        <f>SUM(UK_NO[[#This Row],[26M07]:[26M09]])</f>
        <v>2.3820000000000001</v>
      </c>
      <c r="U21" s="69">
        <f>SUM(UK_NO[[#This Row],[26M10]:[26M12]])</f>
        <v>0</v>
      </c>
      <c r="V21" s="256"/>
      <c r="W21" s="256"/>
      <c r="X21" s="256"/>
      <c r="Y21" s="256"/>
      <c r="Z21" s="256"/>
      <c r="AA21" s="256"/>
      <c r="AB21" s="256">
        <f>SUM(UK_NO[[#This Row],[27M01]:[27M03]])</f>
        <v>0</v>
      </c>
      <c r="AC21" s="256">
        <f>SUM(UK_NO[[#This Row],[27M04]:[27M06]])</f>
        <v>0</v>
      </c>
      <c r="AD21" s="256" t="str">
        <f>IF(SUM(UK_NO[[#This Row],[26Q2]:[26Q4]])+SUM(UK_NO[[#This Row],[27Q1]:[27Q2]])=0,"No FSCT",IF(AND(SUM(UK_NO[[#This Row],[26Q2]:[26Q4]])&gt;0,SUM(UK_NO[[#This Row],[27Q1]:[27Q2]])=0),"YES","NO"))</f>
        <v>YES</v>
      </c>
      <c r="AE21" s="85" t="str">
        <f>VLOOKUP(UK_NO[[#This Row],[Product Line]],Prod_T6[],4,0)</f>
        <v>PV</v>
      </c>
      <c r="AH21" s="2" t="str">
        <v>2 - Initial offer</v>
      </c>
    </row>
    <row r="22" spans="1:34" s="2" customFormat="1" ht="16.5" customHeight="1">
      <c r="A22" s="14" t="s">
        <v>56</v>
      </c>
      <c r="B22" s="1" t="s">
        <v>548</v>
      </c>
      <c r="C22" s="31" t="s">
        <v>498</v>
      </c>
      <c r="D22" s="2" t="str">
        <f>VLOOKUP(UK_NO[[#This Row],[Product Line]],Prod_T6[],5,0)</f>
        <v>TCL</v>
      </c>
      <c r="E22" s="2" t="s">
        <v>149</v>
      </c>
      <c r="F22" s="1" t="s">
        <v>152</v>
      </c>
      <c r="G22" s="1" t="s">
        <v>213</v>
      </c>
      <c r="H22" s="1" t="s">
        <v>551</v>
      </c>
      <c r="I22" s="15" t="s">
        <v>132</v>
      </c>
      <c r="J22" s="13"/>
      <c r="K22" s="13">
        <f>0.43*4</f>
        <v>1.72</v>
      </c>
      <c r="L22" s="13">
        <f>0.43*4</f>
        <v>1.72</v>
      </c>
      <c r="M22" s="13"/>
      <c r="N22" s="13">
        <v>3.44</v>
      </c>
      <c r="O22" s="13"/>
      <c r="P22" s="13"/>
      <c r="Q22" s="13"/>
      <c r="R22" s="13"/>
      <c r="S22" s="32">
        <f>SUM(UK_NO[[#This Row],[26M04]:[26M06]])</f>
        <v>3.44</v>
      </c>
      <c r="T22" s="69">
        <f>SUM(UK_NO[[#This Row],[26M07]:[26M09]])</f>
        <v>3.44</v>
      </c>
      <c r="U22" s="69">
        <f>SUM(UK_NO[[#This Row],[26M10]:[26M12]])</f>
        <v>0</v>
      </c>
      <c r="V22" s="256"/>
      <c r="W22" s="256"/>
      <c r="X22" s="256"/>
      <c r="Y22" s="256"/>
      <c r="Z22" s="256"/>
      <c r="AA22" s="256"/>
      <c r="AB22" s="256">
        <f>SUM(UK_NO[[#This Row],[27M01]:[27M03]])</f>
        <v>0</v>
      </c>
      <c r="AC22" s="256">
        <f>SUM(UK_NO[[#This Row],[27M04]:[27M06]])</f>
        <v>0</v>
      </c>
      <c r="AD22" s="256" t="str">
        <f>IF(SUM(UK_NO[[#This Row],[26Q2]:[26Q4]])+SUM(UK_NO[[#This Row],[27Q1]:[27Q2]])=0,"No FSCT",IF(AND(SUM(UK_NO[[#This Row],[26Q2]:[26Q4]])&gt;0,SUM(UK_NO[[#This Row],[27Q1]:[27Q2]])=0),"YES","NO"))</f>
        <v>YES</v>
      </c>
      <c r="AE22" s="85" t="str">
        <f>VLOOKUP(UK_NO[[#This Row],[Product Line]],Prod_T6[],4,0)</f>
        <v>PV</v>
      </c>
      <c r="AH22" s="2" t="str">
        <v>1 - Lead qualification</v>
      </c>
    </row>
    <row r="23" spans="1:34" s="2" customFormat="1" ht="16.5" customHeight="1">
      <c r="A23" s="14" t="s">
        <v>56</v>
      </c>
      <c r="B23" s="1" t="s">
        <v>548</v>
      </c>
      <c r="C23" s="31" t="s">
        <v>498</v>
      </c>
      <c r="D23" s="2" t="str">
        <f>VLOOKUP(UK_NO[[#This Row],[Product Line]],Prod_T6[],5,0)</f>
        <v>TCL</v>
      </c>
      <c r="E23" s="2" t="s">
        <v>54</v>
      </c>
      <c r="F23" s="1" t="s">
        <v>159</v>
      </c>
      <c r="G23" s="1" t="s">
        <v>213</v>
      </c>
      <c r="H23" s="1"/>
      <c r="I23" s="15" t="s">
        <v>132</v>
      </c>
      <c r="J23" s="13"/>
      <c r="K23" s="13"/>
      <c r="L23" s="13"/>
      <c r="M23" s="13">
        <v>2.66</v>
      </c>
      <c r="N23" s="13">
        <v>2.66</v>
      </c>
      <c r="O23" s="13">
        <v>2.66</v>
      </c>
      <c r="P23" s="13"/>
      <c r="Q23" s="13"/>
      <c r="R23" s="13"/>
      <c r="S23" s="32">
        <f>SUM(UK_NO[[#This Row],[26M04]:[26M06]])</f>
        <v>0</v>
      </c>
      <c r="T23" s="69">
        <f>SUM(UK_NO[[#This Row],[26M07]:[26M09]])</f>
        <v>7.98</v>
      </c>
      <c r="U23" s="69">
        <f>SUM(UK_NO[[#This Row],[26M10]:[26M12]])</f>
        <v>0</v>
      </c>
      <c r="V23" s="256"/>
      <c r="W23" s="256"/>
      <c r="X23" s="256"/>
      <c r="Y23" s="256"/>
      <c r="Z23" s="256"/>
      <c r="AA23" s="256"/>
      <c r="AB23" s="256">
        <f>SUM(UK_NO[[#This Row],[27M01]:[27M03]])</f>
        <v>0</v>
      </c>
      <c r="AC23" s="256">
        <f>SUM(UK_NO[[#This Row],[27M04]:[27M06]])</f>
        <v>0</v>
      </c>
      <c r="AD23" s="256" t="str">
        <f>IF(SUM(UK_NO[[#This Row],[26Q2]:[26Q4]])+SUM(UK_NO[[#This Row],[27Q1]:[27Q2]])=0,"No FSCT",IF(AND(SUM(UK_NO[[#This Row],[26Q2]:[26Q4]])&gt;0,SUM(UK_NO[[#This Row],[27Q1]:[27Q2]])=0),"YES","NO"))</f>
        <v>YES</v>
      </c>
      <c r="AE23" s="85" t="str">
        <f>VLOOKUP(UK_NO[[#This Row],[Product Line]],Prod_T6[],4,0)</f>
        <v>PV</v>
      </c>
      <c r="AH23" s="2" t="str">
        <v>1 - Lead qualification</v>
      </c>
    </row>
    <row r="24" spans="1:34" s="2" customFormat="1" ht="16.5" customHeight="1">
      <c r="A24" s="14" t="s">
        <v>56</v>
      </c>
      <c r="B24" s="1" t="s">
        <v>548</v>
      </c>
      <c r="C24" s="31" t="s">
        <v>498</v>
      </c>
      <c r="D24" s="2" t="str">
        <f>VLOOKUP(UK_NO[[#This Row],[Product Line]],Prod_T6[],5,0)</f>
        <v>TCL</v>
      </c>
      <c r="E24" s="2" t="s">
        <v>54</v>
      </c>
      <c r="F24" s="1" t="s">
        <v>129</v>
      </c>
      <c r="G24" s="1" t="s">
        <v>213</v>
      </c>
      <c r="H24" s="1"/>
      <c r="I24" s="15" t="s">
        <v>132</v>
      </c>
      <c r="J24" s="13"/>
      <c r="K24" s="13">
        <v>5.04</v>
      </c>
      <c r="L24" s="13"/>
      <c r="M24" s="13"/>
      <c r="N24" s="13"/>
      <c r="O24" s="13"/>
      <c r="P24" s="13"/>
      <c r="Q24" s="13"/>
      <c r="R24" s="13"/>
      <c r="S24" s="32">
        <f>SUM(UK_NO[[#This Row],[26M04]:[26M06]])</f>
        <v>5.04</v>
      </c>
      <c r="T24" s="69">
        <f>SUM(UK_NO[[#This Row],[26M07]:[26M09]])</f>
        <v>0</v>
      </c>
      <c r="U24" s="69">
        <f>SUM(UK_NO[[#This Row],[26M10]:[26M12]])</f>
        <v>0</v>
      </c>
      <c r="V24" s="256"/>
      <c r="W24" s="256"/>
      <c r="X24" s="256"/>
      <c r="Y24" s="256"/>
      <c r="Z24" s="256"/>
      <c r="AA24" s="256"/>
      <c r="AB24" s="256">
        <f>SUM(UK_NO[[#This Row],[27M01]:[27M03]])</f>
        <v>0</v>
      </c>
      <c r="AC24" s="256">
        <f>SUM(UK_NO[[#This Row],[27M04]:[27M06]])</f>
        <v>0</v>
      </c>
      <c r="AD24" s="256" t="str">
        <f>IF(SUM(UK_NO[[#This Row],[26Q2]:[26Q4]])+SUM(UK_NO[[#This Row],[27Q1]:[27Q2]])=0,"No FSCT",IF(AND(SUM(UK_NO[[#This Row],[26Q2]:[26Q4]])&gt;0,SUM(UK_NO[[#This Row],[27Q1]:[27Q2]])=0),"YES","NO"))</f>
        <v>YES</v>
      </c>
      <c r="AE24" s="85" t="str">
        <f>VLOOKUP(UK_NO[[#This Row],[Product Line]],Prod_T6[],4,0)</f>
        <v>PV</v>
      </c>
      <c r="AH24" s="2" t="str">
        <v>1 - Lead qualification</v>
      </c>
    </row>
    <row r="25" spans="1:34" s="2" customFormat="1" ht="16.5" customHeight="1">
      <c r="A25" s="14" t="s">
        <v>56</v>
      </c>
      <c r="B25" s="1" t="s">
        <v>550</v>
      </c>
      <c r="C25" s="31" t="s">
        <v>498</v>
      </c>
      <c r="D25" s="2" t="str">
        <f>VLOOKUP(UK_NO[[#This Row],[Product Line]],Prod_T6[],5,0)</f>
        <v>Sunpower</v>
      </c>
      <c r="E25" s="2" t="s">
        <v>118</v>
      </c>
      <c r="F25" s="1" t="s">
        <v>119</v>
      </c>
      <c r="G25" s="1" t="s">
        <v>130</v>
      </c>
      <c r="H25" s="1"/>
      <c r="I25" s="15" t="s">
        <v>132</v>
      </c>
      <c r="J25" s="13">
        <v>3.9744000000000002</v>
      </c>
      <c r="K25" s="13"/>
      <c r="L25" s="13"/>
      <c r="M25" s="13"/>
      <c r="N25" s="13"/>
      <c r="O25" s="13"/>
      <c r="P25" s="13"/>
      <c r="Q25" s="13"/>
      <c r="R25" s="13"/>
      <c r="S25" s="32">
        <f>SUM(UK_NO[[#This Row],[26M04]:[26M06]])</f>
        <v>3.9744000000000002</v>
      </c>
      <c r="T25" s="69">
        <f>SUM(UK_NO[[#This Row],[26M07]:[26M09]])</f>
        <v>0</v>
      </c>
      <c r="U25" s="69">
        <f>SUM(UK_NO[[#This Row],[26M10]:[26M12]])</f>
        <v>0</v>
      </c>
      <c r="V25" s="256"/>
      <c r="W25" s="256"/>
      <c r="X25" s="256"/>
      <c r="Y25" s="256"/>
      <c r="Z25" s="256"/>
      <c r="AA25" s="256"/>
      <c r="AB25" s="256">
        <f>SUM(UK_NO[[#This Row],[27M01]:[27M03]])</f>
        <v>0</v>
      </c>
      <c r="AC25" s="256">
        <f>SUM(UK_NO[[#This Row],[27M04]:[27M06]])</f>
        <v>0</v>
      </c>
      <c r="AD25" s="256" t="str">
        <f>IF(SUM(UK_NO[[#This Row],[26Q2]:[26Q4]])+SUM(UK_NO[[#This Row],[27Q1]:[27Q2]])=0,"No FSCT",IF(AND(SUM(UK_NO[[#This Row],[26Q2]:[26Q4]])&gt;0,SUM(UK_NO[[#This Row],[27Q1]:[27Q2]])=0),"YES","NO"))</f>
        <v>YES</v>
      </c>
      <c r="AE25" s="85" t="str">
        <f>VLOOKUP(UK_NO[[#This Row],[Product Line]],Prod_T6[],4,0)</f>
        <v>PV</v>
      </c>
      <c r="AH25" s="2" t="str">
        <v>7 - Booked</v>
      </c>
    </row>
    <row r="26" spans="1:34" s="2" customFormat="1" ht="16.5" customHeight="1">
      <c r="A26" s="14" t="s">
        <v>56</v>
      </c>
      <c r="B26" s="1" t="s">
        <v>548</v>
      </c>
      <c r="C26" s="31" t="s">
        <v>498</v>
      </c>
      <c r="D26" s="2" t="str">
        <f>VLOOKUP(UK_NO[[#This Row],[Product Line]],Prod_T6[],5,0)</f>
        <v>Sunpower</v>
      </c>
      <c r="E26" s="2" t="s">
        <v>118</v>
      </c>
      <c r="F26" s="1" t="s">
        <v>123</v>
      </c>
      <c r="G26" s="1" t="s">
        <v>130</v>
      </c>
      <c r="H26" s="1" t="s">
        <v>549</v>
      </c>
      <c r="I26" s="15" t="s">
        <v>132</v>
      </c>
      <c r="J26" s="13"/>
      <c r="K26" s="13">
        <v>2.0499999999999998</v>
      </c>
      <c r="L26" s="13"/>
      <c r="M26" s="13">
        <v>2.0499999999999998</v>
      </c>
      <c r="N26" s="13"/>
      <c r="O26" s="13">
        <v>2.0499999999999998</v>
      </c>
      <c r="P26" s="13"/>
      <c r="Q26" s="13"/>
      <c r="R26" s="13"/>
      <c r="S26" s="32">
        <f>SUM(UK_NO[[#This Row],[26M04]:[26M06]])</f>
        <v>2.0499999999999998</v>
      </c>
      <c r="T26" s="69">
        <f>SUM(UK_NO[[#This Row],[26M07]:[26M09]])</f>
        <v>4.0999999999999996</v>
      </c>
      <c r="U26" s="69">
        <f>SUM(UK_NO[[#This Row],[26M10]:[26M12]])</f>
        <v>0</v>
      </c>
      <c r="V26" s="256"/>
      <c r="W26" s="256"/>
      <c r="X26" s="256"/>
      <c r="Y26" s="256"/>
      <c r="Z26" s="256"/>
      <c r="AA26" s="256"/>
      <c r="AB26" s="256">
        <f>SUM(UK_NO[[#This Row],[27M01]:[27M03]])</f>
        <v>0</v>
      </c>
      <c r="AC26" s="256">
        <f>SUM(UK_NO[[#This Row],[27M04]:[27M06]])</f>
        <v>0</v>
      </c>
      <c r="AD26" s="256" t="str">
        <f>IF(SUM(UK_NO[[#This Row],[26Q2]:[26Q4]])+SUM(UK_NO[[#This Row],[27Q1]:[27Q2]])=0,"No FSCT",IF(AND(SUM(UK_NO[[#This Row],[26Q2]:[26Q4]])&gt;0,SUM(UK_NO[[#This Row],[27Q1]:[27Q2]])=0),"YES","NO"))</f>
        <v>YES</v>
      </c>
      <c r="AE26" s="85" t="str">
        <f>VLOOKUP(UK_NO[[#This Row],[Product Line]],Prod_T6[],4,0)</f>
        <v>PV</v>
      </c>
      <c r="AH26" s="2" t="str">
        <v>7 - Booked</v>
      </c>
    </row>
    <row r="27" spans="1:34" s="2" customFormat="1" ht="16.5" customHeight="1">
      <c r="A27" s="14" t="s">
        <v>56</v>
      </c>
      <c r="B27" s="1" t="s">
        <v>548</v>
      </c>
      <c r="C27" s="31" t="s">
        <v>498</v>
      </c>
      <c r="D27" s="2" t="str">
        <f>VLOOKUP(UK_NO[[#This Row],[Product Line]],Prod_T6[],5,0)</f>
        <v>TCL</v>
      </c>
      <c r="E27" s="2" t="s">
        <v>54</v>
      </c>
      <c r="F27" s="1" t="s">
        <v>129</v>
      </c>
      <c r="G27" s="1" t="s">
        <v>130</v>
      </c>
      <c r="H27" s="1"/>
      <c r="I27" s="15" t="s">
        <v>132</v>
      </c>
      <c r="J27" s="13">
        <v>6.3179999999999996</v>
      </c>
      <c r="K27" s="13"/>
      <c r="L27" s="13"/>
      <c r="M27" s="13"/>
      <c r="N27" s="13"/>
      <c r="O27" s="13"/>
      <c r="P27" s="13"/>
      <c r="Q27" s="13"/>
      <c r="R27" s="13"/>
      <c r="S27" s="32">
        <f>SUM(UK_NO[[#This Row],[26M04]:[26M06]])</f>
        <v>6.3179999999999996</v>
      </c>
      <c r="T27" s="69">
        <f>SUM(UK_NO[[#This Row],[26M07]:[26M09]])</f>
        <v>0</v>
      </c>
      <c r="U27" s="69">
        <f>SUM(UK_NO[[#This Row],[26M10]:[26M12]])</f>
        <v>0</v>
      </c>
      <c r="V27" s="256"/>
      <c r="W27" s="256"/>
      <c r="X27" s="256"/>
      <c r="Y27" s="256"/>
      <c r="Z27" s="256"/>
      <c r="AA27" s="256"/>
      <c r="AB27" s="256">
        <f>SUM(UK_NO[[#This Row],[27M01]:[27M03]])</f>
        <v>0</v>
      </c>
      <c r="AC27" s="256">
        <f>SUM(UK_NO[[#This Row],[27M04]:[27M06]])</f>
        <v>0</v>
      </c>
      <c r="AD27" s="256" t="str">
        <f>IF(SUM(UK_NO[[#This Row],[26Q2]:[26Q4]])+SUM(UK_NO[[#This Row],[27Q1]:[27Q2]])=0,"No FSCT",IF(AND(SUM(UK_NO[[#This Row],[26Q2]:[26Q4]])&gt;0,SUM(UK_NO[[#This Row],[27Q1]:[27Q2]])=0),"YES","NO"))</f>
        <v>YES</v>
      </c>
      <c r="AE27" s="85" t="str">
        <f>VLOOKUP(UK_NO[[#This Row],[Product Line]],Prod_T6[],4,0)</f>
        <v>PV</v>
      </c>
      <c r="AH27" s="2" t="str">
        <v>7 - Booked</v>
      </c>
    </row>
    <row r="28" spans="1:34" s="2" customFormat="1" ht="16.5" customHeight="1">
      <c r="A28" s="14" t="s">
        <v>56</v>
      </c>
      <c r="B28" s="1" t="s">
        <v>563</v>
      </c>
      <c r="C28" s="31" t="s">
        <v>498</v>
      </c>
      <c r="D28" s="2" t="str">
        <f>VLOOKUP(UK_NO[[#This Row],[Product Line]],Prod_T6[],5,0)</f>
        <v>Sunpower</v>
      </c>
      <c r="E28" s="2" t="s">
        <v>134</v>
      </c>
      <c r="F28" s="1" t="s">
        <v>135</v>
      </c>
      <c r="G28" s="1" t="s">
        <v>136</v>
      </c>
      <c r="H28" s="1"/>
      <c r="I28" s="15" t="s">
        <v>117</v>
      </c>
      <c r="J28" s="13"/>
      <c r="K28" s="13"/>
      <c r="L28" s="13"/>
      <c r="M28" s="13"/>
      <c r="N28" s="13"/>
      <c r="O28" s="13"/>
      <c r="P28" s="13"/>
      <c r="Q28" s="13"/>
      <c r="R28" s="13"/>
      <c r="S28" s="32">
        <f>SUM(UK_NO[[#This Row],[26M04]:[26M06]])</f>
        <v>0</v>
      </c>
      <c r="T28" s="69">
        <f>SUM(UK_NO[[#This Row],[26M07]:[26M09]])</f>
        <v>0</v>
      </c>
      <c r="U28" s="69">
        <f>SUM(UK_NO[[#This Row],[26M10]:[26M12]])</f>
        <v>0</v>
      </c>
      <c r="V28" s="256"/>
      <c r="W28" s="256"/>
      <c r="X28" s="256"/>
      <c r="Y28" s="256"/>
      <c r="Z28" s="256"/>
      <c r="AA28" s="256"/>
      <c r="AB28" s="256">
        <f>SUM(UK_NO[[#This Row],[27M01]:[27M03]])</f>
        <v>0</v>
      </c>
      <c r="AC28" s="256">
        <f>SUM(UK_NO[[#This Row],[27M04]:[27M06]])</f>
        <v>0</v>
      </c>
      <c r="AD28" s="256" t="str">
        <f>IF(SUM(UK_NO[[#This Row],[26Q2]:[26Q4]])+SUM(UK_NO[[#This Row],[27Q1]:[27Q2]])=0,"No FSCT",IF(AND(SUM(UK_NO[[#This Row],[26Q2]:[26Q4]])&gt;0,SUM(UK_NO[[#This Row],[27Q1]:[27Q2]])=0),"YES","NO"))</f>
        <v>No FSCT</v>
      </c>
      <c r="AE28" s="120" t="str">
        <f>VLOOKUP(UK_NO[[#This Row],[Product Line]],Prod_T6[],4,0)</f>
        <v>PV</v>
      </c>
      <c r="AH28" s="2" t="str">
        <v>3 - Negotiation</v>
      </c>
    </row>
    <row r="29" spans="1:34" s="2" customFormat="1" ht="16.5" customHeight="1">
      <c r="A29" s="14" t="s">
        <v>56</v>
      </c>
      <c r="B29" s="1" t="s">
        <v>564</v>
      </c>
      <c r="C29" s="3" t="s">
        <v>498</v>
      </c>
      <c r="D29" s="2" t="str">
        <f>VLOOKUP(UK_NO[[#This Row],[Product Line]],Prod_T6[],5,0)</f>
        <v>TCL</v>
      </c>
      <c r="E29" s="2" t="s">
        <v>113</v>
      </c>
      <c r="F29" s="1" t="s">
        <v>153</v>
      </c>
      <c r="G29" s="1" t="s">
        <v>136</v>
      </c>
      <c r="H29" s="1" t="s">
        <v>531</v>
      </c>
      <c r="I29" s="15" t="s">
        <v>117</v>
      </c>
      <c r="J29" s="13"/>
      <c r="K29" s="13"/>
      <c r="L29" s="13"/>
      <c r="M29" s="113"/>
      <c r="N29" s="113"/>
      <c r="O29" s="113"/>
      <c r="P29" s="13"/>
      <c r="Q29" s="13">
        <v>4.5</v>
      </c>
      <c r="R29" s="13"/>
      <c r="S29" s="32">
        <f>SUM(UK_NO[[#This Row],[26M04]:[26M06]])</f>
        <v>0</v>
      </c>
      <c r="T29" s="69">
        <f>SUM(UK_NO[[#This Row],[26M07]:[26M09]])</f>
        <v>0</v>
      </c>
      <c r="U29" s="69">
        <f>SUM(UK_NO[[#This Row],[26M10]:[26M12]])</f>
        <v>4.5</v>
      </c>
      <c r="V29" s="256"/>
      <c r="W29" s="256"/>
      <c r="X29" s="256"/>
      <c r="Y29" s="256"/>
      <c r="Z29" s="256"/>
      <c r="AA29" s="256"/>
      <c r="AB29" s="256">
        <f>SUM(UK_NO[[#This Row],[27M01]:[27M03]])</f>
        <v>0</v>
      </c>
      <c r="AC29" s="256">
        <f>SUM(UK_NO[[#This Row],[27M04]:[27M06]])</f>
        <v>0</v>
      </c>
      <c r="AD29" s="256" t="str">
        <f>IF(SUM(UK_NO[[#This Row],[26Q2]:[26Q4]])+SUM(UK_NO[[#This Row],[27Q1]:[27Q2]])=0,"No FSCT",IF(AND(SUM(UK_NO[[#This Row],[26Q2]:[26Q4]])&gt;0,SUM(UK_NO[[#This Row],[27Q1]:[27Q2]])=0),"YES","NO"))</f>
        <v>YES</v>
      </c>
      <c r="AE29" s="120" t="str">
        <f>VLOOKUP(UK_NO[[#This Row],[Product Line]],Prod_T6[],4,0)</f>
        <v>PV</v>
      </c>
      <c r="AH29" s="2" t="str">
        <v>3 - Negotiation</v>
      </c>
    </row>
    <row r="30" spans="1:34" s="2" customFormat="1" ht="16.5" customHeight="1">
      <c r="A30" s="14" t="s">
        <v>56</v>
      </c>
      <c r="B30" s="1" t="s">
        <v>565</v>
      </c>
      <c r="C30" s="31" t="s">
        <v>493</v>
      </c>
      <c r="D30" s="2" t="str">
        <f>VLOOKUP(UK_NO[[#This Row],[Product Line]],Prod_T6[],5,0)</f>
        <v>Sunpower</v>
      </c>
      <c r="E30" s="2" t="s">
        <v>118</v>
      </c>
      <c r="F30" s="1" t="s">
        <v>119</v>
      </c>
      <c r="G30" s="1" t="s">
        <v>130</v>
      </c>
      <c r="H30" s="1" t="s">
        <v>566</v>
      </c>
      <c r="I30" s="40" t="s">
        <v>117</v>
      </c>
      <c r="J30" s="13">
        <v>0</v>
      </c>
      <c r="K30" s="13">
        <v>0</v>
      </c>
      <c r="L30" s="13">
        <v>0.125</v>
      </c>
      <c r="M30" s="13">
        <v>0</v>
      </c>
      <c r="N30" s="13">
        <v>0.14499999999999999</v>
      </c>
      <c r="O30" s="13">
        <v>0.23100000000000001</v>
      </c>
      <c r="P30" s="13">
        <v>0</v>
      </c>
      <c r="Q30" s="13">
        <v>0.125</v>
      </c>
      <c r="R30" s="13">
        <v>0.25</v>
      </c>
      <c r="S30" s="32">
        <f>SUM(UK_NO[[#This Row],[26M04]:[26M06]])</f>
        <v>0.125</v>
      </c>
      <c r="T30" s="69">
        <f>SUM(UK_NO[[#This Row],[26M07]:[26M09]])</f>
        <v>0.376</v>
      </c>
      <c r="U30" s="69">
        <f>SUM(UK_NO[[#This Row],[26M10]:[26M12]])</f>
        <v>0.375</v>
      </c>
      <c r="V30" s="256"/>
      <c r="W30" s="256"/>
      <c r="X30" s="256"/>
      <c r="Y30" s="256"/>
      <c r="Z30" s="256"/>
      <c r="AA30" s="256"/>
      <c r="AB30" s="256">
        <f>SUM(UK_NO[[#This Row],[27M01]:[27M03]])</f>
        <v>0</v>
      </c>
      <c r="AC30" s="256">
        <f>SUM(UK_NO[[#This Row],[27M04]:[27M06]])</f>
        <v>0</v>
      </c>
      <c r="AD30" s="256" t="str">
        <f>IF(SUM(UK_NO[[#This Row],[26Q2]:[26Q4]])+SUM(UK_NO[[#This Row],[27Q1]:[27Q2]])=0,"No FSCT",IF(AND(SUM(UK_NO[[#This Row],[26Q2]:[26Q4]])&gt;0,SUM(UK_NO[[#This Row],[27Q1]:[27Q2]])=0),"YES","NO"))</f>
        <v>YES</v>
      </c>
      <c r="AE30" s="85" t="str">
        <f>VLOOKUP(UK_NO[[#This Row],[Product Line]],Prod_T6[],4,0)</f>
        <v>PV</v>
      </c>
      <c r="AH30" s="2" t="str">
        <v>7 - Booked</v>
      </c>
    </row>
    <row r="31" spans="1:34" s="2" customFormat="1" ht="16.5" customHeight="1">
      <c r="A31" s="14" t="s">
        <v>56</v>
      </c>
      <c r="B31" s="1" t="s">
        <v>565</v>
      </c>
      <c r="C31" s="31" t="s">
        <v>493</v>
      </c>
      <c r="D31" s="2" t="str">
        <f>VLOOKUP(UK_NO[[#This Row],[Product Line]],Prod_T6[],5,0)</f>
        <v>Sunpower</v>
      </c>
      <c r="E31" s="2" t="s">
        <v>134</v>
      </c>
      <c r="F31" s="1" t="s">
        <v>135</v>
      </c>
      <c r="G31" s="1" t="s">
        <v>115</v>
      </c>
      <c r="H31" s="1" t="s">
        <v>566</v>
      </c>
      <c r="I31" s="40" t="s">
        <v>117</v>
      </c>
      <c r="J31" s="13">
        <v>0</v>
      </c>
      <c r="K31" s="13">
        <v>0</v>
      </c>
      <c r="L31" s="13">
        <v>0.125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0.17499999999999999</v>
      </c>
      <c r="S31" s="32"/>
      <c r="T31" s="69">
        <f>SUM(UK_NO[[#This Row],[26M07]:[26M09]])</f>
        <v>0</v>
      </c>
      <c r="U31" s="69">
        <f>SUM(UK_NO[[#This Row],[26M10]:[26M12]])</f>
        <v>0.17499999999999999</v>
      </c>
      <c r="V31" s="256"/>
      <c r="W31" s="256"/>
      <c r="X31" s="256"/>
      <c r="Y31" s="256"/>
      <c r="Z31" s="256"/>
      <c r="AA31" s="256"/>
      <c r="AB31" s="256">
        <f>SUM(UK_NO[[#This Row],[27M01]:[27M03]])</f>
        <v>0</v>
      </c>
      <c r="AC31" s="256">
        <f>SUM(UK_NO[[#This Row],[27M04]:[27M06]])</f>
        <v>0</v>
      </c>
      <c r="AD31" s="256" t="str">
        <f>IF(SUM(UK_NO[[#This Row],[26Q2]:[26Q4]])+SUM(UK_NO[[#This Row],[27Q1]:[27Q2]])=0,"No FSCT",IF(AND(SUM(UK_NO[[#This Row],[26Q2]:[26Q4]])&gt;0,SUM(UK_NO[[#This Row],[27Q1]:[27Q2]])=0),"YES","NO"))</f>
        <v>YES</v>
      </c>
      <c r="AE31" s="85" t="str">
        <f>VLOOKUP(UK_NO[[#This Row],[Product Line]],Prod_T6[],4,0)</f>
        <v>PV</v>
      </c>
      <c r="AH31" s="2" t="str">
        <v>2 - Initial offer</v>
      </c>
    </row>
    <row r="32" spans="1:34" s="2" customFormat="1" ht="16.5" customHeight="1">
      <c r="A32" s="14" t="s">
        <v>56</v>
      </c>
      <c r="B32" s="1" t="s">
        <v>581</v>
      </c>
      <c r="C32" s="31" t="s">
        <v>512</v>
      </c>
      <c r="D32" s="2" t="str">
        <f>VLOOKUP(UK_NO[[#This Row],[Product Line]],Prod_T6[],5,0)</f>
        <v>Sunpower</v>
      </c>
      <c r="E32" s="2" t="s">
        <v>118</v>
      </c>
      <c r="F32" s="1" t="s">
        <v>123</v>
      </c>
      <c r="G32" s="1" t="s">
        <v>156</v>
      </c>
      <c r="H32" s="1" t="s">
        <v>583</v>
      </c>
      <c r="I32" s="40" t="s">
        <v>117</v>
      </c>
      <c r="J32" s="13"/>
      <c r="K32" s="13"/>
      <c r="L32" s="13">
        <v>0.3</v>
      </c>
      <c r="M32" s="13"/>
      <c r="N32" s="13">
        <v>0.3</v>
      </c>
      <c r="O32" s="13">
        <v>0.3</v>
      </c>
      <c r="P32" s="13">
        <v>0.3</v>
      </c>
      <c r="Q32" s="13">
        <v>0.3</v>
      </c>
      <c r="R32" s="13"/>
      <c r="S32" s="32">
        <f>SUM(UK_NO[[#This Row],[26M04]:[26M06]])</f>
        <v>0.3</v>
      </c>
      <c r="T32" s="69">
        <f>SUM(UK_NO[[#This Row],[26M07]:[26M09]])</f>
        <v>0.6</v>
      </c>
      <c r="U32" s="69">
        <f>SUM(UK_NO[[#This Row],[26M10]:[26M12]])</f>
        <v>0.6</v>
      </c>
      <c r="V32" s="256"/>
      <c r="W32" s="256"/>
      <c r="X32" s="256"/>
      <c r="Y32" s="256"/>
      <c r="Z32" s="256"/>
      <c r="AA32" s="256"/>
      <c r="AB32" s="256">
        <f>SUM(UK_NO[[#This Row],[27M01]:[27M03]])</f>
        <v>0</v>
      </c>
      <c r="AC32" s="256">
        <f>SUM(UK_NO[[#This Row],[27M04]:[27M06]])</f>
        <v>0</v>
      </c>
      <c r="AD32" s="256" t="str">
        <f>IF(SUM(UK_NO[[#This Row],[26Q2]:[26Q4]])+SUM(UK_NO[[#This Row],[27Q1]:[27Q2]])=0,"No FSCT",IF(AND(SUM(UK_NO[[#This Row],[26Q2]:[26Q4]])&gt;0,SUM(UK_NO[[#This Row],[27Q1]:[27Q2]])=0),"YES","NO"))</f>
        <v>YES</v>
      </c>
      <c r="AE32" s="85" t="str">
        <f>VLOOKUP(UK_NO[[#This Row],[Product Line]],Prod_T6[],4,0)</f>
        <v>PV</v>
      </c>
      <c r="AH32" s="2" t="str">
        <v>6 - Won</v>
      </c>
    </row>
    <row r="33" spans="1:34" s="2" customFormat="1" ht="16.5" customHeight="1">
      <c r="A33" s="14" t="s">
        <v>56</v>
      </c>
      <c r="B33" s="1" t="s">
        <v>581</v>
      </c>
      <c r="C33" s="31" t="s">
        <v>512</v>
      </c>
      <c r="D33" s="2" t="str">
        <f>VLOOKUP(UK_NO[[#This Row],[Product Line]],Prod_T6[],5,0)</f>
        <v>Sunpower</v>
      </c>
      <c r="E33" s="2" t="s">
        <v>118</v>
      </c>
      <c r="F33" s="1" t="s">
        <v>119</v>
      </c>
      <c r="G33" s="1" t="s">
        <v>156</v>
      </c>
      <c r="H33" s="1"/>
      <c r="I33" s="40" t="s">
        <v>117</v>
      </c>
      <c r="J33" s="13">
        <v>6.6000000000000003E-2</v>
      </c>
      <c r="K33" s="13">
        <v>6.6000000000000003E-2</v>
      </c>
      <c r="L33" s="13">
        <v>6.6000000000000003E-2</v>
      </c>
      <c r="M33" s="13">
        <v>6.6000000000000003E-2</v>
      </c>
      <c r="N33" s="13">
        <v>6.6000000000000003E-2</v>
      </c>
      <c r="O33" s="13">
        <v>6.6000000000000003E-2</v>
      </c>
      <c r="P33" s="13">
        <v>6.6000000000000003E-2</v>
      </c>
      <c r="Q33" s="13">
        <v>6.6000000000000003E-2</v>
      </c>
      <c r="R33" s="13">
        <v>6.6000000000000003E-2</v>
      </c>
      <c r="S33" s="32">
        <f>SUM(UK_NO[[#This Row],[26M04]:[26M06]])</f>
        <v>0.19800000000000001</v>
      </c>
      <c r="T33" s="69">
        <f>SUM(UK_NO[[#This Row],[26M07]:[26M09]])</f>
        <v>0.19800000000000001</v>
      </c>
      <c r="U33" s="69">
        <f>SUM(UK_NO[[#This Row],[26M10]:[26M12]])</f>
        <v>0.19800000000000001</v>
      </c>
      <c r="V33" s="256"/>
      <c r="W33" s="256"/>
      <c r="X33" s="256"/>
      <c r="Y33" s="256"/>
      <c r="Z33" s="256"/>
      <c r="AA33" s="256"/>
      <c r="AB33" s="256">
        <f>SUM(UK_NO[[#This Row],[27M01]:[27M03]])</f>
        <v>0</v>
      </c>
      <c r="AC33" s="256">
        <f>SUM(UK_NO[[#This Row],[27M04]:[27M06]])</f>
        <v>0</v>
      </c>
      <c r="AD33" s="256" t="str">
        <f>IF(SUM(UK_NO[[#This Row],[26Q2]:[26Q4]])+SUM(UK_NO[[#This Row],[27Q1]:[27Q2]])=0,"No FSCT",IF(AND(SUM(UK_NO[[#This Row],[26Q2]:[26Q4]])&gt;0,SUM(UK_NO[[#This Row],[27Q1]:[27Q2]])=0),"YES","NO"))</f>
        <v>YES</v>
      </c>
      <c r="AE33" s="85" t="str">
        <f>VLOOKUP(UK_NO[[#This Row],[Product Line]],Prod_T6[],4,0)</f>
        <v>PV</v>
      </c>
      <c r="AH33" s="2" t="str">
        <v>6 - Won</v>
      </c>
    </row>
    <row r="34" spans="1:34" s="2" customFormat="1" ht="16.5" customHeight="1">
      <c r="A34" s="14" t="s">
        <v>56</v>
      </c>
      <c r="B34" s="1" t="s">
        <v>581</v>
      </c>
      <c r="C34" s="31" t="s">
        <v>512</v>
      </c>
      <c r="D34" s="2" t="str">
        <f>VLOOKUP(UK_NO[[#This Row],[Product Line]],Prod_T6[],5,0)</f>
        <v>TCL</v>
      </c>
      <c r="E34" s="2" t="s">
        <v>149</v>
      </c>
      <c r="F34" s="1" t="s">
        <v>152</v>
      </c>
      <c r="G34" s="1" t="s">
        <v>115</v>
      </c>
      <c r="H34" s="1" t="s">
        <v>582</v>
      </c>
      <c r="I34" s="40" t="s">
        <v>117</v>
      </c>
      <c r="J34" s="13"/>
      <c r="K34" s="13"/>
      <c r="L34" s="13"/>
      <c r="M34" s="13"/>
      <c r="N34" s="13"/>
      <c r="O34" s="13">
        <v>1</v>
      </c>
      <c r="P34" s="13">
        <v>1</v>
      </c>
      <c r="Q34" s="13">
        <v>1</v>
      </c>
      <c r="R34" s="13"/>
      <c r="S34" s="32">
        <f>SUM(UK_NO[[#This Row],[26M04]:[26M06]])</f>
        <v>0</v>
      </c>
      <c r="T34" s="69">
        <f>SUM(UK_NO[[#This Row],[26M07]:[26M09]])</f>
        <v>1</v>
      </c>
      <c r="U34" s="69">
        <f>SUM(UK_NO[[#This Row],[26M10]:[26M12]])</f>
        <v>2</v>
      </c>
      <c r="V34" s="256"/>
      <c r="W34" s="256"/>
      <c r="X34" s="256"/>
      <c r="Y34" s="256"/>
      <c r="Z34" s="256"/>
      <c r="AA34" s="256"/>
      <c r="AB34" s="256">
        <f>SUM(UK_NO[[#This Row],[27M01]:[27M03]])</f>
        <v>0</v>
      </c>
      <c r="AC34" s="256">
        <f>SUM(UK_NO[[#This Row],[27M04]:[27M06]])</f>
        <v>0</v>
      </c>
      <c r="AD34" s="256" t="str">
        <f>IF(SUM(UK_NO[[#This Row],[26Q2]:[26Q4]])+SUM(UK_NO[[#This Row],[27Q1]:[27Q2]])=0,"No FSCT",IF(AND(SUM(UK_NO[[#This Row],[26Q2]:[26Q4]])&gt;0,SUM(UK_NO[[#This Row],[27Q1]:[27Q2]])=0),"YES","NO"))</f>
        <v>YES</v>
      </c>
      <c r="AE34" s="85" t="str">
        <f>VLOOKUP(UK_NO[[#This Row],[Product Line]],Prod_T6[],4,0)</f>
        <v>PV</v>
      </c>
      <c r="AH34" s="2" t="str">
        <v>2 - Initial offer</v>
      </c>
    </row>
    <row r="35" spans="1:34" s="2" customFormat="1" ht="16.5" customHeight="1">
      <c r="A35" s="14" t="s">
        <v>56</v>
      </c>
      <c r="B35" s="1" t="s">
        <v>579</v>
      </c>
      <c r="C35" s="31" t="s">
        <v>493</v>
      </c>
      <c r="D35" s="2" t="str">
        <f>VLOOKUP(UK_NO[[#This Row],[Product Line]],Prod_T6[],5,0)</f>
        <v>Sunpower</v>
      </c>
      <c r="E35" s="2" t="s">
        <v>134</v>
      </c>
      <c r="F35" s="1" t="s">
        <v>135</v>
      </c>
      <c r="G35" s="1" t="s">
        <v>115</v>
      </c>
      <c r="H35" s="1" t="s">
        <v>580</v>
      </c>
      <c r="I35" s="40" t="s">
        <v>117</v>
      </c>
      <c r="J35" s="13">
        <v>0.17499999999999999</v>
      </c>
      <c r="K35" s="13">
        <v>0</v>
      </c>
      <c r="L35" s="13">
        <v>0.44500000000000001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0.3</v>
      </c>
      <c r="S35" s="32"/>
      <c r="T35" s="69">
        <f>SUM(UK_NO[[#This Row],[26M07]:[26M09]])</f>
        <v>0</v>
      </c>
      <c r="U35" s="69">
        <f>SUM(UK_NO[[#This Row],[26M10]:[26M12]])</f>
        <v>0.3</v>
      </c>
      <c r="V35" s="256"/>
      <c r="W35" s="256"/>
      <c r="X35" s="256"/>
      <c r="Y35" s="256"/>
      <c r="Z35" s="256"/>
      <c r="AA35" s="256"/>
      <c r="AB35" s="256">
        <f>SUM(UK_NO[[#This Row],[27M01]:[27M03]])</f>
        <v>0</v>
      </c>
      <c r="AC35" s="256">
        <f>SUM(UK_NO[[#This Row],[27M04]:[27M06]])</f>
        <v>0</v>
      </c>
      <c r="AD35" s="256" t="str">
        <f>IF(SUM(UK_NO[[#This Row],[26Q2]:[26Q4]])+SUM(UK_NO[[#This Row],[27Q1]:[27Q2]])=0,"No FSCT",IF(AND(SUM(UK_NO[[#This Row],[26Q2]:[26Q4]])&gt;0,SUM(UK_NO[[#This Row],[27Q1]:[27Q2]])=0),"YES","NO"))</f>
        <v>YES</v>
      </c>
      <c r="AE35" s="85" t="str">
        <f>VLOOKUP(UK_NO[[#This Row],[Product Line]],Prod_T6[],4,0)</f>
        <v>PV</v>
      </c>
      <c r="AH35" s="2" t="str">
        <v>2 - Initial offer</v>
      </c>
    </row>
    <row r="36" spans="1:34" s="2" customFormat="1" ht="16.5" customHeight="1">
      <c r="A36" s="14" t="s">
        <v>56</v>
      </c>
      <c r="B36" s="1" t="s">
        <v>579</v>
      </c>
      <c r="C36" s="31" t="s">
        <v>493</v>
      </c>
      <c r="D36" s="2" t="str">
        <f>VLOOKUP(UK_NO[[#This Row],[Product Line]],Prod_T6[],5,0)</f>
        <v>Sunpower</v>
      </c>
      <c r="E36" s="2" t="s">
        <v>118</v>
      </c>
      <c r="F36" s="1" t="s">
        <v>180</v>
      </c>
      <c r="G36" s="1" t="s">
        <v>130</v>
      </c>
      <c r="H36" s="1" t="s">
        <v>580</v>
      </c>
      <c r="I36" s="40" t="s">
        <v>117</v>
      </c>
      <c r="J36" s="13">
        <v>0.17499999999999999</v>
      </c>
      <c r="K36" s="13">
        <v>0</v>
      </c>
      <c r="L36" s="13">
        <v>0.44500000000000001</v>
      </c>
      <c r="M36" s="13">
        <v>0.44500000000000001</v>
      </c>
      <c r="N36" s="13">
        <v>0.44500000000000001</v>
      </c>
      <c r="O36" s="13">
        <v>0.44500000000000001</v>
      </c>
      <c r="P36" s="13">
        <v>0.44500000000000001</v>
      </c>
      <c r="Q36" s="13">
        <v>0.44500000000000001</v>
      </c>
      <c r="R36" s="13">
        <v>7.4999999999999997E-2</v>
      </c>
      <c r="S36" s="32">
        <f>SUM(UK_NO[[#This Row],[26M04]:[26M06]])</f>
        <v>0.62</v>
      </c>
      <c r="T36" s="69">
        <f>SUM(UK_NO[[#This Row],[26M07]:[26M09]])</f>
        <v>1.335</v>
      </c>
      <c r="U36" s="69">
        <f>SUM(UK_NO[[#This Row],[26M10]:[26M12]])</f>
        <v>0.96499999999999997</v>
      </c>
      <c r="V36" s="256"/>
      <c r="W36" s="256"/>
      <c r="X36" s="256"/>
      <c r="Y36" s="256"/>
      <c r="Z36" s="256"/>
      <c r="AA36" s="256"/>
      <c r="AB36" s="256">
        <f>SUM(UK_NO[[#This Row],[27M01]:[27M03]])</f>
        <v>0</v>
      </c>
      <c r="AC36" s="256">
        <f>SUM(UK_NO[[#This Row],[27M04]:[27M06]])</f>
        <v>0</v>
      </c>
      <c r="AD36" s="256" t="str">
        <f>IF(SUM(UK_NO[[#This Row],[26Q2]:[26Q4]])+SUM(UK_NO[[#This Row],[27Q1]:[27Q2]])=0,"No FSCT",IF(AND(SUM(UK_NO[[#This Row],[26Q2]:[26Q4]])&gt;0,SUM(UK_NO[[#This Row],[27Q1]:[27Q2]])=0),"YES","NO"))</f>
        <v>YES</v>
      </c>
      <c r="AE36" s="85" t="str">
        <f>VLOOKUP(UK_NO[[#This Row],[Product Line]],Prod_T6[],4,0)</f>
        <v>PV</v>
      </c>
      <c r="AH36" s="2" t="str">
        <v>7 - Booked</v>
      </c>
    </row>
    <row r="37" spans="1:34" s="2" customFormat="1" ht="16.5" customHeight="1">
      <c r="A37" s="14" t="s">
        <v>56</v>
      </c>
      <c r="B37" s="1" t="s">
        <v>578</v>
      </c>
      <c r="C37" s="31" t="s">
        <v>512</v>
      </c>
      <c r="D37" s="2" t="str">
        <f>VLOOKUP(UK_NO[[#This Row],[Product Line]],Prod_T6[],5,0)</f>
        <v>Sunpower</v>
      </c>
      <c r="E37" s="2" t="s">
        <v>118</v>
      </c>
      <c r="F37" s="1" t="s">
        <v>119</v>
      </c>
      <c r="G37" s="1" t="s">
        <v>156</v>
      </c>
      <c r="H37" s="1"/>
      <c r="I37" s="40" t="s">
        <v>117</v>
      </c>
      <c r="J37" s="13"/>
      <c r="K37" s="13"/>
      <c r="L37" s="13">
        <v>3.3000000000000002E-2</v>
      </c>
      <c r="M37" s="13"/>
      <c r="N37" s="13">
        <v>3.3000000000000002E-2</v>
      </c>
      <c r="O37" s="13"/>
      <c r="P37" s="13">
        <v>3.3000000000000002E-2</v>
      </c>
      <c r="Q37" s="13"/>
      <c r="R37" s="13">
        <v>3.3000000000000002E-2</v>
      </c>
      <c r="S37" s="32">
        <f>SUM(UK_NO[[#This Row],[26M04]:[26M06]])</f>
        <v>3.3000000000000002E-2</v>
      </c>
      <c r="T37" s="69">
        <f>SUM(UK_NO[[#This Row],[26M07]:[26M09]])</f>
        <v>3.3000000000000002E-2</v>
      </c>
      <c r="U37" s="69">
        <f>SUM(UK_NO[[#This Row],[26M10]:[26M12]])</f>
        <v>6.6000000000000003E-2</v>
      </c>
      <c r="V37" s="256"/>
      <c r="W37" s="256"/>
      <c r="X37" s="256"/>
      <c r="Y37" s="256"/>
      <c r="Z37" s="256"/>
      <c r="AA37" s="256"/>
      <c r="AB37" s="256">
        <f>SUM(UK_NO[[#This Row],[27M01]:[27M03]])</f>
        <v>0</v>
      </c>
      <c r="AC37" s="256">
        <f>SUM(UK_NO[[#This Row],[27M04]:[27M06]])</f>
        <v>0</v>
      </c>
      <c r="AD37" s="256" t="str">
        <f>IF(SUM(UK_NO[[#This Row],[26Q2]:[26Q4]])+SUM(UK_NO[[#This Row],[27Q1]:[27Q2]])=0,"No FSCT",IF(AND(SUM(UK_NO[[#This Row],[26Q2]:[26Q4]])&gt;0,SUM(UK_NO[[#This Row],[27Q1]:[27Q2]])=0),"YES","NO"))</f>
        <v>YES</v>
      </c>
      <c r="AE37" s="85" t="str">
        <f>VLOOKUP(UK_NO[[#This Row],[Product Line]],Prod_T6[],4,0)</f>
        <v>PV</v>
      </c>
      <c r="AH37" s="2" t="str">
        <v>6 - Won</v>
      </c>
    </row>
    <row r="38" spans="1:34" s="2" customFormat="1" ht="16.5" customHeight="1">
      <c r="A38" s="14" t="s">
        <v>56</v>
      </c>
      <c r="B38" s="1" t="s">
        <v>577</v>
      </c>
      <c r="C38" s="31" t="s">
        <v>493</v>
      </c>
      <c r="D38" s="2" t="str">
        <f>VLOOKUP(UK_NO[[#This Row],[Product Line]],Prod_T6[],5,0)</f>
        <v>Sunpower</v>
      </c>
      <c r="E38" s="2" t="s">
        <v>118</v>
      </c>
      <c r="F38" s="1" t="s">
        <v>180</v>
      </c>
      <c r="G38" s="1" t="s">
        <v>130</v>
      </c>
      <c r="H38" s="1" t="s">
        <v>534</v>
      </c>
      <c r="I38" s="15" t="s">
        <v>117</v>
      </c>
      <c r="J38" s="13">
        <v>0</v>
      </c>
      <c r="K38" s="13">
        <v>0</v>
      </c>
      <c r="L38" s="13">
        <v>0.13</v>
      </c>
      <c r="M38" s="13">
        <v>0</v>
      </c>
      <c r="N38" s="13">
        <v>0.252</v>
      </c>
      <c r="O38" s="13"/>
      <c r="P38" s="13"/>
      <c r="Q38" s="13">
        <v>7.1999999999999995E-2</v>
      </c>
      <c r="R38" s="13"/>
      <c r="S38" s="32">
        <f>SUM(UK_NO[[#This Row],[26M04]:[26M06]])</f>
        <v>0.13</v>
      </c>
      <c r="T38" s="69">
        <f>SUM(UK_NO[[#This Row],[26M07]:[26M09]])</f>
        <v>0.252</v>
      </c>
      <c r="U38" s="69">
        <f>SUM(UK_NO[[#This Row],[26M10]:[26M12]])</f>
        <v>7.1999999999999995E-2</v>
      </c>
      <c r="V38" s="256"/>
      <c r="W38" s="256"/>
      <c r="X38" s="256"/>
      <c r="Y38" s="256"/>
      <c r="Z38" s="256"/>
      <c r="AA38" s="256"/>
      <c r="AB38" s="256">
        <f>SUM(UK_NO[[#This Row],[27M01]:[27M03]])</f>
        <v>0</v>
      </c>
      <c r="AC38" s="256">
        <f>SUM(UK_NO[[#This Row],[27M04]:[27M06]])</f>
        <v>0</v>
      </c>
      <c r="AD38" s="256" t="str">
        <f>IF(SUM(UK_NO[[#This Row],[26Q2]:[26Q4]])+SUM(UK_NO[[#This Row],[27Q1]:[27Q2]])=0,"No FSCT",IF(AND(SUM(UK_NO[[#This Row],[26Q2]:[26Q4]])&gt;0,SUM(UK_NO[[#This Row],[27Q1]:[27Q2]])=0),"YES","NO"))</f>
        <v>YES</v>
      </c>
      <c r="AE38" s="85" t="str">
        <f>VLOOKUP(UK_NO[[#This Row],[Product Line]],Prod_T6[],4,0)</f>
        <v>PV</v>
      </c>
      <c r="AH38" s="2" t="str">
        <v>7 - Booked</v>
      </c>
    </row>
    <row r="39" spans="1:34" s="2" customFormat="1" ht="16.5" customHeight="1">
      <c r="A39" s="14" t="s">
        <v>56</v>
      </c>
      <c r="B39" s="1" t="s">
        <v>577</v>
      </c>
      <c r="C39" s="31" t="s">
        <v>493</v>
      </c>
      <c r="D39" s="2" t="str">
        <f>VLOOKUP(UK_NO[[#This Row],[Product Line]],Prod_T6[],5,0)</f>
        <v>Sunpower</v>
      </c>
      <c r="E39" s="2" t="s">
        <v>134</v>
      </c>
      <c r="F39" s="1" t="s">
        <v>135</v>
      </c>
      <c r="G39" s="1" t="s">
        <v>115</v>
      </c>
      <c r="H39" s="1" t="s">
        <v>534</v>
      </c>
      <c r="I39" s="15" t="s">
        <v>117</v>
      </c>
      <c r="J39" s="13">
        <v>0</v>
      </c>
      <c r="K39" s="13">
        <v>0</v>
      </c>
      <c r="L39" s="13">
        <v>0.15</v>
      </c>
      <c r="M39" s="13">
        <v>0</v>
      </c>
      <c r="N39" s="13"/>
      <c r="O39" s="13"/>
      <c r="P39" s="13"/>
      <c r="Q39" s="13"/>
      <c r="R39" s="13">
        <v>0.14299999999999999</v>
      </c>
      <c r="S39" s="32">
        <v>0.15</v>
      </c>
      <c r="T39" s="69">
        <f>SUM(UK_NO[[#This Row],[26M07]:[26M09]])</f>
        <v>0</v>
      </c>
      <c r="U39" s="69">
        <f>SUM(UK_NO[[#This Row],[26M10]:[26M12]])</f>
        <v>0.14299999999999999</v>
      </c>
      <c r="V39" s="256"/>
      <c r="W39" s="256"/>
      <c r="X39" s="256"/>
      <c r="Y39" s="256"/>
      <c r="Z39" s="256"/>
      <c r="AA39" s="256"/>
      <c r="AB39" s="256">
        <f>SUM(UK_NO[[#This Row],[27M01]:[27M03]])</f>
        <v>0</v>
      </c>
      <c r="AC39" s="256">
        <f>SUM(UK_NO[[#This Row],[27M04]:[27M06]])</f>
        <v>0</v>
      </c>
      <c r="AD39" s="256" t="str">
        <f>IF(SUM(UK_NO[[#This Row],[26Q2]:[26Q4]])+SUM(UK_NO[[#This Row],[27Q1]:[27Q2]])=0,"No FSCT",IF(AND(SUM(UK_NO[[#This Row],[26Q2]:[26Q4]])&gt;0,SUM(UK_NO[[#This Row],[27Q1]:[27Q2]])=0),"YES","NO"))</f>
        <v>YES</v>
      </c>
      <c r="AE39" s="85" t="str">
        <f>VLOOKUP(UK_NO[[#This Row],[Product Line]],Prod_T6[],4,0)</f>
        <v>PV</v>
      </c>
      <c r="AH39" s="2" t="str">
        <v>2 - Initial offer</v>
      </c>
    </row>
    <row r="40" spans="1:34" s="2" customFormat="1" ht="16.5" customHeight="1">
      <c r="A40" s="14" t="s">
        <v>56</v>
      </c>
      <c r="B40" s="1" t="s">
        <v>575</v>
      </c>
      <c r="C40" s="31" t="s">
        <v>493</v>
      </c>
      <c r="D40" s="2" t="str">
        <f>VLOOKUP(UK_NO[[#This Row],[Product Line]],Prod_T6[],5,0)</f>
        <v>Sunpower</v>
      </c>
      <c r="E40" s="2" t="s">
        <v>118</v>
      </c>
      <c r="F40" s="1" t="s">
        <v>119</v>
      </c>
      <c r="G40" s="1" t="s">
        <v>130</v>
      </c>
      <c r="H40" s="1" t="s">
        <v>576</v>
      </c>
      <c r="I40" s="40" t="s">
        <v>117</v>
      </c>
      <c r="J40" s="13">
        <v>0</v>
      </c>
      <c r="K40" s="13">
        <v>0.13</v>
      </c>
      <c r="L40" s="13">
        <v>0.13</v>
      </c>
      <c r="M40" s="13">
        <v>0.13</v>
      </c>
      <c r="N40" s="13">
        <v>0</v>
      </c>
      <c r="O40" s="13">
        <v>0.13</v>
      </c>
      <c r="P40" s="13">
        <v>0</v>
      </c>
      <c r="Q40" s="13">
        <v>0.13</v>
      </c>
      <c r="R40" s="13">
        <v>0</v>
      </c>
      <c r="S40" s="32">
        <f>SUM(UK_NO[[#This Row],[26M04]:[26M06]])</f>
        <v>0.26</v>
      </c>
      <c r="T40" s="69">
        <f>SUM(UK_NO[[#This Row],[26M07]:[26M09]])</f>
        <v>0.26</v>
      </c>
      <c r="U40" s="69">
        <f>SUM(UK_NO[[#This Row],[26M10]:[26M12]])</f>
        <v>0.13</v>
      </c>
      <c r="V40" s="256"/>
      <c r="W40" s="256"/>
      <c r="X40" s="256"/>
      <c r="Y40" s="256"/>
      <c r="Z40" s="256"/>
      <c r="AA40" s="256"/>
      <c r="AB40" s="256">
        <f>SUM(UK_NO[[#This Row],[27M01]:[27M03]])</f>
        <v>0</v>
      </c>
      <c r="AC40" s="256">
        <f>SUM(UK_NO[[#This Row],[27M04]:[27M06]])</f>
        <v>0</v>
      </c>
      <c r="AD40" s="256" t="str">
        <f>IF(SUM(UK_NO[[#This Row],[26Q2]:[26Q4]])+SUM(UK_NO[[#This Row],[27Q1]:[27Q2]])=0,"No FSCT",IF(AND(SUM(UK_NO[[#This Row],[26Q2]:[26Q4]])&gt;0,SUM(UK_NO[[#This Row],[27Q1]:[27Q2]])=0),"YES","NO"))</f>
        <v>YES</v>
      </c>
      <c r="AE40" s="85" t="str">
        <f>VLOOKUP(UK_NO[[#This Row],[Product Line]],Prod_T6[],4,0)</f>
        <v>PV</v>
      </c>
      <c r="AH40" s="2" t="str">
        <v>7 - Booked</v>
      </c>
    </row>
    <row r="41" spans="1:34" s="2" customFormat="1" ht="16.5" customHeight="1">
      <c r="A41" s="14" t="s">
        <v>56</v>
      </c>
      <c r="B41" s="1" t="s">
        <v>575</v>
      </c>
      <c r="C41" s="31" t="s">
        <v>493</v>
      </c>
      <c r="D41" s="2" t="str">
        <f>VLOOKUP(UK_NO[[#This Row],[Product Line]],Prod_T6[],5,0)</f>
        <v>Sunpower</v>
      </c>
      <c r="E41" s="2" t="s">
        <v>134</v>
      </c>
      <c r="F41" s="1" t="s">
        <v>135</v>
      </c>
      <c r="G41" s="1" t="s">
        <v>115</v>
      </c>
      <c r="H41" s="1" t="s">
        <v>576</v>
      </c>
      <c r="I41" s="40" t="s">
        <v>117</v>
      </c>
      <c r="J41" s="13">
        <v>0</v>
      </c>
      <c r="K41" s="13">
        <v>0.13</v>
      </c>
      <c r="L41" s="13">
        <v>0.13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7.1999999999999995E-2</v>
      </c>
      <c r="S41" s="32"/>
      <c r="T41" s="69">
        <f>SUM(UK_NO[[#This Row],[26M07]:[26M09]])</f>
        <v>0</v>
      </c>
      <c r="U41" s="69">
        <f>SUM(UK_NO[[#This Row],[26M10]:[26M12]])</f>
        <v>7.1999999999999995E-2</v>
      </c>
      <c r="V41" s="256"/>
      <c r="W41" s="256"/>
      <c r="X41" s="256"/>
      <c r="Y41" s="256"/>
      <c r="Z41" s="256"/>
      <c r="AA41" s="256"/>
      <c r="AB41" s="256">
        <f>SUM(UK_NO[[#This Row],[27M01]:[27M03]])</f>
        <v>0</v>
      </c>
      <c r="AC41" s="256">
        <f>SUM(UK_NO[[#This Row],[27M04]:[27M06]])</f>
        <v>0</v>
      </c>
      <c r="AD41" s="256" t="str">
        <f>IF(SUM(UK_NO[[#This Row],[26Q2]:[26Q4]])+SUM(UK_NO[[#This Row],[27Q1]:[27Q2]])=0,"No FSCT",IF(AND(SUM(UK_NO[[#This Row],[26Q2]:[26Q4]])&gt;0,SUM(UK_NO[[#This Row],[27Q1]:[27Q2]])=0),"YES","NO"))</f>
        <v>YES</v>
      </c>
      <c r="AE41" s="85" t="str">
        <f>VLOOKUP(UK_NO[[#This Row],[Product Line]],Prod_T6[],4,0)</f>
        <v>PV</v>
      </c>
      <c r="AH41" s="2" t="str">
        <v>2 - Initial offer</v>
      </c>
    </row>
    <row r="42" spans="1:34" s="2" customFormat="1" ht="16.5" customHeight="1">
      <c r="A42" s="14" t="s">
        <v>56</v>
      </c>
      <c r="B42" s="1" t="s">
        <v>572</v>
      </c>
      <c r="C42" s="31" t="s">
        <v>512</v>
      </c>
      <c r="D42" s="2" t="str">
        <f>VLOOKUP(UK_NO[[#This Row],[Product Line]],Prod_T6[],5,0)</f>
        <v>TCL</v>
      </c>
      <c r="E42" s="2" t="s">
        <v>54</v>
      </c>
      <c r="F42" s="1" t="s">
        <v>166</v>
      </c>
      <c r="G42" s="1" t="s">
        <v>136</v>
      </c>
      <c r="H42" s="1"/>
      <c r="I42" s="40" t="s">
        <v>117</v>
      </c>
      <c r="J42" s="13"/>
      <c r="K42" s="13"/>
      <c r="L42" s="13"/>
      <c r="M42" s="13"/>
      <c r="N42" s="13"/>
      <c r="O42" s="13">
        <v>1</v>
      </c>
      <c r="P42" s="13"/>
      <c r="Q42" s="13"/>
      <c r="R42" s="13"/>
      <c r="S42" s="32">
        <f>SUM(UK_NO[[#This Row],[26M04]:[26M06]])</f>
        <v>0</v>
      </c>
      <c r="T42" s="69">
        <f>SUM(UK_NO[[#This Row],[26M07]:[26M09]])</f>
        <v>1</v>
      </c>
      <c r="U42" s="69">
        <f>SUM(UK_NO[[#This Row],[26M10]:[26M12]])</f>
        <v>0</v>
      </c>
      <c r="V42" s="256"/>
      <c r="W42" s="256"/>
      <c r="X42" s="256"/>
      <c r="Y42" s="256"/>
      <c r="Z42" s="256"/>
      <c r="AA42" s="256"/>
      <c r="AB42" s="256">
        <f>SUM(UK_NO[[#This Row],[27M01]:[27M03]])</f>
        <v>0</v>
      </c>
      <c r="AC42" s="256">
        <f>SUM(UK_NO[[#This Row],[27M04]:[27M06]])</f>
        <v>0</v>
      </c>
      <c r="AD42" s="256" t="str">
        <f>IF(SUM(UK_NO[[#This Row],[26Q2]:[26Q4]])+SUM(UK_NO[[#This Row],[27Q1]:[27Q2]])=0,"No FSCT",IF(AND(SUM(UK_NO[[#This Row],[26Q2]:[26Q4]])&gt;0,SUM(UK_NO[[#This Row],[27Q1]:[27Q2]])=0),"YES","NO"))</f>
        <v>YES</v>
      </c>
      <c r="AE42" s="85" t="str">
        <f>VLOOKUP(UK_NO[[#This Row],[Product Line]],Prod_T6[],4,0)</f>
        <v>PV</v>
      </c>
      <c r="AH42" s="2" t="str">
        <v>3 - Negotiation</v>
      </c>
    </row>
    <row r="43" spans="1:34" s="2" customFormat="1" ht="16.5" customHeight="1">
      <c r="A43" s="14" t="s">
        <v>56</v>
      </c>
      <c r="B43" s="1" t="s">
        <v>570</v>
      </c>
      <c r="C43" s="31" t="s">
        <v>498</v>
      </c>
      <c r="D43" s="2" t="str">
        <f>VLOOKUP(UK_NO[[#This Row],[Product Line]],Prod_T6[],5,0)</f>
        <v>TCL</v>
      </c>
      <c r="E43" s="2" t="s">
        <v>141</v>
      </c>
      <c r="F43" s="1" t="s">
        <v>50</v>
      </c>
      <c r="G43" s="1" t="s">
        <v>115</v>
      </c>
      <c r="H43" s="1"/>
      <c r="I43" s="15" t="s">
        <v>117</v>
      </c>
      <c r="J43" s="13"/>
      <c r="K43" s="13"/>
      <c r="L43" s="13"/>
      <c r="M43" s="113"/>
      <c r="N43" s="113"/>
      <c r="O43" s="113">
        <v>1</v>
      </c>
      <c r="P43" s="13">
        <v>2</v>
      </c>
      <c r="Q43" s="13"/>
      <c r="R43" s="13"/>
      <c r="S43" s="32">
        <f>SUM(UK_NO[[#This Row],[26M04]:[26M06]])</f>
        <v>0</v>
      </c>
      <c r="T43" s="69">
        <f>SUM(UK_NO[[#This Row],[26M07]:[26M09]])</f>
        <v>1</v>
      </c>
      <c r="U43" s="69">
        <f>SUM(UK_NO[[#This Row],[26M10]:[26M12]])</f>
        <v>2</v>
      </c>
      <c r="V43" s="256"/>
      <c r="W43" s="256"/>
      <c r="X43" s="256"/>
      <c r="Y43" s="256"/>
      <c r="Z43" s="256"/>
      <c r="AA43" s="256"/>
      <c r="AB43" s="256">
        <f>SUM(UK_NO[[#This Row],[27M01]:[27M03]])</f>
        <v>0</v>
      </c>
      <c r="AC43" s="256">
        <f>SUM(UK_NO[[#This Row],[27M04]:[27M06]])</f>
        <v>0</v>
      </c>
      <c r="AD43" s="256" t="str">
        <f>IF(SUM(UK_NO[[#This Row],[26Q2]:[26Q4]])+SUM(UK_NO[[#This Row],[27Q1]:[27Q2]])=0,"No FSCT",IF(AND(SUM(UK_NO[[#This Row],[26Q2]:[26Q4]])&gt;0,SUM(UK_NO[[#This Row],[27Q1]:[27Q2]])=0),"YES","NO"))</f>
        <v>YES</v>
      </c>
      <c r="AE43" s="85" t="str">
        <f>VLOOKUP(UK_NO[[#This Row],[Product Line]],Prod_T6[],4,0)</f>
        <v>ESS</v>
      </c>
      <c r="AH43" s="2" t="str">
        <v>2 - Initial offer</v>
      </c>
    </row>
    <row r="44" spans="1:34" s="2" customFormat="1" ht="16.5" customHeight="1">
      <c r="A44" s="14" t="s">
        <v>56</v>
      </c>
      <c r="B44" s="1" t="s">
        <v>570</v>
      </c>
      <c r="C44" s="31" t="s">
        <v>498</v>
      </c>
      <c r="D44" s="2" t="str">
        <f>VLOOKUP(UK_NO[[#This Row],[Product Line]],Prod_T6[],5,0)</f>
        <v>TCL</v>
      </c>
      <c r="E44" s="2" t="s">
        <v>113</v>
      </c>
      <c r="F44" s="1" t="s">
        <v>153</v>
      </c>
      <c r="G44" s="1" t="s">
        <v>136</v>
      </c>
      <c r="H44" s="1" t="s">
        <v>531</v>
      </c>
      <c r="I44" s="15" t="s">
        <v>117</v>
      </c>
      <c r="J44" s="13"/>
      <c r="K44" s="13"/>
      <c r="L44" s="13"/>
      <c r="M44" s="113"/>
      <c r="N44" s="113"/>
      <c r="O44" s="113"/>
      <c r="P44" s="13">
        <v>0.90700000000000003</v>
      </c>
      <c r="Q44" s="13">
        <v>0.90700000000000003</v>
      </c>
      <c r="R44" s="13"/>
      <c r="S44" s="32">
        <f>SUM(UK_NO[[#This Row],[26M04]:[26M06]])</f>
        <v>0</v>
      </c>
      <c r="T44" s="69">
        <f>SUM(UK_NO[[#This Row],[26M07]:[26M09]])</f>
        <v>0</v>
      </c>
      <c r="U44" s="69">
        <f>SUM(UK_NO[[#This Row],[26M10]:[26M12]])</f>
        <v>1.8140000000000001</v>
      </c>
      <c r="V44" s="256"/>
      <c r="W44" s="256"/>
      <c r="X44" s="256"/>
      <c r="Y44" s="256"/>
      <c r="Z44" s="256"/>
      <c r="AA44" s="256"/>
      <c r="AB44" s="256">
        <f>SUM(UK_NO[[#This Row],[27M01]:[27M03]])</f>
        <v>0</v>
      </c>
      <c r="AC44" s="256">
        <f>SUM(UK_NO[[#This Row],[27M04]:[27M06]])</f>
        <v>0</v>
      </c>
      <c r="AD44" s="256" t="str">
        <f>IF(SUM(UK_NO[[#This Row],[26Q2]:[26Q4]])+SUM(UK_NO[[#This Row],[27Q1]:[27Q2]])=0,"No FSCT",IF(AND(SUM(UK_NO[[#This Row],[26Q2]:[26Q4]])&gt;0,SUM(UK_NO[[#This Row],[27Q1]:[27Q2]])=0),"YES","NO"))</f>
        <v>YES</v>
      </c>
      <c r="AE44" s="120" t="str">
        <f>VLOOKUP(UK_NO[[#This Row],[Product Line]],Prod_T6[],4,0)</f>
        <v>PV</v>
      </c>
      <c r="AH44" s="2" t="str">
        <v>3 - Negotiation</v>
      </c>
    </row>
    <row r="45" spans="1:34" s="2" customFormat="1" ht="16.5" customHeight="1">
      <c r="A45" s="14" t="s">
        <v>56</v>
      </c>
      <c r="B45" s="1" t="s">
        <v>570</v>
      </c>
      <c r="C45" s="31" t="s">
        <v>498</v>
      </c>
      <c r="D45" s="2" t="str">
        <f>VLOOKUP(UK_NO[[#This Row],[Product Line]],Prod_T6[],5,0)</f>
        <v>TCL</v>
      </c>
      <c r="E45" s="2" t="s">
        <v>54</v>
      </c>
      <c r="F45" s="1" t="s">
        <v>129</v>
      </c>
      <c r="G45" s="1" t="s">
        <v>136</v>
      </c>
      <c r="H45" s="1" t="s">
        <v>571</v>
      </c>
      <c r="I45" s="15" t="s">
        <v>117</v>
      </c>
      <c r="J45" s="13"/>
      <c r="K45" s="13"/>
      <c r="L45" s="13"/>
      <c r="M45" s="113"/>
      <c r="N45" s="113"/>
      <c r="O45" s="113"/>
      <c r="P45" s="13">
        <v>0.84199999999999997</v>
      </c>
      <c r="Q45" s="13"/>
      <c r="R45" s="13"/>
      <c r="S45" s="32">
        <f>SUM(UK_NO[[#This Row],[26M04]:[26M06]])</f>
        <v>0</v>
      </c>
      <c r="T45" s="69">
        <f>SUM(UK_NO[[#This Row],[26M07]:[26M09]])</f>
        <v>0</v>
      </c>
      <c r="U45" s="69">
        <f>SUM(UK_NO[[#This Row],[26M10]:[26M12]])</f>
        <v>0.84199999999999997</v>
      </c>
      <c r="V45" s="256"/>
      <c r="W45" s="256"/>
      <c r="X45" s="256"/>
      <c r="Y45" s="256"/>
      <c r="Z45" s="256"/>
      <c r="AA45" s="256"/>
      <c r="AB45" s="256">
        <f>SUM(UK_NO[[#This Row],[27M01]:[27M03]])</f>
        <v>0</v>
      </c>
      <c r="AC45" s="256">
        <f>SUM(UK_NO[[#This Row],[27M04]:[27M06]])</f>
        <v>0</v>
      </c>
      <c r="AD45" s="256" t="str">
        <f>IF(SUM(UK_NO[[#This Row],[26Q2]:[26Q4]])+SUM(UK_NO[[#This Row],[27Q1]:[27Q2]])=0,"No FSCT",IF(AND(SUM(UK_NO[[#This Row],[26Q2]:[26Q4]])&gt;0,SUM(UK_NO[[#This Row],[27Q1]:[27Q2]])=0),"YES","NO"))</f>
        <v>YES</v>
      </c>
      <c r="AE45" s="120" t="str">
        <f>VLOOKUP(UK_NO[[#This Row],[Product Line]],Prod_T6[],4,0)</f>
        <v>PV</v>
      </c>
      <c r="AH45" s="2" t="str">
        <v>3 - Negotiation</v>
      </c>
    </row>
    <row r="46" spans="1:34" s="2" customFormat="1" ht="16.5" customHeight="1">
      <c r="A46" s="14" t="s">
        <v>56</v>
      </c>
      <c r="B46" s="1" t="s">
        <v>569</v>
      </c>
      <c r="C46" s="31" t="s">
        <v>512</v>
      </c>
      <c r="D46" s="2" t="str">
        <f>VLOOKUP(UK_NO[[#This Row],[Product Line]],Prod_T6[],5,0)</f>
        <v>Sunpower</v>
      </c>
      <c r="E46" s="2" t="s">
        <v>118</v>
      </c>
      <c r="F46" s="1" t="s">
        <v>180</v>
      </c>
      <c r="G46" s="1" t="s">
        <v>156</v>
      </c>
      <c r="H46" s="1"/>
      <c r="I46" s="40" t="s">
        <v>117</v>
      </c>
      <c r="J46" s="13">
        <v>7.2999999999999995E-2</v>
      </c>
      <c r="K46" s="13">
        <v>7.2999999999999995E-2</v>
      </c>
      <c r="L46" s="13">
        <v>7.2999999999999995E-2</v>
      </c>
      <c r="M46" s="13">
        <v>8.3000000000000004E-2</v>
      </c>
      <c r="N46" s="13">
        <v>8.3000000000000004E-2</v>
      </c>
      <c r="O46" s="13">
        <v>8.3000000000000004E-2</v>
      </c>
      <c r="P46" s="13">
        <v>8.3000000000000004E-2</v>
      </c>
      <c r="Q46" s="13">
        <v>8.3000000000000004E-2</v>
      </c>
      <c r="R46" s="13">
        <v>8.3000000000000004E-2</v>
      </c>
      <c r="S46" s="32">
        <f>SUM(UK_NO[[#This Row],[26M04]:[26M06]])</f>
        <v>0.21899999999999997</v>
      </c>
      <c r="T46" s="69">
        <f>SUM(UK_NO[[#This Row],[26M07]:[26M09]])</f>
        <v>0.249</v>
      </c>
      <c r="U46" s="69">
        <f>SUM(UK_NO[[#This Row],[26M10]:[26M12]])</f>
        <v>0.249</v>
      </c>
      <c r="V46" s="256"/>
      <c r="W46" s="256"/>
      <c r="X46" s="256"/>
      <c r="Y46" s="256"/>
      <c r="Z46" s="256"/>
      <c r="AA46" s="256"/>
      <c r="AB46" s="256">
        <f>SUM(UK_NO[[#This Row],[27M01]:[27M03]])</f>
        <v>0</v>
      </c>
      <c r="AC46" s="256">
        <f>SUM(UK_NO[[#This Row],[27M04]:[27M06]])</f>
        <v>0</v>
      </c>
      <c r="AD46" s="256" t="str">
        <f>IF(SUM(UK_NO[[#This Row],[26Q2]:[26Q4]])+SUM(UK_NO[[#This Row],[27Q1]:[27Q2]])=0,"No FSCT",IF(AND(SUM(UK_NO[[#This Row],[26Q2]:[26Q4]])&gt;0,SUM(UK_NO[[#This Row],[27Q1]:[27Q2]])=0),"YES","NO"))</f>
        <v>YES</v>
      </c>
      <c r="AE46" s="85" t="str">
        <f>VLOOKUP(UK_NO[[#This Row],[Product Line]],Prod_T6[],4,0)</f>
        <v>PV</v>
      </c>
      <c r="AH46" s="2" t="str">
        <v>6 - Won</v>
      </c>
    </row>
    <row r="47" spans="1:34" s="2" customFormat="1" ht="16.5" customHeight="1">
      <c r="A47" s="14" t="s">
        <v>56</v>
      </c>
      <c r="B47" s="1" t="s">
        <v>568</v>
      </c>
      <c r="C47" s="31" t="s">
        <v>512</v>
      </c>
      <c r="D47" s="2" t="str">
        <f>VLOOKUP(UK_NO[[#This Row],[Product Line]],Prod_T6[],5,0)</f>
        <v>Sunpower</v>
      </c>
      <c r="E47" s="2" t="s">
        <v>276</v>
      </c>
      <c r="F47" s="1" t="s">
        <v>553</v>
      </c>
      <c r="G47" s="1" t="s">
        <v>156</v>
      </c>
      <c r="H47" s="1"/>
      <c r="I47" s="40" t="s">
        <v>117</v>
      </c>
      <c r="J47" s="13"/>
      <c r="K47" s="13"/>
      <c r="L47" s="13"/>
      <c r="M47" s="13"/>
      <c r="N47" s="13">
        <v>0.05</v>
      </c>
      <c r="O47" s="13">
        <v>0.05</v>
      </c>
      <c r="P47" s="13">
        <v>7.0000000000000007E-2</v>
      </c>
      <c r="Q47" s="13">
        <v>7.0000000000000007E-2</v>
      </c>
      <c r="R47" s="13">
        <v>7.0000000000000007E-2</v>
      </c>
      <c r="S47" s="32">
        <f>SUM(UK_NO[[#This Row],[26M04]:[26M06]])</f>
        <v>0</v>
      </c>
      <c r="T47" s="69">
        <f>SUM(UK_NO[[#This Row],[26M07]:[26M09]])</f>
        <v>0.1</v>
      </c>
      <c r="U47" s="69">
        <f>SUM(UK_NO[[#This Row],[26M10]:[26M12]])</f>
        <v>0.21000000000000002</v>
      </c>
      <c r="V47" s="256"/>
      <c r="W47" s="256"/>
      <c r="X47" s="256"/>
      <c r="Y47" s="256"/>
      <c r="Z47" s="256"/>
      <c r="AA47" s="256"/>
      <c r="AB47" s="256">
        <f>SUM(UK_NO[[#This Row],[27M01]:[27M03]])</f>
        <v>0</v>
      </c>
      <c r="AC47" s="256">
        <f>SUM(UK_NO[[#This Row],[27M04]:[27M06]])</f>
        <v>0</v>
      </c>
      <c r="AD47" s="256" t="str">
        <f>IF(SUM(UK_NO[[#This Row],[26Q2]:[26Q4]])+SUM(UK_NO[[#This Row],[27Q1]:[27Q2]])=0,"No FSCT",IF(AND(SUM(UK_NO[[#This Row],[26Q2]:[26Q4]])&gt;0,SUM(UK_NO[[#This Row],[27Q1]:[27Q2]])=0),"YES","NO"))</f>
        <v>YES</v>
      </c>
      <c r="AE47" s="85" t="str">
        <f>VLOOKUP(UK_NO[[#This Row],[Product Line]],Prod_T6[],4,0)</f>
        <v>PV</v>
      </c>
      <c r="AH47" s="2" t="str">
        <v>6 - Won</v>
      </c>
    </row>
    <row r="48" spans="1:34" s="2" customFormat="1" ht="16.5" customHeight="1">
      <c r="A48" s="14" t="s">
        <v>56</v>
      </c>
      <c r="B48" s="1" t="s">
        <v>568</v>
      </c>
      <c r="C48" s="31" t="s">
        <v>512</v>
      </c>
      <c r="D48" s="2" t="str">
        <f>VLOOKUP(UK_NO[[#This Row],[Product Line]],Prod_T6[],5,0)</f>
        <v>Sunpower</v>
      </c>
      <c r="E48" s="2" t="s">
        <v>118</v>
      </c>
      <c r="F48" s="1" t="s">
        <v>119</v>
      </c>
      <c r="G48" s="1" t="s">
        <v>156</v>
      </c>
      <c r="H48" s="1"/>
      <c r="I48" s="40" t="s">
        <v>117</v>
      </c>
      <c r="J48" s="13">
        <v>0.13</v>
      </c>
      <c r="K48" s="13">
        <v>0.13</v>
      </c>
      <c r="L48" s="13">
        <v>0.13</v>
      </c>
      <c r="M48" s="13">
        <v>6.6000000000000003E-2</v>
      </c>
      <c r="N48" s="13">
        <v>6.6000000000000003E-2</v>
      </c>
      <c r="O48" s="13">
        <v>6.6000000000000003E-2</v>
      </c>
      <c r="P48" s="13">
        <v>6.6000000000000003E-2</v>
      </c>
      <c r="Q48" s="13">
        <v>6.6000000000000003E-2</v>
      </c>
      <c r="R48" s="13">
        <v>6.6000000000000003E-2</v>
      </c>
      <c r="S48" s="32">
        <f>SUM(UK_NO[[#This Row],[26M04]:[26M06]])</f>
        <v>0.39</v>
      </c>
      <c r="T48" s="69">
        <f>SUM(UK_NO[[#This Row],[26M07]:[26M09]])</f>
        <v>0.19800000000000001</v>
      </c>
      <c r="U48" s="69">
        <f>SUM(UK_NO[[#This Row],[26M10]:[26M12]])</f>
        <v>0.19800000000000001</v>
      </c>
      <c r="V48" s="256"/>
      <c r="W48" s="256"/>
      <c r="X48" s="256"/>
      <c r="Y48" s="256"/>
      <c r="Z48" s="256"/>
      <c r="AA48" s="256"/>
      <c r="AB48" s="256">
        <f>SUM(UK_NO[[#This Row],[27M01]:[27M03]])</f>
        <v>0</v>
      </c>
      <c r="AC48" s="256">
        <f>SUM(UK_NO[[#This Row],[27M04]:[27M06]])</f>
        <v>0</v>
      </c>
      <c r="AD48" s="256" t="str">
        <f>IF(SUM(UK_NO[[#This Row],[26Q2]:[26Q4]])+SUM(UK_NO[[#This Row],[27Q1]:[27Q2]])=0,"No FSCT",IF(AND(SUM(UK_NO[[#This Row],[26Q2]:[26Q4]])&gt;0,SUM(UK_NO[[#This Row],[27Q1]:[27Q2]])=0),"YES","NO"))</f>
        <v>YES</v>
      </c>
      <c r="AE48" s="85" t="str">
        <f>VLOOKUP(UK_NO[[#This Row],[Product Line]],Prod_T6[],4,0)</f>
        <v>PV</v>
      </c>
      <c r="AH48" s="2" t="str">
        <v>6 - Won</v>
      </c>
    </row>
    <row r="49" spans="1:34" s="2" customFormat="1" ht="16.5" customHeight="1">
      <c r="A49" s="14" t="s">
        <v>56</v>
      </c>
      <c r="B49" s="1" t="s">
        <v>568</v>
      </c>
      <c r="C49" s="31" t="s">
        <v>512</v>
      </c>
      <c r="D49" s="2" t="str">
        <f>VLOOKUP(UK_NO[[#This Row],[Product Line]],Prod_T6[],5,0)</f>
        <v>Sunpower</v>
      </c>
      <c r="E49" s="2" t="s">
        <v>118</v>
      </c>
      <c r="F49" s="1" t="s">
        <v>180</v>
      </c>
      <c r="G49" s="1" t="s">
        <v>156</v>
      </c>
      <c r="H49" s="1"/>
      <c r="I49" s="40" t="s">
        <v>117</v>
      </c>
      <c r="J49" s="13">
        <v>5.6000000000000001E-2</v>
      </c>
      <c r="K49" s="13">
        <v>5.6000000000000001E-2</v>
      </c>
      <c r="L49" s="13">
        <v>5.6000000000000001E-2</v>
      </c>
      <c r="M49" s="13">
        <v>3.6999999999999998E-2</v>
      </c>
      <c r="N49" s="13">
        <v>3.6999999999999998E-2</v>
      </c>
      <c r="O49" s="13">
        <v>3.6999999999999998E-2</v>
      </c>
      <c r="P49" s="13">
        <v>3.6999999999999998E-2</v>
      </c>
      <c r="Q49" s="13">
        <v>3.6999999999999998E-2</v>
      </c>
      <c r="R49" s="13">
        <v>3.6999999999999998E-2</v>
      </c>
      <c r="S49" s="32">
        <f>SUM(UK_NO[[#This Row],[26M04]:[26M06]])</f>
        <v>0.16800000000000001</v>
      </c>
      <c r="T49" s="69">
        <f>SUM(UK_NO[[#This Row],[26M07]:[26M09]])</f>
        <v>0.11099999999999999</v>
      </c>
      <c r="U49" s="69">
        <f>SUM(UK_NO[[#This Row],[26M10]:[26M12]])</f>
        <v>0.11099999999999999</v>
      </c>
      <c r="V49" s="256"/>
      <c r="W49" s="256"/>
      <c r="X49" s="256"/>
      <c r="Y49" s="256"/>
      <c r="Z49" s="256"/>
      <c r="AA49" s="256"/>
      <c r="AB49" s="256">
        <f>SUM(UK_NO[[#This Row],[27M01]:[27M03]])</f>
        <v>0</v>
      </c>
      <c r="AC49" s="256">
        <f>SUM(UK_NO[[#This Row],[27M04]:[27M06]])</f>
        <v>0</v>
      </c>
      <c r="AD49" s="256" t="str">
        <f>IF(SUM(UK_NO[[#This Row],[26Q2]:[26Q4]])+SUM(UK_NO[[#This Row],[27Q1]:[27Q2]])=0,"No FSCT",IF(AND(SUM(UK_NO[[#This Row],[26Q2]:[26Q4]])&gt;0,SUM(UK_NO[[#This Row],[27Q1]:[27Q2]])=0),"YES","NO"))</f>
        <v>YES</v>
      </c>
      <c r="AE49" s="85" t="str">
        <f>VLOOKUP(UK_NO[[#This Row],[Product Line]],Prod_T6[],4,0)</f>
        <v>PV</v>
      </c>
      <c r="AH49" s="2" t="str">
        <v>6 - Won</v>
      </c>
    </row>
    <row r="50" spans="1:34" s="2" customFormat="1" ht="16.5" customHeight="1">
      <c r="A50" s="14" t="s">
        <v>56</v>
      </c>
      <c r="B50" s="1" t="s">
        <v>500</v>
      </c>
      <c r="C50" s="31" t="s">
        <v>512</v>
      </c>
      <c r="D50" s="2" t="str">
        <f>VLOOKUP(UK_NO[[#This Row],[Product Line]],Prod_T6[],5,0)</f>
        <v>Sunpower</v>
      </c>
      <c r="E50" s="2" t="s">
        <v>276</v>
      </c>
      <c r="F50" s="1" t="s">
        <v>553</v>
      </c>
      <c r="G50" s="1" t="s">
        <v>156</v>
      </c>
      <c r="H50" s="1" t="s">
        <v>567</v>
      </c>
      <c r="I50" s="40" t="s">
        <v>117</v>
      </c>
      <c r="J50" s="13"/>
      <c r="K50" s="13"/>
      <c r="L50" s="13"/>
      <c r="M50" s="13">
        <v>0.105</v>
      </c>
      <c r="N50" s="13">
        <v>0.105</v>
      </c>
      <c r="O50" s="13">
        <v>0.105</v>
      </c>
      <c r="P50" s="13">
        <v>0.2</v>
      </c>
      <c r="Q50" s="13">
        <v>0.2</v>
      </c>
      <c r="R50" s="13">
        <v>0.2</v>
      </c>
      <c r="S50" s="32">
        <f>SUM(UK_NO[[#This Row],[26M04]:[26M06]])</f>
        <v>0</v>
      </c>
      <c r="T50" s="69">
        <f>SUM(UK_NO[[#This Row],[26M07]:[26M09]])</f>
        <v>0.315</v>
      </c>
      <c r="U50" s="69">
        <f>SUM(UK_NO[[#This Row],[26M10]:[26M12]])</f>
        <v>0.60000000000000009</v>
      </c>
      <c r="V50" s="256"/>
      <c r="W50" s="256"/>
      <c r="X50" s="256"/>
      <c r="Y50" s="256"/>
      <c r="Z50" s="256"/>
      <c r="AA50" s="256"/>
      <c r="AB50" s="256">
        <f>SUM(UK_NO[[#This Row],[27M01]:[27M03]])</f>
        <v>0</v>
      </c>
      <c r="AC50" s="256">
        <f>SUM(UK_NO[[#This Row],[27M04]:[27M06]])</f>
        <v>0</v>
      </c>
      <c r="AD50" s="256" t="str">
        <f>IF(SUM(UK_NO[[#This Row],[26Q2]:[26Q4]])+SUM(UK_NO[[#This Row],[27Q1]:[27Q2]])=0,"No FSCT",IF(AND(SUM(UK_NO[[#This Row],[26Q2]:[26Q4]])&gt;0,SUM(UK_NO[[#This Row],[27Q1]:[27Q2]])=0),"YES","NO"))</f>
        <v>YES</v>
      </c>
      <c r="AE50" s="120" t="str">
        <f>VLOOKUP(UK_NO[[#This Row],[Product Line]],Prod_T6[],4,0)</f>
        <v>PV</v>
      </c>
      <c r="AH50" s="2" t="str">
        <v>6 - Won</v>
      </c>
    </row>
    <row r="51" spans="1:34" s="2" customFormat="1" ht="16.5" customHeight="1">
      <c r="A51" s="14" t="s">
        <v>56</v>
      </c>
      <c r="B51" s="1" t="s">
        <v>500</v>
      </c>
      <c r="C51" s="31" t="s">
        <v>512</v>
      </c>
      <c r="D51" s="2" t="str">
        <f>VLOOKUP(UK_NO[[#This Row],[Product Line]],Prod_T6[],5,0)</f>
        <v>Sunpower</v>
      </c>
      <c r="E51" s="2" t="s">
        <v>118</v>
      </c>
      <c r="F51" s="1" t="s">
        <v>119</v>
      </c>
      <c r="G51" s="1" t="s">
        <v>156</v>
      </c>
      <c r="H51" s="1" t="s">
        <v>547</v>
      </c>
      <c r="I51" s="40" t="s">
        <v>117</v>
      </c>
      <c r="J51" s="13">
        <v>9.8000000000000004E-2</v>
      </c>
      <c r="K51" s="13">
        <v>0.13300000000000001</v>
      </c>
      <c r="L51" s="13">
        <v>0.1</v>
      </c>
      <c r="M51" s="13">
        <v>0.1</v>
      </c>
      <c r="N51" s="13">
        <v>0.1</v>
      </c>
      <c r="O51" s="13">
        <v>0.1</v>
      </c>
      <c r="P51" s="13">
        <v>0.1</v>
      </c>
      <c r="Q51" s="13">
        <v>0.1</v>
      </c>
      <c r="R51" s="13">
        <v>0.1</v>
      </c>
      <c r="S51" s="32">
        <f>SUM(UK_NO[[#This Row],[26M04]:[26M06]])</f>
        <v>0.33100000000000002</v>
      </c>
      <c r="T51" s="69">
        <f>SUM(UK_NO[[#This Row],[26M07]:[26M09]])</f>
        <v>0.30000000000000004</v>
      </c>
      <c r="U51" s="69">
        <f>SUM(UK_NO[[#This Row],[26M10]:[26M12]])</f>
        <v>0.30000000000000004</v>
      </c>
      <c r="V51" s="256"/>
      <c r="W51" s="256"/>
      <c r="X51" s="256"/>
      <c r="Y51" s="256"/>
      <c r="Z51" s="256"/>
      <c r="AA51" s="256"/>
      <c r="AB51" s="256">
        <f>SUM(UK_NO[[#This Row],[27M01]:[27M03]])</f>
        <v>0</v>
      </c>
      <c r="AC51" s="256">
        <f>SUM(UK_NO[[#This Row],[27M04]:[27M06]])</f>
        <v>0</v>
      </c>
      <c r="AD51" s="256" t="str">
        <f>IF(SUM(UK_NO[[#This Row],[26Q2]:[26Q4]])+SUM(UK_NO[[#This Row],[27Q1]:[27Q2]])=0,"No FSCT",IF(AND(SUM(UK_NO[[#This Row],[26Q2]:[26Q4]])&gt;0,SUM(UK_NO[[#This Row],[27Q1]:[27Q2]])=0),"YES","NO"))</f>
        <v>YES</v>
      </c>
      <c r="AE51" s="85" t="str">
        <f>VLOOKUP(UK_NO[[#This Row],[Product Line]],Prod_T6[],4,0)</f>
        <v>PV</v>
      </c>
      <c r="AH51" s="2" t="str">
        <v>6 - Won</v>
      </c>
    </row>
    <row r="52" spans="1:34" s="2" customFormat="1" ht="16.5" customHeight="1">
      <c r="A52" s="37" t="s">
        <v>56</v>
      </c>
      <c r="B52" s="1" t="s">
        <v>500</v>
      </c>
      <c r="C52" s="31" t="s">
        <v>493</v>
      </c>
      <c r="D52" s="2" t="str">
        <f>VLOOKUP(UK_NO[[#This Row],[Product Line]],Prod_T6[],5,0)</f>
        <v>Sunpower</v>
      </c>
      <c r="E52" s="2" t="s">
        <v>118</v>
      </c>
      <c r="F52" s="1" t="s">
        <v>119</v>
      </c>
      <c r="G52" s="1" t="s">
        <v>115</v>
      </c>
      <c r="H52" s="1"/>
      <c r="I52" s="40" t="s">
        <v>117</v>
      </c>
      <c r="J52" s="13">
        <v>0</v>
      </c>
      <c r="K52" s="13">
        <v>0.22</v>
      </c>
      <c r="L52" s="13">
        <v>0.6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32">
        <f>SUM(UK_NO[[#This Row],[26M04]:[26M06]])</f>
        <v>0.82</v>
      </c>
      <c r="T52" s="69">
        <f>SUM(UK_NO[[#This Row],[26M07]:[26M09]])</f>
        <v>0</v>
      </c>
      <c r="U52" s="69">
        <f>SUM(UK_NO[[#This Row],[26M10]:[26M12]])</f>
        <v>0</v>
      </c>
      <c r="V52" s="256"/>
      <c r="W52" s="256"/>
      <c r="X52" s="256"/>
      <c r="Y52" s="256"/>
      <c r="Z52" s="256"/>
      <c r="AA52" s="256"/>
      <c r="AB52" s="256">
        <f>SUM(UK_NO[[#This Row],[27M01]:[27M03]])</f>
        <v>0</v>
      </c>
      <c r="AC52" s="256">
        <f>SUM(UK_NO[[#This Row],[27M04]:[27M06]])</f>
        <v>0</v>
      </c>
      <c r="AD52" s="256" t="str">
        <f>IF(SUM(UK_NO[[#This Row],[26Q2]:[26Q4]])+SUM(UK_NO[[#This Row],[27Q1]:[27Q2]])=0,"No FSCT",IF(AND(SUM(UK_NO[[#This Row],[26Q2]:[26Q4]])&gt;0,SUM(UK_NO[[#This Row],[27Q1]:[27Q2]])=0),"YES","NO"))</f>
        <v>YES</v>
      </c>
      <c r="AE52" s="85" t="str">
        <f>VLOOKUP(UK_NO[[#This Row],[Product Line]],Prod_T6[],4,0)</f>
        <v>PV</v>
      </c>
      <c r="AH52" s="2" t="str">
        <v>2 - Initial offer</v>
      </c>
    </row>
    <row r="53" spans="1:34" s="2" customFormat="1" ht="16.5" customHeight="1">
      <c r="A53" s="37" t="s">
        <v>56</v>
      </c>
      <c r="B53" s="1" t="s">
        <v>500</v>
      </c>
      <c r="C53" s="31" t="s">
        <v>498</v>
      </c>
      <c r="D53" s="2" t="str">
        <f>VLOOKUP(UK_NO[[#This Row],[Product Line]],Prod_T6[],5,0)</f>
        <v>TCL</v>
      </c>
      <c r="E53" s="2" t="s">
        <v>314</v>
      </c>
      <c r="F53" s="1" t="s">
        <v>372</v>
      </c>
      <c r="G53" s="1" t="s">
        <v>115</v>
      </c>
      <c r="H53" s="1" t="s">
        <v>546</v>
      </c>
      <c r="I53" s="15" t="s">
        <v>117</v>
      </c>
      <c r="J53" s="13">
        <v>10</v>
      </c>
      <c r="K53" s="13"/>
      <c r="L53" s="13">
        <v>25</v>
      </c>
      <c r="M53" s="13"/>
      <c r="N53" s="13"/>
      <c r="O53" s="13"/>
      <c r="P53" s="13"/>
      <c r="Q53" s="13"/>
      <c r="R53" s="13"/>
      <c r="S53" s="32">
        <f>SUM(UK_NO[[#This Row],[26M04]:[26M06]])</f>
        <v>35</v>
      </c>
      <c r="T53" s="69">
        <f>SUM(UK_NO[[#This Row],[26M07]:[26M09]])</f>
        <v>0</v>
      </c>
      <c r="U53" s="69">
        <f>SUM(UK_NO[[#This Row],[26M10]:[26M12]])</f>
        <v>0</v>
      </c>
      <c r="V53" s="256"/>
      <c r="W53" s="256"/>
      <c r="X53" s="256"/>
      <c r="Y53" s="256"/>
      <c r="Z53" s="256"/>
      <c r="AA53" s="256"/>
      <c r="AB53" s="256">
        <f>SUM(UK_NO[[#This Row],[27M01]:[27M03]])</f>
        <v>0</v>
      </c>
      <c r="AC53" s="256">
        <f>SUM(UK_NO[[#This Row],[27M04]:[27M06]])</f>
        <v>0</v>
      </c>
      <c r="AD53" s="256" t="str">
        <f>IF(SUM(UK_NO[[#This Row],[26Q2]:[26Q4]])+SUM(UK_NO[[#This Row],[27Q1]:[27Q2]])=0,"No FSCT",IF(AND(SUM(UK_NO[[#This Row],[26Q2]:[26Q4]])&gt;0,SUM(UK_NO[[#This Row],[27Q1]:[27Q2]])=0),"YES","NO"))</f>
        <v>YES</v>
      </c>
      <c r="AE53" s="85" t="str">
        <f>VLOOKUP(UK_NO[[#This Row],[Product Line]],Prod_T6[],4,0)</f>
        <v>PV</v>
      </c>
      <c r="AH53" s="2" t="str">
        <v>2 - Initial offer</v>
      </c>
    </row>
    <row r="54" spans="1:34" s="2" customFormat="1" ht="16.5" customHeight="1">
      <c r="A54" s="14" t="s">
        <v>56</v>
      </c>
      <c r="B54" s="1" t="s">
        <v>500</v>
      </c>
      <c r="C54" s="31" t="s">
        <v>512</v>
      </c>
      <c r="D54" s="2" t="str">
        <f>VLOOKUP(UK_NO[[#This Row],[Product Line]],Prod_T6[],5,0)</f>
        <v>Sunpower</v>
      </c>
      <c r="E54" s="2" t="s">
        <v>118</v>
      </c>
      <c r="F54" s="1" t="s">
        <v>180</v>
      </c>
      <c r="G54" s="1" t="s">
        <v>156</v>
      </c>
      <c r="H54" s="1" t="s">
        <v>522</v>
      </c>
      <c r="I54" s="40" t="s">
        <v>117</v>
      </c>
      <c r="J54" s="13">
        <v>7.4999999999999997E-2</v>
      </c>
      <c r="K54" s="13">
        <v>7.4999999999999997E-2</v>
      </c>
      <c r="L54" s="13">
        <v>7.4999999999999997E-2</v>
      </c>
      <c r="M54" s="13">
        <v>7.4999999999999997E-2</v>
      </c>
      <c r="N54" s="13">
        <v>7.4999999999999997E-2</v>
      </c>
      <c r="O54" s="13">
        <v>7.4999999999999997E-2</v>
      </c>
      <c r="P54" s="13">
        <v>7.4999999999999997E-2</v>
      </c>
      <c r="Q54" s="13">
        <v>7.4999999999999997E-2</v>
      </c>
      <c r="R54" s="13">
        <v>7.4999999999999997E-2</v>
      </c>
      <c r="S54" s="32">
        <f>SUM(UK_NO[[#This Row],[26M04]:[26M06]])</f>
        <v>0.22499999999999998</v>
      </c>
      <c r="T54" s="69">
        <f>SUM(UK_NO[[#This Row],[26M07]:[26M09]])</f>
        <v>0.22499999999999998</v>
      </c>
      <c r="U54" s="69">
        <f>SUM(UK_NO[[#This Row],[26M10]:[26M12]])</f>
        <v>0.22499999999999998</v>
      </c>
      <c r="V54" s="256"/>
      <c r="W54" s="256"/>
      <c r="X54" s="256"/>
      <c r="Y54" s="256"/>
      <c r="Z54" s="256"/>
      <c r="AA54" s="256"/>
      <c r="AB54" s="256">
        <f>SUM(UK_NO[[#This Row],[27M01]:[27M03]])</f>
        <v>0</v>
      </c>
      <c r="AC54" s="256">
        <f>SUM(UK_NO[[#This Row],[27M04]:[27M06]])</f>
        <v>0</v>
      </c>
      <c r="AD54" s="256" t="str">
        <f>IF(SUM(UK_NO[[#This Row],[26Q2]:[26Q4]])+SUM(UK_NO[[#This Row],[27Q1]:[27Q2]])=0,"No FSCT",IF(AND(SUM(UK_NO[[#This Row],[26Q2]:[26Q4]])&gt;0,SUM(UK_NO[[#This Row],[27Q1]:[27Q2]])=0),"YES","NO"))</f>
        <v>YES</v>
      </c>
      <c r="AE54" s="85" t="str">
        <f>VLOOKUP(UK_NO[[#This Row],[Product Line]],Prod_T6[],4,0)</f>
        <v>PV</v>
      </c>
      <c r="AH54" s="2" t="str">
        <v>6 - Won</v>
      </c>
    </row>
    <row r="55" spans="1:34" s="2" customFormat="1" ht="16.5" customHeight="1">
      <c r="A55" s="14" t="s">
        <v>56</v>
      </c>
      <c r="B55" s="1" t="s">
        <v>500</v>
      </c>
      <c r="C55" s="31" t="s">
        <v>27</v>
      </c>
      <c r="D55" s="2" t="str">
        <f>VLOOKUP(UK_NO[[#This Row],[Product Line]],Prod_T6[],5,0)</f>
        <v>Sunpower</v>
      </c>
      <c r="E55" s="2" t="s">
        <v>197</v>
      </c>
      <c r="F55" s="1" t="s">
        <v>65</v>
      </c>
      <c r="G55" s="1" t="s">
        <v>213</v>
      </c>
      <c r="H55" s="1" t="s">
        <v>519</v>
      </c>
      <c r="I55" s="40" t="s">
        <v>117</v>
      </c>
      <c r="J55" s="13"/>
      <c r="K55" s="13"/>
      <c r="L55" s="13"/>
      <c r="M55" s="13"/>
      <c r="N55" s="13"/>
      <c r="O55" s="13"/>
      <c r="P55" s="13">
        <v>5</v>
      </c>
      <c r="Q55" s="13">
        <v>5</v>
      </c>
      <c r="R55" s="13">
        <v>1</v>
      </c>
      <c r="S55" s="32">
        <f>SUM(UK_NO[[#This Row],[26M04]:[26M06]])</f>
        <v>0</v>
      </c>
      <c r="T55" s="69">
        <f>SUM(UK_NO[[#This Row],[26M07]:[26M09]])</f>
        <v>0</v>
      </c>
      <c r="U55" s="69">
        <f>SUM(UK_NO[[#This Row],[26M10]:[26M12]])</f>
        <v>11</v>
      </c>
      <c r="V55" s="256"/>
      <c r="W55" s="256"/>
      <c r="X55" s="256"/>
      <c r="Y55" s="256"/>
      <c r="Z55" s="256"/>
      <c r="AA55" s="256"/>
      <c r="AB55" s="256">
        <f>SUM(UK_NO[[#This Row],[27M01]:[27M03]])</f>
        <v>0</v>
      </c>
      <c r="AC55" s="256">
        <f>SUM(UK_NO[[#This Row],[27M04]:[27M06]])</f>
        <v>0</v>
      </c>
      <c r="AD55" s="256" t="str">
        <f>IF(SUM(UK_NO[[#This Row],[26Q2]:[26Q4]])+SUM(UK_NO[[#This Row],[27Q1]:[27Q2]])=0,"No FSCT",IF(AND(SUM(UK_NO[[#This Row],[26Q2]:[26Q4]])&gt;0,SUM(UK_NO[[#This Row],[27Q1]:[27Q2]])=0),"YES","NO"))</f>
        <v>YES</v>
      </c>
      <c r="AE55" s="85" t="str">
        <f>VLOOKUP(UK_NO[[#This Row],[Product Line]],Prod_T6[],4,0)</f>
        <v>ESS</v>
      </c>
      <c r="AH55" s="2" t="str">
        <v>1 - Lead qualification</v>
      </c>
    </row>
    <row r="56" spans="1:34" s="2" customFormat="1" ht="16.5" customHeight="1">
      <c r="A56" s="14" t="s">
        <v>56</v>
      </c>
      <c r="B56" s="1" t="s">
        <v>500</v>
      </c>
      <c r="C56" s="31" t="s">
        <v>27</v>
      </c>
      <c r="D56" s="2" t="str">
        <f>VLOOKUP(UK_NO[[#This Row],[Product Line]],Prod_T6[],5,0)</f>
        <v>Sunpower</v>
      </c>
      <c r="E56" s="2" t="s">
        <v>197</v>
      </c>
      <c r="F56" s="1" t="s">
        <v>517</v>
      </c>
      <c r="G56" s="1" t="s">
        <v>213</v>
      </c>
      <c r="H56" s="1" t="s">
        <v>518</v>
      </c>
      <c r="I56" s="40" t="s">
        <v>117</v>
      </c>
      <c r="J56" s="13"/>
      <c r="K56" s="13"/>
      <c r="L56" s="13"/>
      <c r="M56" s="13"/>
      <c r="N56" s="13"/>
      <c r="O56" s="13">
        <v>2</v>
      </c>
      <c r="P56" s="13">
        <v>8</v>
      </c>
      <c r="Q56" s="13">
        <v>10</v>
      </c>
      <c r="R56" s="13">
        <v>3</v>
      </c>
      <c r="S56" s="32">
        <f>SUM(UK_NO[[#This Row],[26M04]:[26M06]])</f>
        <v>0</v>
      </c>
      <c r="T56" s="69">
        <f>SUM(UK_NO[[#This Row],[26M07]:[26M09]])</f>
        <v>2</v>
      </c>
      <c r="U56" s="69">
        <f>SUM(UK_NO[[#This Row],[26M10]:[26M12]])</f>
        <v>21</v>
      </c>
      <c r="V56" s="256"/>
      <c r="W56" s="256"/>
      <c r="X56" s="256"/>
      <c r="Y56" s="256"/>
      <c r="Z56" s="256"/>
      <c r="AA56" s="256"/>
      <c r="AB56" s="256">
        <f>SUM(UK_NO[[#This Row],[27M01]:[27M03]])</f>
        <v>0</v>
      </c>
      <c r="AC56" s="256">
        <f>SUM(UK_NO[[#This Row],[27M04]:[27M06]])</f>
        <v>0</v>
      </c>
      <c r="AD56" s="256" t="str">
        <f>IF(SUM(UK_NO[[#This Row],[26Q2]:[26Q4]])+SUM(UK_NO[[#This Row],[27Q1]:[27Q2]])=0,"No FSCT",IF(AND(SUM(UK_NO[[#This Row],[26Q2]:[26Q4]])&gt;0,SUM(UK_NO[[#This Row],[27Q1]:[27Q2]])=0),"YES","NO"))</f>
        <v>YES</v>
      </c>
      <c r="AE56" s="85" t="str">
        <f>VLOOKUP(UK_NO[[#This Row],[Product Line]],Prod_T6[],4,0)</f>
        <v>ESS</v>
      </c>
      <c r="AH56" s="2" t="str">
        <v>1 - Lead qualification</v>
      </c>
    </row>
    <row r="57" spans="1:34" s="2" customFormat="1" ht="16.5" customHeight="1">
      <c r="A57" s="14" t="s">
        <v>56</v>
      </c>
      <c r="B57" s="1" t="s">
        <v>500</v>
      </c>
      <c r="C57" s="31" t="s">
        <v>27</v>
      </c>
      <c r="D57" s="2" t="str">
        <f>VLOOKUP(UK_NO[[#This Row],[Product Line]],Prod_T6[],5,0)</f>
        <v>Sunpower</v>
      </c>
      <c r="E57" s="2" t="s">
        <v>197</v>
      </c>
      <c r="F57" s="1" t="s">
        <v>515</v>
      </c>
      <c r="G57" s="1" t="s">
        <v>213</v>
      </c>
      <c r="H57" s="1" t="s">
        <v>516</v>
      </c>
      <c r="I57" s="40" t="s">
        <v>117</v>
      </c>
      <c r="J57" s="13"/>
      <c r="K57" s="13"/>
      <c r="L57" s="13"/>
      <c r="M57" s="13"/>
      <c r="N57" s="13"/>
      <c r="O57" s="13"/>
      <c r="P57" s="13">
        <v>8</v>
      </c>
      <c r="Q57" s="13">
        <v>10</v>
      </c>
      <c r="R57" s="13">
        <v>3</v>
      </c>
      <c r="S57" s="32">
        <f>SUM(UK_NO[[#This Row],[26M04]:[26M06]])</f>
        <v>0</v>
      </c>
      <c r="T57" s="69">
        <f>SUM(UK_NO[[#This Row],[26M07]:[26M09]])</f>
        <v>0</v>
      </c>
      <c r="U57" s="69">
        <f>SUM(UK_NO[[#This Row],[26M10]:[26M12]])</f>
        <v>21</v>
      </c>
      <c r="V57" s="256"/>
      <c r="W57" s="256"/>
      <c r="X57" s="256"/>
      <c r="Y57" s="256"/>
      <c r="Z57" s="256"/>
      <c r="AA57" s="256"/>
      <c r="AB57" s="256">
        <f>SUM(UK_NO[[#This Row],[27M01]:[27M03]])</f>
        <v>0</v>
      </c>
      <c r="AC57" s="256">
        <f>SUM(UK_NO[[#This Row],[27M04]:[27M06]])</f>
        <v>0</v>
      </c>
      <c r="AD57" s="256" t="str">
        <f>IF(SUM(UK_NO[[#This Row],[26Q2]:[26Q4]])+SUM(UK_NO[[#This Row],[27Q1]:[27Q2]])=0,"No FSCT",IF(AND(SUM(UK_NO[[#This Row],[26Q2]:[26Q4]])&gt;0,SUM(UK_NO[[#This Row],[27Q1]:[27Q2]])=0),"YES","NO"))</f>
        <v>YES</v>
      </c>
      <c r="AE57" s="85" t="str">
        <f>VLOOKUP(UK_NO[[#This Row],[Product Line]],Prod_T6[],4,0)</f>
        <v>ESS</v>
      </c>
      <c r="AH57" s="2" t="str">
        <v>1 - Lead qualification</v>
      </c>
    </row>
    <row r="58" spans="1:34" s="2" customFormat="1" ht="16.5" customHeight="1">
      <c r="A58" s="14" t="s">
        <v>56</v>
      </c>
      <c r="B58" s="1" t="s">
        <v>500</v>
      </c>
      <c r="C58" s="31" t="s">
        <v>27</v>
      </c>
      <c r="D58" s="2" t="str">
        <f>VLOOKUP(UK_NO[[#This Row],[Product Line]],Prod_T6[],5,0)</f>
        <v>Sunpower</v>
      </c>
      <c r="E58" s="2" t="s">
        <v>197</v>
      </c>
      <c r="F58" s="1" t="s">
        <v>63</v>
      </c>
      <c r="G58" s="1" t="s">
        <v>213</v>
      </c>
      <c r="H58" s="1" t="s">
        <v>514</v>
      </c>
      <c r="I58" s="40" t="s">
        <v>117</v>
      </c>
      <c r="J58" s="13"/>
      <c r="K58" s="13"/>
      <c r="L58" s="13"/>
      <c r="M58" s="13"/>
      <c r="N58" s="13"/>
      <c r="O58" s="13">
        <v>4</v>
      </c>
      <c r="P58" s="13">
        <v>10</v>
      </c>
      <c r="Q58" s="13">
        <v>10</v>
      </c>
      <c r="R58" s="13">
        <v>2</v>
      </c>
      <c r="S58" s="32">
        <f>SUM(UK_NO[[#This Row],[26M04]:[26M06]])</f>
        <v>0</v>
      </c>
      <c r="T58" s="69">
        <f>SUM(UK_NO[[#This Row],[26M07]:[26M09]])</f>
        <v>4</v>
      </c>
      <c r="U58" s="69">
        <f>SUM(UK_NO[[#This Row],[26M10]:[26M12]])</f>
        <v>22</v>
      </c>
      <c r="V58" s="256"/>
      <c r="W58" s="256"/>
      <c r="X58" s="256"/>
      <c r="Y58" s="256"/>
      <c r="Z58" s="256"/>
      <c r="AA58" s="256"/>
      <c r="AB58" s="256">
        <f>SUM(UK_NO[[#This Row],[27M01]:[27M03]])</f>
        <v>0</v>
      </c>
      <c r="AC58" s="256">
        <f>SUM(UK_NO[[#This Row],[27M04]:[27M06]])</f>
        <v>0</v>
      </c>
      <c r="AD58" s="256" t="str">
        <f>IF(SUM(UK_NO[[#This Row],[26Q2]:[26Q4]])+SUM(UK_NO[[#This Row],[27Q1]:[27Q2]])=0,"No FSCT",IF(AND(SUM(UK_NO[[#This Row],[26Q2]:[26Q4]])&gt;0,SUM(UK_NO[[#This Row],[27Q1]:[27Q2]])=0),"YES","NO"))</f>
        <v>YES</v>
      </c>
      <c r="AE58" s="85" t="str">
        <f>VLOOKUP(UK_NO[[#This Row],[Product Line]],Prod_T6[],4,0)</f>
        <v>ESS</v>
      </c>
      <c r="AH58" s="3" t="str">
        <v>1 - Lead qualification</v>
      </c>
    </row>
    <row r="59" spans="1:34" ht="16.5" customHeight="1">
      <c r="A59" s="29" t="s">
        <v>56</v>
      </c>
      <c r="B59" s="1" t="s">
        <v>500</v>
      </c>
      <c r="C59" s="31" t="s">
        <v>512</v>
      </c>
      <c r="D59" s="2" t="str">
        <f>VLOOKUP(UK_NO[[#This Row],[Product Line]],Prod_T6[],5,0)</f>
        <v>TCL</v>
      </c>
      <c r="E59" s="2" t="s">
        <v>113</v>
      </c>
      <c r="F59" s="1" t="s">
        <v>153</v>
      </c>
      <c r="G59" s="1" t="s">
        <v>136</v>
      </c>
      <c r="H59" s="1" t="s">
        <v>513</v>
      </c>
      <c r="I59" s="40" t="s">
        <v>117</v>
      </c>
      <c r="J59" s="13"/>
      <c r="K59" s="13"/>
      <c r="L59" s="13"/>
      <c r="M59" s="13"/>
      <c r="N59" s="13"/>
      <c r="O59" s="13"/>
      <c r="P59" s="13"/>
      <c r="Q59" s="13"/>
      <c r="R59" s="13"/>
      <c r="S59" s="32">
        <f>SUM(UK_NO[[#This Row],[26M04]:[26M06]])</f>
        <v>0</v>
      </c>
      <c r="T59" s="69">
        <f>SUM(UK_NO[[#This Row],[26M07]:[26M09]])</f>
        <v>0</v>
      </c>
      <c r="U59" s="69">
        <f>SUM(UK_NO[[#This Row],[26M10]:[26M12]])</f>
        <v>0</v>
      </c>
      <c r="V59" s="256"/>
      <c r="W59" s="256"/>
      <c r="X59" s="256"/>
      <c r="Y59" s="256"/>
      <c r="Z59" s="256"/>
      <c r="AA59" s="256"/>
      <c r="AB59" s="256">
        <f>SUM(UK_NO[[#This Row],[27M01]:[27M03]])</f>
        <v>0</v>
      </c>
      <c r="AC59" s="256">
        <f>SUM(UK_NO[[#This Row],[27M04]:[27M06]])</f>
        <v>0</v>
      </c>
      <c r="AD59" s="256" t="str">
        <f>IF(SUM(UK_NO[[#This Row],[26Q2]:[26Q4]])+SUM(UK_NO[[#This Row],[27Q1]:[27Q2]])=0,"No FSCT",IF(AND(SUM(UK_NO[[#This Row],[26Q2]:[26Q4]])&gt;0,SUM(UK_NO[[#This Row],[27Q1]:[27Q2]])=0),"YES","NO"))</f>
        <v>No FSCT</v>
      </c>
      <c r="AE59" s="120" t="str">
        <f>VLOOKUP(UK_NO[[#This Row],[Product Line]],Prod_T6[],4,0)</f>
        <v>PV</v>
      </c>
      <c r="AH59" s="3" t="str">
        <v>3 - Negotiation</v>
      </c>
    </row>
    <row r="60" spans="1:34" ht="16.5" customHeight="1">
      <c r="A60" s="29" t="s">
        <v>56</v>
      </c>
      <c r="B60" s="1" t="s">
        <v>500</v>
      </c>
      <c r="C60" s="31" t="s">
        <v>498</v>
      </c>
      <c r="D60" s="2" t="str">
        <f>VLOOKUP(UK_NO[[#This Row],[Product Line]],Prod_T6[],5,0)</f>
        <v>TCL</v>
      </c>
      <c r="E60" s="2" t="s">
        <v>113</v>
      </c>
      <c r="F60" s="1" t="s">
        <v>153</v>
      </c>
      <c r="G60" s="1" t="s">
        <v>136</v>
      </c>
      <c r="H60" s="1" t="s">
        <v>511</v>
      </c>
      <c r="I60" s="15" t="s">
        <v>117</v>
      </c>
      <c r="J60" s="13"/>
      <c r="K60" s="13"/>
      <c r="L60" s="13"/>
      <c r="M60" s="13"/>
      <c r="N60" s="13">
        <v>0.439</v>
      </c>
      <c r="O60" s="13">
        <v>0.439</v>
      </c>
      <c r="P60" s="13"/>
      <c r="Q60" s="13"/>
      <c r="R60" s="13"/>
      <c r="S60" s="32">
        <f>SUM(UK_NO[[#This Row],[26M04]:[26M06]])</f>
        <v>0</v>
      </c>
      <c r="T60" s="69">
        <f>SUM(UK_NO[[#This Row],[26M07]:[26M09]])</f>
        <v>0.878</v>
      </c>
      <c r="U60" s="69">
        <f>SUM(UK_NO[[#This Row],[26M10]:[26M12]])</f>
        <v>0</v>
      </c>
      <c r="V60" s="256"/>
      <c r="W60" s="256"/>
      <c r="X60" s="256"/>
      <c r="Y60" s="256"/>
      <c r="Z60" s="256"/>
      <c r="AA60" s="256"/>
      <c r="AB60" s="256">
        <f>SUM(UK_NO[[#This Row],[27M01]:[27M03]])</f>
        <v>0</v>
      </c>
      <c r="AC60" s="256">
        <f>SUM(UK_NO[[#This Row],[27M04]:[27M06]])</f>
        <v>0</v>
      </c>
      <c r="AD60" s="256" t="str">
        <f>IF(SUM(UK_NO[[#This Row],[26Q2]:[26Q4]])+SUM(UK_NO[[#This Row],[27Q1]:[27Q2]])=0,"No FSCT",IF(AND(SUM(UK_NO[[#This Row],[26Q2]:[26Q4]])&gt;0,SUM(UK_NO[[#This Row],[27Q1]:[27Q2]])=0),"YES","NO"))</f>
        <v>YES</v>
      </c>
      <c r="AE60" s="85" t="str">
        <f>VLOOKUP(UK_NO[[#This Row],[Product Line]],Prod_T6[],4,0)</f>
        <v>PV</v>
      </c>
      <c r="AH60" s="3" t="str">
        <v>3 - Negotiation</v>
      </c>
    </row>
    <row r="61" spans="1:34" ht="16.5" customHeight="1">
      <c r="A61" s="29" t="s">
        <v>56</v>
      </c>
      <c r="B61" s="1" t="s">
        <v>500</v>
      </c>
      <c r="C61" s="31" t="s">
        <v>498</v>
      </c>
      <c r="D61" s="2" t="str">
        <f>VLOOKUP(UK_NO[[#This Row],[Product Line]],Prod_T6[],5,0)</f>
        <v>TCL</v>
      </c>
      <c r="E61" s="2" t="s">
        <v>113</v>
      </c>
      <c r="F61" s="1" t="s">
        <v>153</v>
      </c>
      <c r="G61" s="1" t="s">
        <v>136</v>
      </c>
      <c r="H61" s="1" t="s">
        <v>510</v>
      </c>
      <c r="I61" s="40" t="s">
        <v>117</v>
      </c>
      <c r="J61" s="13"/>
      <c r="K61" s="13"/>
      <c r="L61" s="13"/>
      <c r="M61" s="13">
        <v>0.439</v>
      </c>
      <c r="N61" s="13">
        <v>0.439</v>
      </c>
      <c r="O61" s="13">
        <v>0.439</v>
      </c>
      <c r="P61" s="13"/>
      <c r="Q61" s="13"/>
      <c r="R61" s="13"/>
      <c r="S61" s="32">
        <f>SUM(UK_NO[[#This Row],[26M04]:[26M06]])</f>
        <v>0</v>
      </c>
      <c r="T61" s="69">
        <f>SUM(UK_NO[[#This Row],[26M07]:[26M09]])</f>
        <v>1.3169999999999999</v>
      </c>
      <c r="U61" s="69">
        <f>SUM(UK_NO[[#This Row],[26M10]:[26M12]])</f>
        <v>0</v>
      </c>
      <c r="V61" s="256"/>
      <c r="W61" s="256"/>
      <c r="X61" s="256"/>
      <c r="Y61" s="256"/>
      <c r="Z61" s="256"/>
      <c r="AA61" s="256"/>
      <c r="AB61" s="256">
        <f>SUM(UK_NO[[#This Row],[27M01]:[27M03]])</f>
        <v>0</v>
      </c>
      <c r="AC61" s="256">
        <f>SUM(UK_NO[[#This Row],[27M04]:[27M06]])</f>
        <v>0</v>
      </c>
      <c r="AD61" s="256" t="str">
        <f>IF(SUM(UK_NO[[#This Row],[26Q2]:[26Q4]])+SUM(UK_NO[[#This Row],[27Q1]:[27Q2]])=0,"No FSCT",IF(AND(SUM(UK_NO[[#This Row],[26Q2]:[26Q4]])&gt;0,SUM(UK_NO[[#This Row],[27Q1]:[27Q2]])=0),"YES","NO"))</f>
        <v>YES</v>
      </c>
      <c r="AE61" s="85" t="str">
        <f>VLOOKUP(UK_NO[[#This Row],[Product Line]],Prod_T6[],4,0)</f>
        <v>PV</v>
      </c>
      <c r="AH61" s="3" t="str">
        <v>3 - Negotiation</v>
      </c>
    </row>
    <row r="62" spans="1:34" ht="16.5" customHeight="1">
      <c r="A62" s="29" t="s">
        <v>56</v>
      </c>
      <c r="B62" s="1" t="s">
        <v>500</v>
      </c>
      <c r="C62" s="31" t="s">
        <v>498</v>
      </c>
      <c r="D62" s="2" t="str">
        <f>VLOOKUP(UK_NO[[#This Row],[Product Line]],Prod_T6[],5,0)</f>
        <v>TCL</v>
      </c>
      <c r="E62" s="2" t="s">
        <v>113</v>
      </c>
      <c r="F62" s="1" t="s">
        <v>153</v>
      </c>
      <c r="G62" s="1" t="s">
        <v>136</v>
      </c>
      <c r="H62" s="1" t="s">
        <v>509</v>
      </c>
      <c r="I62" s="40" t="s">
        <v>117</v>
      </c>
      <c r="J62" s="13"/>
      <c r="K62" s="13"/>
      <c r="L62" s="13">
        <v>4</v>
      </c>
      <c r="M62" s="13">
        <v>16</v>
      </c>
      <c r="N62" s="13">
        <v>0.94199999999999995</v>
      </c>
      <c r="O62" s="13">
        <v>0.94199999999999995</v>
      </c>
      <c r="P62" s="13"/>
      <c r="Q62" s="13"/>
      <c r="R62" s="13"/>
      <c r="S62" s="32">
        <f>SUM(UK_NO[[#This Row],[26M04]:[26M06]])</f>
        <v>4</v>
      </c>
      <c r="T62" s="69">
        <f>SUM(UK_NO[[#This Row],[26M07]:[26M09]])</f>
        <v>17.884</v>
      </c>
      <c r="U62" s="69">
        <f>SUM(UK_NO[[#This Row],[26M10]:[26M12]])</f>
        <v>0</v>
      </c>
      <c r="V62" s="256"/>
      <c r="W62" s="256"/>
      <c r="X62" s="256"/>
      <c r="Y62" s="256"/>
      <c r="Z62" s="256"/>
      <c r="AA62" s="256"/>
      <c r="AB62" s="256">
        <f>SUM(UK_NO[[#This Row],[27M01]:[27M03]])</f>
        <v>0</v>
      </c>
      <c r="AC62" s="256">
        <f>SUM(UK_NO[[#This Row],[27M04]:[27M06]])</f>
        <v>0</v>
      </c>
      <c r="AD62" s="256" t="str">
        <f>IF(SUM(UK_NO[[#This Row],[26Q2]:[26Q4]])+SUM(UK_NO[[#This Row],[27Q1]:[27Q2]])=0,"No FSCT",IF(AND(SUM(UK_NO[[#This Row],[26Q2]:[26Q4]])&gt;0,SUM(UK_NO[[#This Row],[27Q1]:[27Q2]])=0),"YES","NO"))</f>
        <v>YES</v>
      </c>
      <c r="AE62" s="85" t="str">
        <f>VLOOKUP(UK_NO[[#This Row],[Product Line]],Prod_T6[],4,0)</f>
        <v>PV</v>
      </c>
      <c r="AH62" s="3" t="str">
        <v>3 - Negotiation</v>
      </c>
    </row>
    <row r="63" spans="1:34" ht="16.5" customHeight="1">
      <c r="A63" s="29" t="s">
        <v>56</v>
      </c>
      <c r="B63" s="1" t="s">
        <v>500</v>
      </c>
      <c r="C63" s="31" t="s">
        <v>498</v>
      </c>
      <c r="D63" s="2" t="str">
        <f>VLOOKUP(UK_NO[[#This Row],[Product Line]],Prod_T6[],5,0)</f>
        <v>TCL</v>
      </c>
      <c r="E63" s="2" t="s">
        <v>141</v>
      </c>
      <c r="F63" s="1" t="s">
        <v>46</v>
      </c>
      <c r="G63" s="1" t="s">
        <v>115</v>
      </c>
      <c r="H63" s="1" t="s">
        <v>508</v>
      </c>
      <c r="I63" s="15" t="s">
        <v>117</v>
      </c>
      <c r="J63" s="13"/>
      <c r="K63" s="13"/>
      <c r="L63" s="13"/>
      <c r="M63" s="13"/>
      <c r="N63" s="13"/>
      <c r="O63" s="13"/>
      <c r="P63" s="13"/>
      <c r="Q63" s="13"/>
      <c r="R63" s="13"/>
      <c r="S63" s="32">
        <f>SUM(UK_NO[[#This Row],[26M04]:[26M06]])</f>
        <v>0</v>
      </c>
      <c r="T63" s="69">
        <f>SUM(UK_NO[[#This Row],[26M07]:[26M09]])</f>
        <v>0</v>
      </c>
      <c r="U63" s="69">
        <f>SUM(UK_NO[[#This Row],[26M10]:[26M12]])</f>
        <v>0</v>
      </c>
      <c r="V63" s="256"/>
      <c r="W63" s="256"/>
      <c r="X63" s="256"/>
      <c r="Y63" s="256"/>
      <c r="Z63" s="256"/>
      <c r="AA63" s="256"/>
      <c r="AB63" s="256">
        <f>SUM(UK_NO[[#This Row],[27M01]:[27M03]])</f>
        <v>0</v>
      </c>
      <c r="AC63" s="256">
        <f>SUM(UK_NO[[#This Row],[27M04]:[27M06]])</f>
        <v>0</v>
      </c>
      <c r="AD63" s="256" t="str">
        <f>IF(SUM(UK_NO[[#This Row],[26Q2]:[26Q4]])+SUM(UK_NO[[#This Row],[27Q1]:[27Q2]])=0,"No FSCT",IF(AND(SUM(UK_NO[[#This Row],[26Q2]:[26Q4]])&gt;0,SUM(UK_NO[[#This Row],[27Q1]:[27Q2]])=0),"YES","NO"))</f>
        <v>No FSCT</v>
      </c>
      <c r="AE63" s="85" t="str">
        <f>VLOOKUP(UK_NO[[#This Row],[Product Line]],Prod_T6[],4,0)</f>
        <v>ESS</v>
      </c>
      <c r="AH63" s="3" t="str">
        <v>2 - Initial offer</v>
      </c>
    </row>
    <row r="64" spans="1:34" ht="16.5" customHeight="1">
      <c r="A64" s="29" t="s">
        <v>56</v>
      </c>
      <c r="B64" s="1" t="s">
        <v>500</v>
      </c>
      <c r="C64" s="31" t="s">
        <v>498</v>
      </c>
      <c r="D64" s="2" t="str">
        <f>VLOOKUP(UK_NO[[#This Row],[Product Line]],Prod_T6[],5,0)</f>
        <v>TCL</v>
      </c>
      <c r="E64" s="2" t="s">
        <v>113</v>
      </c>
      <c r="F64" s="1" t="s">
        <v>153</v>
      </c>
      <c r="G64" s="1" t="s">
        <v>136</v>
      </c>
      <c r="H64" s="1" t="s">
        <v>507</v>
      </c>
      <c r="I64" s="40" t="s">
        <v>117</v>
      </c>
      <c r="J64" s="13"/>
      <c r="K64" s="13"/>
      <c r="L64" s="13"/>
      <c r="M64" s="13"/>
      <c r="N64" s="13">
        <v>0.439</v>
      </c>
      <c r="O64" s="13">
        <v>0.439</v>
      </c>
      <c r="P64" s="13"/>
      <c r="Q64" s="13"/>
      <c r="R64" s="13"/>
      <c r="S64" s="32">
        <f>SUM(UK_NO[[#This Row],[26M04]:[26M06]])</f>
        <v>0</v>
      </c>
      <c r="T64" s="69">
        <f>SUM(UK_NO[[#This Row],[26M07]:[26M09]])</f>
        <v>0.878</v>
      </c>
      <c r="U64" s="69">
        <f>SUM(UK_NO[[#This Row],[26M10]:[26M12]])</f>
        <v>0</v>
      </c>
      <c r="V64" s="256"/>
      <c r="W64" s="256"/>
      <c r="X64" s="256"/>
      <c r="Y64" s="256"/>
      <c r="Z64" s="256"/>
      <c r="AA64" s="256"/>
      <c r="AB64" s="256">
        <f>SUM(UK_NO[[#This Row],[27M01]:[27M03]])</f>
        <v>0</v>
      </c>
      <c r="AC64" s="256">
        <f>SUM(UK_NO[[#This Row],[27M04]:[27M06]])</f>
        <v>0</v>
      </c>
      <c r="AD64" s="256" t="str">
        <f>IF(SUM(UK_NO[[#This Row],[26Q2]:[26Q4]])+SUM(UK_NO[[#This Row],[27Q1]:[27Q2]])=0,"No FSCT",IF(AND(SUM(UK_NO[[#This Row],[26Q2]:[26Q4]])&gt;0,SUM(UK_NO[[#This Row],[27Q1]:[27Q2]])=0),"YES","NO"))</f>
        <v>YES</v>
      </c>
      <c r="AE64" s="85" t="str">
        <f>VLOOKUP(UK_NO[[#This Row],[Product Line]],Prod_T6[],4,0)</f>
        <v>PV</v>
      </c>
      <c r="AH64" s="3" t="str">
        <v>3 - Negotiation</v>
      </c>
    </row>
    <row r="65" spans="1:34" ht="16.5" customHeight="1">
      <c r="A65" s="29" t="s">
        <v>56</v>
      </c>
      <c r="B65" s="1" t="s">
        <v>500</v>
      </c>
      <c r="C65" s="31" t="s">
        <v>498</v>
      </c>
      <c r="D65" s="2" t="str">
        <f>VLOOKUP(UK_NO[[#This Row],[Product Line]],Prod_T6[],5,0)</f>
        <v>TCL</v>
      </c>
      <c r="E65" s="2" t="s">
        <v>314</v>
      </c>
      <c r="F65" s="1" t="s">
        <v>372</v>
      </c>
      <c r="G65" s="1" t="s">
        <v>130</v>
      </c>
      <c r="H65" s="1" t="s">
        <v>506</v>
      </c>
      <c r="I65" s="15" t="s">
        <v>117</v>
      </c>
      <c r="J65" s="13"/>
      <c r="K65" s="13">
        <v>1.218</v>
      </c>
      <c r="L65" s="13"/>
      <c r="M65" s="13"/>
      <c r="N65" s="13"/>
      <c r="O65" s="13"/>
      <c r="P65" s="13"/>
      <c r="Q65" s="13"/>
      <c r="R65" s="13"/>
      <c r="S65" s="32">
        <f>SUM(UK_NO[[#This Row],[26M04]:[26M06]])</f>
        <v>1.218</v>
      </c>
      <c r="T65" s="69">
        <f>SUM(UK_NO[[#This Row],[26M07]:[26M09]])</f>
        <v>0</v>
      </c>
      <c r="U65" s="69">
        <f>SUM(UK_NO[[#This Row],[26M10]:[26M12]])</f>
        <v>0</v>
      </c>
      <c r="V65" s="256"/>
      <c r="W65" s="256"/>
      <c r="X65" s="256"/>
      <c r="Y65" s="256"/>
      <c r="Z65" s="256"/>
      <c r="AA65" s="256"/>
      <c r="AB65" s="256">
        <f>SUM(UK_NO[[#This Row],[27M01]:[27M03]])</f>
        <v>0</v>
      </c>
      <c r="AC65" s="256">
        <f>SUM(UK_NO[[#This Row],[27M04]:[27M06]])</f>
        <v>0</v>
      </c>
      <c r="AD65" s="256" t="str">
        <f>IF(SUM(UK_NO[[#This Row],[26Q2]:[26Q4]])+SUM(UK_NO[[#This Row],[27Q1]:[27Q2]])=0,"No FSCT",IF(AND(SUM(UK_NO[[#This Row],[26Q2]:[26Q4]])&gt;0,SUM(UK_NO[[#This Row],[27Q1]:[27Q2]])=0),"YES","NO"))</f>
        <v>YES</v>
      </c>
      <c r="AE65" s="85" t="str">
        <f>VLOOKUP(UK_NO[[#This Row],[Product Line]],Prod_T6[],4,0)</f>
        <v>PV</v>
      </c>
      <c r="AH65" s="3" t="str">
        <v>7 - Booked</v>
      </c>
    </row>
    <row r="66" spans="1:34" ht="16.5" customHeight="1">
      <c r="A66" s="29" t="s">
        <v>56</v>
      </c>
      <c r="B66" s="1" t="s">
        <v>500</v>
      </c>
      <c r="C66" s="31" t="s">
        <v>498</v>
      </c>
      <c r="D66" s="2" t="str">
        <f>VLOOKUP(UK_NO[[#This Row],[Product Line]],Prod_T6[],5,0)</f>
        <v>TCL</v>
      </c>
      <c r="E66" s="2" t="s">
        <v>54</v>
      </c>
      <c r="F66" s="1" t="s">
        <v>129</v>
      </c>
      <c r="G66" s="1" t="s">
        <v>130</v>
      </c>
      <c r="H66" s="1" t="s">
        <v>505</v>
      </c>
      <c r="I66" s="15" t="s">
        <v>117</v>
      </c>
      <c r="J66" s="13"/>
      <c r="K66" s="13">
        <v>0.84199999999999997</v>
      </c>
      <c r="L66" s="13">
        <v>0.84199999999999997</v>
      </c>
      <c r="M66" s="13">
        <v>0.84199999999999997</v>
      </c>
      <c r="N66" s="13">
        <v>0.84199999999999997</v>
      </c>
      <c r="O66" s="13">
        <v>0.84199999999999997</v>
      </c>
      <c r="P66" s="13">
        <v>0.84199999999999997</v>
      </c>
      <c r="Q66" s="13">
        <v>0.42099999999999999</v>
      </c>
      <c r="R66" s="13"/>
      <c r="S66" s="32">
        <f>SUM(UK_NO[[#This Row],[26M04]:[26M06]])</f>
        <v>1.6839999999999999</v>
      </c>
      <c r="T66" s="69">
        <f>SUM(UK_NO[[#This Row],[26M07]:[26M09]])</f>
        <v>2.5259999999999998</v>
      </c>
      <c r="U66" s="69">
        <f>SUM(UK_NO[[#This Row],[26M10]:[26M12]])</f>
        <v>1.2629999999999999</v>
      </c>
      <c r="V66" s="256"/>
      <c r="W66" s="256"/>
      <c r="X66" s="256"/>
      <c r="Y66" s="256"/>
      <c r="Z66" s="256"/>
      <c r="AA66" s="256"/>
      <c r="AB66" s="256">
        <f>SUM(UK_NO[[#This Row],[27M01]:[27M03]])</f>
        <v>0</v>
      </c>
      <c r="AC66" s="256">
        <f>SUM(UK_NO[[#This Row],[27M04]:[27M06]])</f>
        <v>0</v>
      </c>
      <c r="AD66" s="256" t="str">
        <f>IF(SUM(UK_NO[[#This Row],[26Q2]:[26Q4]])+SUM(UK_NO[[#This Row],[27Q1]:[27Q2]])=0,"No FSCT",IF(AND(SUM(UK_NO[[#This Row],[26Q2]:[26Q4]])&gt;0,SUM(UK_NO[[#This Row],[27Q1]:[27Q2]])=0),"YES","NO"))</f>
        <v>YES</v>
      </c>
      <c r="AE66" s="85" t="str">
        <f>VLOOKUP(UK_NO[[#This Row],[Product Line]],Prod_T6[],4,0)</f>
        <v>PV</v>
      </c>
      <c r="AH66" s="3" t="str">
        <v>7 - Booked</v>
      </c>
    </row>
    <row r="67" spans="1:34" ht="16.5" customHeight="1">
      <c r="A67" s="29" t="s">
        <v>56</v>
      </c>
      <c r="B67" s="1" t="s">
        <v>500</v>
      </c>
      <c r="C67" s="31" t="s">
        <v>498</v>
      </c>
      <c r="D67" s="2" t="str">
        <f>VLOOKUP(UK_NO[[#This Row],[Product Line]],Prod_T6[],5,0)</f>
        <v>TCL</v>
      </c>
      <c r="E67" s="2" t="s">
        <v>54</v>
      </c>
      <c r="F67" s="1" t="s">
        <v>129</v>
      </c>
      <c r="G67" s="1" t="s">
        <v>136</v>
      </c>
      <c r="H67" s="1" t="s">
        <v>504</v>
      </c>
      <c r="I67" s="40" t="s">
        <v>117</v>
      </c>
      <c r="J67" s="13"/>
      <c r="K67" s="13">
        <v>0.42099999999999999</v>
      </c>
      <c r="L67" s="13">
        <v>0.42099999999999999</v>
      </c>
      <c r="M67" s="13"/>
      <c r="N67" s="13"/>
      <c r="O67" s="13"/>
      <c r="P67" s="13"/>
      <c r="Q67" s="13"/>
      <c r="R67" s="13"/>
      <c r="S67" s="32">
        <f>SUM(UK_NO[[#This Row],[26M04]:[26M06]])</f>
        <v>0.84199999999999997</v>
      </c>
      <c r="T67" s="69">
        <f>SUM(UK_NO[[#This Row],[26M07]:[26M09]])</f>
        <v>0</v>
      </c>
      <c r="U67" s="69">
        <f>SUM(UK_NO[[#This Row],[26M10]:[26M12]])</f>
        <v>0</v>
      </c>
      <c r="V67" s="256"/>
      <c r="W67" s="256"/>
      <c r="X67" s="256"/>
      <c r="Y67" s="256"/>
      <c r="Z67" s="256"/>
      <c r="AA67" s="256"/>
      <c r="AB67" s="256">
        <f>SUM(UK_NO[[#This Row],[27M01]:[27M03]])</f>
        <v>0</v>
      </c>
      <c r="AC67" s="256">
        <f>SUM(UK_NO[[#This Row],[27M04]:[27M06]])</f>
        <v>0</v>
      </c>
      <c r="AD67" s="256" t="str">
        <f>IF(SUM(UK_NO[[#This Row],[26Q2]:[26Q4]])+SUM(UK_NO[[#This Row],[27Q1]:[27Q2]])=0,"No FSCT",IF(AND(SUM(UK_NO[[#This Row],[26Q2]:[26Q4]])&gt;0,SUM(UK_NO[[#This Row],[27Q1]:[27Q2]])=0),"YES","NO"))</f>
        <v>YES</v>
      </c>
      <c r="AE67" s="85" t="str">
        <f>VLOOKUP(UK_NO[[#This Row],[Product Line]],Prod_T6[],4,0)</f>
        <v>PV</v>
      </c>
      <c r="AH67" s="3" t="str">
        <v>3 - Negotiation</v>
      </c>
    </row>
    <row r="68" spans="1:34" ht="16.5" customHeight="1">
      <c r="A68" s="29" t="s">
        <v>56</v>
      </c>
      <c r="B68" s="1" t="s">
        <v>500</v>
      </c>
      <c r="C68" s="31" t="s">
        <v>498</v>
      </c>
      <c r="D68" s="2" t="str">
        <f>VLOOKUP(UK_NO[[#This Row],[Product Line]],Prod_T6[],5,0)</f>
        <v>TCL</v>
      </c>
      <c r="E68" s="2" t="s">
        <v>54</v>
      </c>
      <c r="F68" s="1" t="s">
        <v>160</v>
      </c>
      <c r="G68" s="1" t="s">
        <v>130</v>
      </c>
      <c r="H68" s="1" t="s">
        <v>503</v>
      </c>
      <c r="I68" s="15" t="s">
        <v>117</v>
      </c>
      <c r="J68" s="13"/>
      <c r="K68" s="13">
        <v>1.3080000000000001</v>
      </c>
      <c r="L68" s="13"/>
      <c r="M68" s="13"/>
      <c r="N68" s="13"/>
      <c r="O68" s="13"/>
      <c r="P68" s="13"/>
      <c r="Q68" s="13"/>
      <c r="R68" s="13"/>
      <c r="S68" s="32">
        <f>SUM(UK_NO[[#This Row],[26M04]:[26M06]])</f>
        <v>1.3080000000000001</v>
      </c>
      <c r="T68" s="69">
        <f>SUM(UK_NO[[#This Row],[26M07]:[26M09]])</f>
        <v>0</v>
      </c>
      <c r="U68" s="69">
        <f>SUM(UK_NO[[#This Row],[26M10]:[26M12]])</f>
        <v>0</v>
      </c>
      <c r="V68" s="256"/>
      <c r="W68" s="256"/>
      <c r="X68" s="256"/>
      <c r="Y68" s="256"/>
      <c r="Z68" s="256"/>
      <c r="AA68" s="256"/>
      <c r="AB68" s="256">
        <f>SUM(UK_NO[[#This Row],[27M01]:[27M03]])</f>
        <v>0</v>
      </c>
      <c r="AC68" s="256">
        <f>SUM(UK_NO[[#This Row],[27M04]:[27M06]])</f>
        <v>0</v>
      </c>
      <c r="AD68" s="256" t="str">
        <f>IF(SUM(UK_NO[[#This Row],[26Q2]:[26Q4]])+SUM(UK_NO[[#This Row],[27Q1]:[27Q2]])=0,"No FSCT",IF(AND(SUM(UK_NO[[#This Row],[26Q2]:[26Q4]])&gt;0,SUM(UK_NO[[#This Row],[27Q1]:[27Q2]])=0),"YES","NO"))</f>
        <v>YES</v>
      </c>
      <c r="AE68" s="85" t="str">
        <f>VLOOKUP(UK_NO[[#This Row],[Product Line]],Prod_T6[],4,0)</f>
        <v>PV</v>
      </c>
      <c r="AH68" s="3" t="str">
        <v>7 - Booked</v>
      </c>
    </row>
    <row r="69" spans="1:34" ht="16.5" customHeight="1">
      <c r="A69" s="29" t="s">
        <v>56</v>
      </c>
      <c r="B69" s="1" t="s">
        <v>500</v>
      </c>
      <c r="C69" s="31" t="s">
        <v>498</v>
      </c>
      <c r="D69" s="2" t="str">
        <f>VLOOKUP(UK_NO[[#This Row],[Product Line]],Prod_T6[],5,0)</f>
        <v>TCL</v>
      </c>
      <c r="E69" s="2" t="s">
        <v>54</v>
      </c>
      <c r="F69" s="1" t="s">
        <v>170</v>
      </c>
      <c r="G69" s="1" t="s">
        <v>130</v>
      </c>
      <c r="H69" s="1" t="s">
        <v>501</v>
      </c>
      <c r="I69" s="15" t="s">
        <v>117</v>
      </c>
      <c r="J69" s="13"/>
      <c r="K69" s="13">
        <v>2.6779999999999999</v>
      </c>
      <c r="L69" s="13"/>
      <c r="M69" s="13"/>
      <c r="N69" s="13"/>
      <c r="O69" s="13"/>
      <c r="P69" s="13"/>
      <c r="Q69" s="13"/>
      <c r="R69" s="13"/>
      <c r="S69" s="32">
        <f>SUM(UK_NO[[#This Row],[26M04]:[26M06]])</f>
        <v>2.6779999999999999</v>
      </c>
      <c r="T69" s="69">
        <f>SUM(UK_NO[[#This Row],[26M07]:[26M09]])</f>
        <v>0</v>
      </c>
      <c r="U69" s="69">
        <f>SUM(UK_NO[[#This Row],[26M10]:[26M12]])</f>
        <v>0</v>
      </c>
      <c r="V69" s="256"/>
      <c r="W69" s="256"/>
      <c r="X69" s="256"/>
      <c r="Y69" s="256"/>
      <c r="Z69" s="256"/>
      <c r="AA69" s="256"/>
      <c r="AB69" s="256">
        <f>SUM(UK_NO[[#This Row],[27M01]:[27M03]])</f>
        <v>0</v>
      </c>
      <c r="AC69" s="256">
        <f>SUM(UK_NO[[#This Row],[27M04]:[27M06]])</f>
        <v>0</v>
      </c>
      <c r="AD69" s="256" t="str">
        <f>IF(SUM(UK_NO[[#This Row],[26Q2]:[26Q4]])+SUM(UK_NO[[#This Row],[27Q1]:[27Q2]])=0,"No FSCT",IF(AND(SUM(UK_NO[[#This Row],[26Q2]:[26Q4]])&gt;0,SUM(UK_NO[[#This Row],[27Q1]:[27Q2]])=0),"YES","NO"))</f>
        <v>YES</v>
      </c>
      <c r="AE69" s="85" t="str">
        <f>VLOOKUP(UK_NO[[#This Row],[Product Line]],Prod_T6[],4,0)</f>
        <v>PV</v>
      </c>
      <c r="AH69" s="3" t="str">
        <v>7 - Booked</v>
      </c>
    </row>
    <row r="70" spans="1:34" ht="16.5" customHeight="1">
      <c r="A70" s="29" t="s">
        <v>56</v>
      </c>
      <c r="B70" s="1" t="s">
        <v>500</v>
      </c>
      <c r="C70" s="31" t="s">
        <v>498</v>
      </c>
      <c r="D70" s="2" t="str">
        <f>VLOOKUP(UK_NO[[#This Row],[Product Line]],Prod_T6[],5,0)</f>
        <v>TCL</v>
      </c>
      <c r="E70" s="2" t="s">
        <v>54</v>
      </c>
      <c r="F70" s="1" t="s">
        <v>166</v>
      </c>
      <c r="G70" s="1" t="s">
        <v>130</v>
      </c>
      <c r="H70" s="1" t="s">
        <v>502</v>
      </c>
      <c r="I70" s="15" t="s">
        <v>117</v>
      </c>
      <c r="J70" s="13"/>
      <c r="K70" s="13">
        <v>0.45</v>
      </c>
      <c r="L70" s="13"/>
      <c r="M70" s="13"/>
      <c r="N70" s="13"/>
      <c r="O70" s="13"/>
      <c r="P70" s="13"/>
      <c r="Q70" s="13"/>
      <c r="R70" s="13"/>
      <c r="S70" s="32">
        <f>SUM(UK_NO[[#This Row],[26M04]:[26M06]])</f>
        <v>0.45</v>
      </c>
      <c r="T70" s="69">
        <f>SUM(UK_NO[[#This Row],[26M07]:[26M09]])</f>
        <v>0</v>
      </c>
      <c r="U70" s="69">
        <f>SUM(UK_NO[[#This Row],[26M10]:[26M12]])</f>
        <v>0</v>
      </c>
      <c r="V70" s="256"/>
      <c r="W70" s="256"/>
      <c r="X70" s="256"/>
      <c r="Y70" s="256"/>
      <c r="Z70" s="256"/>
      <c r="AA70" s="256"/>
      <c r="AB70" s="256">
        <f>SUM(UK_NO[[#This Row],[27M01]:[27M03]])</f>
        <v>0</v>
      </c>
      <c r="AC70" s="256">
        <f>SUM(UK_NO[[#This Row],[27M04]:[27M06]])</f>
        <v>0</v>
      </c>
      <c r="AD70" s="256" t="str">
        <f>IF(SUM(UK_NO[[#This Row],[26Q2]:[26Q4]])+SUM(UK_NO[[#This Row],[27Q1]:[27Q2]])=0,"No FSCT",IF(AND(SUM(UK_NO[[#This Row],[26Q2]:[26Q4]])&gt;0,SUM(UK_NO[[#This Row],[27Q1]:[27Q2]])=0),"YES","NO"))</f>
        <v>YES</v>
      </c>
      <c r="AE70" s="85" t="str">
        <f>VLOOKUP(UK_NO[[#This Row],[Product Line]],Prod_T6[],4,0)</f>
        <v>PV</v>
      </c>
      <c r="AH70" s="3" t="str">
        <v>7 - Booked</v>
      </c>
    </row>
    <row r="71" spans="1:34" ht="16.5" customHeight="1">
      <c r="A71" s="29" t="s">
        <v>56</v>
      </c>
      <c r="B71" s="1" t="s">
        <v>500</v>
      </c>
      <c r="C71" s="31" t="s">
        <v>498</v>
      </c>
      <c r="D71" s="2" t="str">
        <f>VLOOKUP(UK_NO[[#This Row],[Product Line]],Prod_T6[],5,0)</f>
        <v>TCL</v>
      </c>
      <c r="E71" s="2" t="s">
        <v>54</v>
      </c>
      <c r="F71" s="1" t="s">
        <v>166</v>
      </c>
      <c r="G71" s="1" t="s">
        <v>136</v>
      </c>
      <c r="H71" s="1" t="s">
        <v>501</v>
      </c>
      <c r="I71" s="15" t="s">
        <v>117</v>
      </c>
      <c r="J71" s="13"/>
      <c r="K71" s="13"/>
      <c r="L71" s="13"/>
      <c r="M71" s="113">
        <v>0.45</v>
      </c>
      <c r="N71" s="113">
        <v>0.45</v>
      </c>
      <c r="O71" s="113">
        <v>0.9</v>
      </c>
      <c r="P71" s="13"/>
      <c r="Q71" s="13"/>
      <c r="R71" s="13"/>
      <c r="S71" s="32">
        <f>SUM(UK_NO[[#This Row],[26M04]:[26M06]])</f>
        <v>0</v>
      </c>
      <c r="T71" s="69">
        <f>SUM(UK_NO[[#This Row],[26M07]:[26M09]])</f>
        <v>1.8</v>
      </c>
      <c r="U71" s="69">
        <f>SUM(UK_NO[[#This Row],[26M10]:[26M12]])</f>
        <v>0</v>
      </c>
      <c r="V71" s="256"/>
      <c r="W71" s="256"/>
      <c r="X71" s="256"/>
      <c r="Y71" s="256"/>
      <c r="Z71" s="256"/>
      <c r="AA71" s="256"/>
      <c r="AB71" s="256">
        <f>SUM(UK_NO[[#This Row],[27M01]:[27M03]])</f>
        <v>0</v>
      </c>
      <c r="AC71" s="256">
        <f>SUM(UK_NO[[#This Row],[27M04]:[27M06]])</f>
        <v>0</v>
      </c>
      <c r="AD71" s="256" t="str">
        <f>IF(SUM(UK_NO[[#This Row],[26Q2]:[26Q4]])+SUM(UK_NO[[#This Row],[27Q1]:[27Q2]])=0,"No FSCT",IF(AND(SUM(UK_NO[[#This Row],[26Q2]:[26Q4]])&gt;0,SUM(UK_NO[[#This Row],[27Q1]:[27Q2]])=0),"YES","NO"))</f>
        <v>YES</v>
      </c>
      <c r="AE71" s="85" t="str">
        <f>VLOOKUP(UK_NO[[#This Row],[Product Line]],Prod_T6[],4,0)</f>
        <v>PV</v>
      </c>
      <c r="AH71" s="3" t="str">
        <v>3 - Negotiation</v>
      </c>
    </row>
    <row r="72" spans="1:34" ht="16.5" customHeight="1">
      <c r="A72" s="29" t="s">
        <v>56</v>
      </c>
      <c r="B72" s="1" t="s">
        <v>497</v>
      </c>
      <c r="C72" s="31" t="s">
        <v>498</v>
      </c>
      <c r="D72" s="2" t="str">
        <f>VLOOKUP(UK_NO[[#This Row],[Product Line]],Prod_T6[],5,0)</f>
        <v>TCL</v>
      </c>
      <c r="E72" s="2" t="s">
        <v>149</v>
      </c>
      <c r="F72" s="1" t="s">
        <v>152</v>
      </c>
      <c r="G72" s="1" t="s">
        <v>136</v>
      </c>
      <c r="H72" s="1" t="s">
        <v>499</v>
      </c>
      <c r="I72" s="15" t="s">
        <v>117</v>
      </c>
      <c r="J72" s="13"/>
      <c r="K72" s="13"/>
      <c r="L72" s="13"/>
      <c r="M72" s="13">
        <v>0.879</v>
      </c>
      <c r="N72" s="13">
        <v>0.879</v>
      </c>
      <c r="O72" s="13">
        <v>0.879</v>
      </c>
      <c r="P72" s="13"/>
      <c r="Q72" s="13"/>
      <c r="R72" s="13"/>
      <c r="S72" s="32">
        <f>SUM(UK_NO[[#This Row],[26M04]:[26M06]])</f>
        <v>0</v>
      </c>
      <c r="T72" s="69">
        <f>SUM(UK_NO[[#This Row],[26M07]:[26M09]])</f>
        <v>2.637</v>
      </c>
      <c r="U72" s="69">
        <f>SUM(UK_NO[[#This Row],[26M10]:[26M12]])</f>
        <v>0</v>
      </c>
      <c r="V72" s="256"/>
      <c r="W72" s="256"/>
      <c r="X72" s="256"/>
      <c r="Y72" s="256"/>
      <c r="Z72" s="256"/>
      <c r="AA72" s="256"/>
      <c r="AB72" s="256">
        <f>SUM(UK_NO[[#This Row],[27M01]:[27M03]])</f>
        <v>0</v>
      </c>
      <c r="AC72" s="256">
        <f>SUM(UK_NO[[#This Row],[27M04]:[27M06]])</f>
        <v>0</v>
      </c>
      <c r="AD72" s="256" t="str">
        <f>IF(SUM(UK_NO[[#This Row],[26Q2]:[26Q4]])+SUM(UK_NO[[#This Row],[27Q1]:[27Q2]])=0,"No FSCT",IF(AND(SUM(UK_NO[[#This Row],[26Q2]:[26Q4]])&gt;0,SUM(UK_NO[[#This Row],[27Q1]:[27Q2]])=0),"YES","NO"))</f>
        <v>YES</v>
      </c>
      <c r="AE72" s="85" t="str">
        <f>VLOOKUP(UK_NO[[#This Row],[Product Line]],Prod_T6[],4,0)</f>
        <v>PV</v>
      </c>
      <c r="AH72" s="3" t="str">
        <v>3 - Negotiation</v>
      </c>
    </row>
    <row r="73" spans="1:34" ht="16.5" customHeight="1">
      <c r="A73" s="29" t="s">
        <v>56</v>
      </c>
      <c r="B73" s="1" t="s">
        <v>495</v>
      </c>
      <c r="C73" s="31" t="s">
        <v>493</v>
      </c>
      <c r="D73" s="2" t="str">
        <f>VLOOKUP(UK_NO[[#This Row],[Product Line]],Prod_T6[],5,0)</f>
        <v>Sunpower</v>
      </c>
      <c r="E73" s="2" t="s">
        <v>118</v>
      </c>
      <c r="F73" s="1" t="s">
        <v>119</v>
      </c>
      <c r="G73" s="1" t="s">
        <v>136</v>
      </c>
      <c r="H73" s="1" t="s">
        <v>496</v>
      </c>
      <c r="I73" s="40" t="s">
        <v>117</v>
      </c>
      <c r="J73" s="13">
        <v>0</v>
      </c>
      <c r="K73" s="13">
        <v>0</v>
      </c>
      <c r="L73" s="13">
        <v>0.14499999999999999</v>
      </c>
      <c r="M73" s="13">
        <v>0</v>
      </c>
      <c r="N73" s="13">
        <v>0.1</v>
      </c>
      <c r="O73" s="13">
        <v>0</v>
      </c>
      <c r="P73" s="13">
        <v>0</v>
      </c>
      <c r="Q73" s="13">
        <v>0.15</v>
      </c>
      <c r="R73" s="13">
        <v>0.05</v>
      </c>
      <c r="S73" s="32">
        <f>SUM(UK_NO[[#This Row],[26M04]:[26M06]])</f>
        <v>0.14499999999999999</v>
      </c>
      <c r="T73" s="69">
        <f>SUM(UK_NO[[#This Row],[26M07]:[26M09]])</f>
        <v>0.1</v>
      </c>
      <c r="U73" s="69">
        <f>SUM(UK_NO[[#This Row],[26M10]:[26M12]])</f>
        <v>0.2</v>
      </c>
      <c r="V73" s="256"/>
      <c r="W73" s="256"/>
      <c r="X73" s="256"/>
      <c r="Y73" s="256"/>
      <c r="Z73" s="256"/>
      <c r="AA73" s="256"/>
      <c r="AB73" s="256">
        <f>SUM(UK_NO[[#This Row],[27M01]:[27M03]])</f>
        <v>0</v>
      </c>
      <c r="AC73" s="256">
        <f>SUM(UK_NO[[#This Row],[27M04]:[27M06]])</f>
        <v>0</v>
      </c>
      <c r="AD73" s="256" t="str">
        <f>IF(SUM(UK_NO[[#This Row],[26Q2]:[26Q4]])+SUM(UK_NO[[#This Row],[27Q1]:[27Q2]])=0,"No FSCT",IF(AND(SUM(UK_NO[[#This Row],[26Q2]:[26Q4]])&gt;0,SUM(UK_NO[[#This Row],[27Q1]:[27Q2]])=0),"YES","NO"))</f>
        <v>YES</v>
      </c>
      <c r="AE73" s="85" t="str">
        <f>VLOOKUP(UK_NO[[#This Row],[Product Line]],Prod_T6[],4,0)</f>
        <v>PV</v>
      </c>
      <c r="AH73" s="3" t="str">
        <v>3 - Negotiation</v>
      </c>
    </row>
    <row r="74" spans="1:34" ht="16.5" customHeight="1">
      <c r="A74" s="29" t="s">
        <v>56</v>
      </c>
      <c r="B74" s="1" t="s">
        <v>520</v>
      </c>
      <c r="C74" s="31" t="s">
        <v>493</v>
      </c>
      <c r="D74" s="2" t="str">
        <f>VLOOKUP(UK_NO[[#This Row],[Product Line]],Prod_T6[],5,0)</f>
        <v>TCL</v>
      </c>
      <c r="E74" s="2" t="s">
        <v>54</v>
      </c>
      <c r="F74" s="1" t="s">
        <v>160</v>
      </c>
      <c r="G74" s="1" t="s">
        <v>130</v>
      </c>
      <c r="H74" s="1" t="s">
        <v>521</v>
      </c>
      <c r="I74" s="40" t="s">
        <v>117</v>
      </c>
      <c r="J74" s="13">
        <v>0</v>
      </c>
      <c r="K74" s="13">
        <v>1.75</v>
      </c>
      <c r="L74" s="13">
        <v>3.5</v>
      </c>
      <c r="M74" s="13">
        <v>2</v>
      </c>
      <c r="N74" s="13">
        <v>2</v>
      </c>
      <c r="O74" s="13">
        <v>3.5</v>
      </c>
      <c r="P74" s="13">
        <v>2.6</v>
      </c>
      <c r="Q74" s="13">
        <v>2.6</v>
      </c>
      <c r="R74" s="13">
        <v>2.6</v>
      </c>
      <c r="S74" s="32">
        <f>SUM(UK_NO[[#This Row],[26M04]:[26M06]])</f>
        <v>5.25</v>
      </c>
      <c r="T74" s="69">
        <f>SUM(UK_NO[[#This Row],[26M07]:[26M09]])</f>
        <v>7.5</v>
      </c>
      <c r="U74" s="69">
        <f>SUM(UK_NO[[#This Row],[26M10]:[26M12]])</f>
        <v>7.8000000000000007</v>
      </c>
      <c r="V74" s="256"/>
      <c r="W74" s="256"/>
      <c r="X74" s="256"/>
      <c r="Y74" s="256"/>
      <c r="Z74" s="256"/>
      <c r="AA74" s="256"/>
      <c r="AB74" s="256">
        <f>SUM(UK_NO[[#This Row],[27M01]:[27M03]])</f>
        <v>0</v>
      </c>
      <c r="AC74" s="256">
        <f>SUM(UK_NO[[#This Row],[27M04]:[27M06]])</f>
        <v>0</v>
      </c>
      <c r="AD74" s="256" t="str">
        <f>IF(SUM(UK_NO[[#This Row],[26Q2]:[26Q4]])+SUM(UK_NO[[#This Row],[27Q1]:[27Q2]])=0,"No FSCT",IF(AND(SUM(UK_NO[[#This Row],[26Q2]:[26Q4]])&gt;0,SUM(UK_NO[[#This Row],[27Q1]:[27Q2]])=0),"YES","NO"))</f>
        <v>YES</v>
      </c>
      <c r="AE74" s="85" t="str">
        <f>VLOOKUP(UK_NO[[#This Row],[Product Line]],Prod_T6[],4,0)</f>
        <v>PV</v>
      </c>
      <c r="AH74" s="3" t="str">
        <v>7 - Booked</v>
      </c>
    </row>
    <row r="75" spans="1:34" ht="16.5" customHeight="1">
      <c r="A75" s="29" t="s">
        <v>56</v>
      </c>
      <c r="B75" s="1" t="s">
        <v>523</v>
      </c>
      <c r="C75" s="31" t="s">
        <v>512</v>
      </c>
      <c r="D75" s="2" t="str">
        <f>VLOOKUP(UK_NO[[#This Row],[Product Line]],Prod_T6[],5,0)</f>
        <v>Sunpower</v>
      </c>
      <c r="E75" s="2" t="s">
        <v>118</v>
      </c>
      <c r="F75" s="1" t="s">
        <v>119</v>
      </c>
      <c r="G75" s="1" t="s">
        <v>156</v>
      </c>
      <c r="H75" s="1"/>
      <c r="I75" s="40" t="s">
        <v>117</v>
      </c>
      <c r="J75" s="13">
        <v>3.2000000000000001E-2</v>
      </c>
      <c r="K75" s="13"/>
      <c r="L75" s="13">
        <v>3.3000000000000002E-2</v>
      </c>
      <c r="M75" s="13"/>
      <c r="N75" s="13">
        <v>3.3000000000000002E-2</v>
      </c>
      <c r="O75" s="13"/>
      <c r="P75" s="13">
        <v>3.3000000000000002E-2</v>
      </c>
      <c r="Q75" s="13"/>
      <c r="R75" s="13">
        <v>3.3000000000000002E-2</v>
      </c>
      <c r="S75" s="32">
        <f>SUM(UK_NO[[#This Row],[26M04]:[26M06]])</f>
        <v>6.5000000000000002E-2</v>
      </c>
      <c r="T75" s="69">
        <f>SUM(UK_NO[[#This Row],[26M07]:[26M09]])</f>
        <v>3.3000000000000002E-2</v>
      </c>
      <c r="U75" s="69">
        <f>SUM(UK_NO[[#This Row],[26M10]:[26M12]])</f>
        <v>6.6000000000000003E-2</v>
      </c>
      <c r="V75" s="256"/>
      <c r="W75" s="256"/>
      <c r="X75" s="256"/>
      <c r="Y75" s="256"/>
      <c r="Z75" s="256"/>
      <c r="AA75" s="256"/>
      <c r="AB75" s="256">
        <f>SUM(UK_NO[[#This Row],[27M01]:[27M03]])</f>
        <v>0</v>
      </c>
      <c r="AC75" s="256">
        <f>SUM(UK_NO[[#This Row],[27M04]:[27M06]])</f>
        <v>0</v>
      </c>
      <c r="AD75" s="256" t="str">
        <f>IF(SUM(UK_NO[[#This Row],[26Q2]:[26Q4]])+SUM(UK_NO[[#This Row],[27Q1]:[27Q2]])=0,"No FSCT",IF(AND(SUM(UK_NO[[#This Row],[26Q2]:[26Q4]])&gt;0,SUM(UK_NO[[#This Row],[27Q1]:[27Q2]])=0),"YES","NO"))</f>
        <v>YES</v>
      </c>
      <c r="AE75" s="85" t="str">
        <f>VLOOKUP(UK_NO[[#This Row],[Product Line]],Prod_T6[],4,0)</f>
        <v>PV</v>
      </c>
      <c r="AH75" s="3" t="str">
        <v>6 - Won</v>
      </c>
    </row>
    <row r="76" spans="1:34" ht="16.5" customHeight="1">
      <c r="A76" s="29" t="s">
        <v>56</v>
      </c>
      <c r="B76" s="1" t="s">
        <v>523</v>
      </c>
      <c r="C76" s="31" t="s">
        <v>512</v>
      </c>
      <c r="D76" s="2" t="str">
        <f>VLOOKUP(UK_NO[[#This Row],[Product Line]],Prod_T6[],5,0)</f>
        <v>Sunpower</v>
      </c>
      <c r="E76" s="2" t="s">
        <v>118</v>
      </c>
      <c r="F76" s="1" t="s">
        <v>180</v>
      </c>
      <c r="G76" s="1" t="s">
        <v>156</v>
      </c>
      <c r="H76" s="1"/>
      <c r="I76" s="40" t="s">
        <v>117</v>
      </c>
      <c r="J76" s="13"/>
      <c r="K76" s="13"/>
      <c r="L76" s="13">
        <v>1.7999999999999999E-2</v>
      </c>
      <c r="M76" s="13"/>
      <c r="N76" s="13">
        <v>1.7999999999999999E-2</v>
      </c>
      <c r="O76" s="13"/>
      <c r="P76" s="13">
        <v>1.7999999999999999E-2</v>
      </c>
      <c r="Q76" s="13"/>
      <c r="R76" s="13">
        <v>1.7999999999999999E-2</v>
      </c>
      <c r="S76" s="32">
        <f>SUM(UK_NO[[#This Row],[26M04]:[26M06]])</f>
        <v>1.7999999999999999E-2</v>
      </c>
      <c r="T76" s="69">
        <f>SUM(UK_NO[[#This Row],[26M07]:[26M09]])</f>
        <v>1.7999999999999999E-2</v>
      </c>
      <c r="U76" s="69">
        <f>SUM(UK_NO[[#This Row],[26M10]:[26M12]])</f>
        <v>3.5999999999999997E-2</v>
      </c>
      <c r="V76" s="256"/>
      <c r="W76" s="256"/>
      <c r="X76" s="256"/>
      <c r="Y76" s="256"/>
      <c r="Z76" s="256"/>
      <c r="AA76" s="256"/>
      <c r="AB76" s="256">
        <f>SUM(UK_NO[[#This Row],[27M01]:[27M03]])</f>
        <v>0</v>
      </c>
      <c r="AC76" s="256">
        <f>SUM(UK_NO[[#This Row],[27M04]:[27M06]])</f>
        <v>0</v>
      </c>
      <c r="AD76" s="256" t="str">
        <f>IF(SUM(UK_NO[[#This Row],[26Q2]:[26Q4]])+SUM(UK_NO[[#This Row],[27Q1]:[27Q2]])=0,"No FSCT",IF(AND(SUM(UK_NO[[#This Row],[26Q2]:[26Q4]])&gt;0,SUM(UK_NO[[#This Row],[27Q1]:[27Q2]])=0),"YES","NO"))</f>
        <v>YES</v>
      </c>
      <c r="AE76" s="85" t="str">
        <f>VLOOKUP(UK_NO[[#This Row],[Product Line]],Prod_T6[],4,0)</f>
        <v>PV</v>
      </c>
      <c r="AH76" s="3" t="str">
        <v>6 - Won</v>
      </c>
    </row>
    <row r="77" spans="1:34" ht="16.5" customHeight="1">
      <c r="A77" s="29" t="s">
        <v>56</v>
      </c>
      <c r="B77" s="1" t="s">
        <v>524</v>
      </c>
      <c r="C77" s="31" t="s">
        <v>512</v>
      </c>
      <c r="D77" s="2" t="str">
        <f>VLOOKUP(UK_NO[[#This Row],[Product Line]],Prod_T6[],5,0)</f>
        <v>Sunpower</v>
      </c>
      <c r="E77" s="2" t="s">
        <v>118</v>
      </c>
      <c r="F77" s="1" t="s">
        <v>119</v>
      </c>
      <c r="G77" s="1" t="s">
        <v>156</v>
      </c>
      <c r="H77" s="1"/>
      <c r="I77" s="40" t="s">
        <v>117</v>
      </c>
      <c r="J77" s="13">
        <v>1.6E-2</v>
      </c>
      <c r="K77" s="13">
        <v>1.6E-2</v>
      </c>
      <c r="L77" s="13">
        <v>1.6E-2</v>
      </c>
      <c r="M77" s="13">
        <v>1.6E-2</v>
      </c>
      <c r="N77" s="13">
        <v>1.6E-2</v>
      </c>
      <c r="O77" s="13">
        <v>1.6E-2</v>
      </c>
      <c r="P77" s="13">
        <v>1.6E-2</v>
      </c>
      <c r="Q77" s="13">
        <v>1.6E-2</v>
      </c>
      <c r="R77" s="13">
        <v>1.6E-2</v>
      </c>
      <c r="S77" s="32">
        <f>SUM(UK_NO[[#This Row],[26M04]:[26M06]])</f>
        <v>4.8000000000000001E-2</v>
      </c>
      <c r="T77" s="69">
        <f>SUM(UK_NO[[#This Row],[26M07]:[26M09]])</f>
        <v>4.8000000000000001E-2</v>
      </c>
      <c r="U77" s="69">
        <f>SUM(UK_NO[[#This Row],[26M10]:[26M12]])</f>
        <v>4.8000000000000001E-2</v>
      </c>
      <c r="V77" s="256"/>
      <c r="W77" s="256"/>
      <c r="X77" s="256"/>
      <c r="Y77" s="256"/>
      <c r="Z77" s="256"/>
      <c r="AA77" s="256"/>
      <c r="AB77" s="256">
        <f>SUM(UK_NO[[#This Row],[27M01]:[27M03]])</f>
        <v>0</v>
      </c>
      <c r="AC77" s="256">
        <f>SUM(UK_NO[[#This Row],[27M04]:[27M06]])</f>
        <v>0</v>
      </c>
      <c r="AD77" s="256" t="str">
        <f>IF(SUM(UK_NO[[#This Row],[26Q2]:[26Q4]])+SUM(UK_NO[[#This Row],[27Q1]:[27Q2]])=0,"No FSCT",IF(AND(SUM(UK_NO[[#This Row],[26Q2]:[26Q4]])&gt;0,SUM(UK_NO[[#This Row],[27Q1]:[27Q2]])=0),"YES","NO"))</f>
        <v>YES</v>
      </c>
      <c r="AE77" s="85" t="str">
        <f>VLOOKUP(UK_NO[[#This Row],[Product Line]],Prod_T6[],4,0)</f>
        <v>PV</v>
      </c>
      <c r="AH77" s="3" t="str">
        <v>6 - Won</v>
      </c>
    </row>
    <row r="78" spans="1:34" ht="16.5" customHeight="1">
      <c r="A78" s="29" t="s">
        <v>56</v>
      </c>
      <c r="B78" s="1" t="s">
        <v>545</v>
      </c>
      <c r="C78" s="31" t="s">
        <v>498</v>
      </c>
      <c r="D78" s="2" t="str">
        <f>VLOOKUP(UK_NO[[#This Row],[Product Line]],Prod_T6[],5,0)</f>
        <v>TCL</v>
      </c>
      <c r="E78" s="2" t="s">
        <v>54</v>
      </c>
      <c r="F78" s="1" t="s">
        <v>121</v>
      </c>
      <c r="G78" s="1" t="s">
        <v>115</v>
      </c>
      <c r="H78" s="1"/>
      <c r="I78" s="40" t="s">
        <v>117</v>
      </c>
      <c r="J78" s="13"/>
      <c r="K78" s="13">
        <v>1.296</v>
      </c>
      <c r="L78" s="13"/>
      <c r="M78" s="13"/>
      <c r="N78" s="13"/>
      <c r="O78" s="13"/>
      <c r="P78" s="13"/>
      <c r="Q78" s="13"/>
      <c r="R78" s="13"/>
      <c r="S78" s="32">
        <f>SUM(UK_NO[[#This Row],[26M04]:[26M06]])</f>
        <v>1.296</v>
      </c>
      <c r="T78" s="69">
        <f>SUM(UK_NO[[#This Row],[26M07]:[26M09]])</f>
        <v>0</v>
      </c>
      <c r="U78" s="69">
        <f>SUM(UK_NO[[#This Row],[26M10]:[26M12]])</f>
        <v>0</v>
      </c>
      <c r="V78" s="256"/>
      <c r="W78" s="256"/>
      <c r="X78" s="256"/>
      <c r="Y78" s="256"/>
      <c r="Z78" s="256"/>
      <c r="AA78" s="256"/>
      <c r="AB78" s="256">
        <f>SUM(UK_NO[[#This Row],[27M01]:[27M03]])</f>
        <v>0</v>
      </c>
      <c r="AC78" s="256">
        <f>SUM(UK_NO[[#This Row],[27M04]:[27M06]])</f>
        <v>0</v>
      </c>
      <c r="AD78" s="256" t="str">
        <f>IF(SUM(UK_NO[[#This Row],[26Q2]:[26Q4]])+SUM(UK_NO[[#This Row],[27Q1]:[27Q2]])=0,"No FSCT",IF(AND(SUM(UK_NO[[#This Row],[26Q2]:[26Q4]])&gt;0,SUM(UK_NO[[#This Row],[27Q1]:[27Q2]])=0),"YES","NO"))</f>
        <v>YES</v>
      </c>
      <c r="AE78" s="85" t="str">
        <f>VLOOKUP(UK_NO[[#This Row],[Product Line]],Prod_T6[],4,0)</f>
        <v>PV</v>
      </c>
      <c r="AH78" s="3" t="str">
        <v>2 - Initial offer</v>
      </c>
    </row>
    <row r="79" spans="1:34" ht="16.5" customHeight="1">
      <c r="A79" s="29" t="s">
        <v>56</v>
      </c>
      <c r="B79" s="1" t="s">
        <v>545</v>
      </c>
      <c r="C79" s="31" t="s">
        <v>498</v>
      </c>
      <c r="D79" s="2" t="str">
        <f>VLOOKUP(UK_NO[[#This Row],[Product Line]],Prod_T6[],5,0)</f>
        <v>TCL</v>
      </c>
      <c r="E79" s="2" t="s">
        <v>54</v>
      </c>
      <c r="F79" s="1" t="s">
        <v>159</v>
      </c>
      <c r="G79" s="1" t="s">
        <v>136</v>
      </c>
      <c r="H79" s="1"/>
      <c r="I79" s="40" t="s">
        <v>117</v>
      </c>
      <c r="J79" s="13"/>
      <c r="K79" s="13">
        <v>0.82399999999999995</v>
      </c>
      <c r="L79" s="13"/>
      <c r="M79" s="13"/>
      <c r="N79" s="13"/>
      <c r="O79" s="13"/>
      <c r="P79" s="13"/>
      <c r="Q79" s="13"/>
      <c r="R79" s="13"/>
      <c r="S79" s="32">
        <f>SUM(UK_NO[[#This Row],[26M04]:[26M06]])</f>
        <v>0.82399999999999995</v>
      </c>
      <c r="T79" s="69">
        <f>SUM(UK_NO[[#This Row],[26M07]:[26M09]])</f>
        <v>0</v>
      </c>
      <c r="U79" s="69">
        <f>SUM(UK_NO[[#This Row],[26M10]:[26M12]])</f>
        <v>0</v>
      </c>
      <c r="V79" s="256"/>
      <c r="W79" s="256"/>
      <c r="X79" s="256"/>
      <c r="Y79" s="256"/>
      <c r="Z79" s="256"/>
      <c r="AA79" s="256"/>
      <c r="AB79" s="256">
        <f>SUM(UK_NO[[#This Row],[27M01]:[27M03]])</f>
        <v>0</v>
      </c>
      <c r="AC79" s="256">
        <f>SUM(UK_NO[[#This Row],[27M04]:[27M06]])</f>
        <v>0</v>
      </c>
      <c r="AD79" s="256" t="str">
        <f>IF(SUM(UK_NO[[#This Row],[26Q2]:[26Q4]])+SUM(UK_NO[[#This Row],[27Q1]:[27Q2]])=0,"No FSCT",IF(AND(SUM(UK_NO[[#This Row],[26Q2]:[26Q4]])&gt;0,SUM(UK_NO[[#This Row],[27Q1]:[27Q2]])=0),"YES","NO"))</f>
        <v>YES</v>
      </c>
      <c r="AE79" s="85" t="str">
        <f>VLOOKUP(UK_NO[[#This Row],[Product Line]],Prod_T6[],4,0)</f>
        <v>PV</v>
      </c>
      <c r="AH79" s="3" t="str">
        <v>3 - Negotiation</v>
      </c>
    </row>
    <row r="80" spans="1:34" ht="16.5" customHeight="1">
      <c r="A80" s="29" t="s">
        <v>56</v>
      </c>
      <c r="B80" s="1" t="s">
        <v>542</v>
      </c>
      <c r="C80" s="31" t="s">
        <v>512</v>
      </c>
      <c r="D80" s="2" t="str">
        <f>VLOOKUP(UK_NO[[#This Row],[Product Line]],Prod_T6[],5,0)</f>
        <v>TCL</v>
      </c>
      <c r="E80" s="2" t="s">
        <v>314</v>
      </c>
      <c r="F80" s="1" t="s">
        <v>372</v>
      </c>
      <c r="G80" s="1" t="s">
        <v>130</v>
      </c>
      <c r="H80" s="1" t="s">
        <v>544</v>
      </c>
      <c r="I80" s="40" t="s">
        <v>117</v>
      </c>
      <c r="J80" s="13">
        <v>2</v>
      </c>
      <c r="K80" s="13">
        <v>1.6</v>
      </c>
      <c r="L80" s="13">
        <v>1.35</v>
      </c>
      <c r="M80" s="13"/>
      <c r="N80" s="13"/>
      <c r="O80" s="13"/>
      <c r="P80" s="13">
        <v>1.35</v>
      </c>
      <c r="Q80" s="13">
        <v>1.35</v>
      </c>
      <c r="R80" s="13">
        <v>0.45</v>
      </c>
      <c r="S80" s="32">
        <f>SUM(UK_NO[[#This Row],[26M04]:[26M06]])</f>
        <v>4.95</v>
      </c>
      <c r="T80" s="69">
        <f>SUM(UK_NO[[#This Row],[26M07]:[26M09]])</f>
        <v>0</v>
      </c>
      <c r="U80" s="69">
        <f>SUM(UK_NO[[#This Row],[26M10]:[26M12]])</f>
        <v>3.1500000000000004</v>
      </c>
      <c r="V80" s="256"/>
      <c r="W80" s="256"/>
      <c r="X80" s="256"/>
      <c r="Y80" s="256"/>
      <c r="Z80" s="256"/>
      <c r="AA80" s="256"/>
      <c r="AB80" s="256">
        <f>SUM(UK_NO[[#This Row],[27M01]:[27M03]])</f>
        <v>0</v>
      </c>
      <c r="AC80" s="256">
        <f>SUM(UK_NO[[#This Row],[27M04]:[27M06]])</f>
        <v>0</v>
      </c>
      <c r="AD80" s="256" t="str">
        <f>IF(SUM(UK_NO[[#This Row],[26Q2]:[26Q4]])+SUM(UK_NO[[#This Row],[27Q1]:[27Q2]])=0,"No FSCT",IF(AND(SUM(UK_NO[[#This Row],[26Q2]:[26Q4]])&gt;0,SUM(UK_NO[[#This Row],[27Q1]:[27Q2]])=0),"YES","NO"))</f>
        <v>YES</v>
      </c>
      <c r="AE80" s="85" t="str">
        <f>VLOOKUP(UK_NO[[#This Row],[Product Line]],Prod_T6[],4,0)</f>
        <v>PV</v>
      </c>
      <c r="AH80" s="3" t="str">
        <v>7 - Booked</v>
      </c>
    </row>
    <row r="81" spans="1:34" ht="16.5" customHeight="1">
      <c r="A81" s="29" t="s">
        <v>56</v>
      </c>
      <c r="B81" s="1" t="s">
        <v>542</v>
      </c>
      <c r="C81" s="31" t="s">
        <v>512</v>
      </c>
      <c r="D81" s="2" t="str">
        <f>VLOOKUP(UK_NO[[#This Row],[Product Line]],Prod_T6[],5,0)</f>
        <v>TCL</v>
      </c>
      <c r="E81" s="2" t="s">
        <v>54</v>
      </c>
      <c r="F81" s="1" t="s">
        <v>170</v>
      </c>
      <c r="G81" s="1" t="s">
        <v>115</v>
      </c>
      <c r="H81" s="1" t="s">
        <v>543</v>
      </c>
      <c r="I81" s="40" t="s">
        <v>117</v>
      </c>
      <c r="J81" s="13"/>
      <c r="K81" s="13"/>
      <c r="L81" s="13"/>
      <c r="M81" s="13"/>
      <c r="N81" s="13"/>
      <c r="O81" s="13"/>
      <c r="P81" s="13">
        <v>1.9</v>
      </c>
      <c r="Q81" s="13"/>
      <c r="R81" s="13"/>
      <c r="S81" s="32">
        <f>SUM(UK_NO[[#This Row],[26M04]:[26M06]])</f>
        <v>0</v>
      </c>
      <c r="T81" s="69">
        <f>SUM(UK_NO[[#This Row],[26M07]:[26M09]])</f>
        <v>0</v>
      </c>
      <c r="U81" s="69">
        <f>SUM(UK_NO[[#This Row],[26M10]:[26M12]])</f>
        <v>1.9</v>
      </c>
      <c r="V81" s="256"/>
      <c r="W81" s="256"/>
      <c r="X81" s="256"/>
      <c r="Y81" s="256"/>
      <c r="Z81" s="256"/>
      <c r="AA81" s="256"/>
      <c r="AB81" s="256">
        <f>SUM(UK_NO[[#This Row],[27M01]:[27M03]])</f>
        <v>0</v>
      </c>
      <c r="AC81" s="256">
        <f>SUM(UK_NO[[#This Row],[27M04]:[27M06]])</f>
        <v>0</v>
      </c>
      <c r="AD81" s="256" t="str">
        <f>IF(SUM(UK_NO[[#This Row],[26Q2]:[26Q4]])+SUM(UK_NO[[#This Row],[27Q1]:[27Q2]])=0,"No FSCT",IF(AND(SUM(UK_NO[[#This Row],[26Q2]:[26Q4]])&gt;0,SUM(UK_NO[[#This Row],[27Q1]:[27Q2]])=0),"YES","NO"))</f>
        <v>YES</v>
      </c>
      <c r="AE81" s="120" t="str">
        <f>VLOOKUP(UK_NO[[#This Row],[Product Line]],Prod_T6[],4,0)</f>
        <v>PV</v>
      </c>
      <c r="AH81" s="3" t="str">
        <v>2 - Initial offer</v>
      </c>
    </row>
    <row r="82" spans="1:34" ht="16.5" customHeight="1">
      <c r="A82" s="29" t="s">
        <v>56</v>
      </c>
      <c r="B82" s="1" t="s">
        <v>542</v>
      </c>
      <c r="C82" s="31" t="s">
        <v>512</v>
      </c>
      <c r="D82" s="2" t="str">
        <f>VLOOKUP(UK_NO[[#This Row],[Product Line]],Prod_T6[],5,0)</f>
        <v>TCL</v>
      </c>
      <c r="E82" s="2" t="s">
        <v>141</v>
      </c>
      <c r="F82" s="1" t="s">
        <v>46</v>
      </c>
      <c r="G82" s="1" t="s">
        <v>115</v>
      </c>
      <c r="H82" s="1"/>
      <c r="I82" s="15" t="s">
        <v>117</v>
      </c>
      <c r="J82" s="13"/>
      <c r="K82" s="13"/>
      <c r="L82" s="13"/>
      <c r="M82" s="113">
        <v>1</v>
      </c>
      <c r="N82" s="113">
        <v>2</v>
      </c>
      <c r="O82" s="113">
        <v>2</v>
      </c>
      <c r="P82" s="13">
        <v>2</v>
      </c>
      <c r="Q82" s="13">
        <v>2</v>
      </c>
      <c r="R82" s="13">
        <v>2</v>
      </c>
      <c r="S82" s="32">
        <f>SUM(UK_NO[[#This Row],[26M04]:[26M06]])</f>
        <v>0</v>
      </c>
      <c r="T82" s="69">
        <f>SUM(UK_NO[[#This Row],[26M07]:[26M09]])</f>
        <v>5</v>
      </c>
      <c r="U82" s="69">
        <f>SUM(UK_NO[[#This Row],[26M10]:[26M12]])</f>
        <v>6</v>
      </c>
      <c r="V82" s="256"/>
      <c r="W82" s="256"/>
      <c r="X82" s="256"/>
      <c r="Y82" s="256"/>
      <c r="Z82" s="256"/>
      <c r="AA82" s="256"/>
      <c r="AB82" s="256">
        <f>SUM(UK_NO[[#This Row],[27M01]:[27M03]])</f>
        <v>0</v>
      </c>
      <c r="AC82" s="256">
        <f>SUM(UK_NO[[#This Row],[27M04]:[27M06]])</f>
        <v>0</v>
      </c>
      <c r="AD82" s="256" t="str">
        <f>IF(SUM(UK_NO[[#This Row],[26Q2]:[26Q4]])+SUM(UK_NO[[#This Row],[27Q1]:[27Q2]])=0,"No FSCT",IF(AND(SUM(UK_NO[[#This Row],[26Q2]:[26Q4]])&gt;0,SUM(UK_NO[[#This Row],[27Q1]:[27Q2]])=0),"YES","NO"))</f>
        <v>YES</v>
      </c>
      <c r="AE82" s="85" t="str">
        <f>VLOOKUP(UK_NO[[#This Row],[Product Line]],Prod_T6[],4,0)</f>
        <v>ESS</v>
      </c>
      <c r="AH82" s="3" t="str">
        <v>2 - Initial offer</v>
      </c>
    </row>
    <row r="83" spans="1:34" ht="16.5" customHeight="1">
      <c r="A83" s="29" t="s">
        <v>56</v>
      </c>
      <c r="B83" s="1" t="s">
        <v>540</v>
      </c>
      <c r="C83" s="31" t="s">
        <v>498</v>
      </c>
      <c r="D83" s="2" t="str">
        <f>VLOOKUP(UK_NO[[#This Row],[Product Line]],Prod_T6[],5,0)</f>
        <v>TCL</v>
      </c>
      <c r="E83" s="2" t="s">
        <v>54</v>
      </c>
      <c r="F83" s="1" t="s">
        <v>159</v>
      </c>
      <c r="G83" s="1" t="s">
        <v>213</v>
      </c>
      <c r="H83" s="1" t="s">
        <v>541</v>
      </c>
      <c r="I83" s="40" t="s">
        <v>117</v>
      </c>
      <c r="J83" s="13"/>
      <c r="K83" s="13">
        <v>2.34</v>
      </c>
      <c r="L83" s="13"/>
      <c r="M83" s="13">
        <v>2.34</v>
      </c>
      <c r="N83" s="13"/>
      <c r="O83" s="13"/>
      <c r="P83" s="13"/>
      <c r="Q83" s="13"/>
      <c r="R83" s="13"/>
      <c r="S83" s="32">
        <f>SUM(UK_NO[[#This Row],[26M04]:[26M06]])</f>
        <v>2.34</v>
      </c>
      <c r="T83" s="69">
        <f>SUM(UK_NO[[#This Row],[26M07]:[26M09]])</f>
        <v>2.34</v>
      </c>
      <c r="U83" s="69">
        <f>SUM(UK_NO[[#This Row],[26M10]:[26M12]])</f>
        <v>0</v>
      </c>
      <c r="V83" s="256"/>
      <c r="W83" s="256"/>
      <c r="X83" s="256"/>
      <c r="Y83" s="256"/>
      <c r="Z83" s="256"/>
      <c r="AA83" s="256"/>
      <c r="AB83" s="256">
        <f>SUM(UK_NO[[#This Row],[27M01]:[27M03]])</f>
        <v>0</v>
      </c>
      <c r="AC83" s="256">
        <f>SUM(UK_NO[[#This Row],[27M04]:[27M06]])</f>
        <v>0</v>
      </c>
      <c r="AD83" s="256" t="str">
        <f>IF(SUM(UK_NO[[#This Row],[26Q2]:[26Q4]])+SUM(UK_NO[[#This Row],[27Q1]:[27Q2]])=0,"No FSCT",IF(AND(SUM(UK_NO[[#This Row],[26Q2]:[26Q4]])&gt;0,SUM(UK_NO[[#This Row],[27Q1]:[27Q2]])=0),"YES","NO"))</f>
        <v>YES</v>
      </c>
      <c r="AE83" s="85" t="str">
        <f>VLOOKUP(UK_NO[[#This Row],[Product Line]],Prod_T6[],4,0)</f>
        <v>PV</v>
      </c>
      <c r="AH83" s="3" t="str">
        <v>1 - Lead qualification</v>
      </c>
    </row>
    <row r="84" spans="1:34" ht="16.5" customHeight="1">
      <c r="A84" s="29" t="s">
        <v>56</v>
      </c>
      <c r="B84" s="1" t="s">
        <v>540</v>
      </c>
      <c r="C84" s="31" t="s">
        <v>498</v>
      </c>
      <c r="D84" s="2" t="str">
        <f>VLOOKUP(UK_NO[[#This Row],[Product Line]],Prod_T6[],5,0)</f>
        <v>TCL</v>
      </c>
      <c r="E84" s="2" t="s">
        <v>149</v>
      </c>
      <c r="F84" s="1" t="s">
        <v>152</v>
      </c>
      <c r="G84" s="1" t="s">
        <v>213</v>
      </c>
      <c r="H84" s="1"/>
      <c r="I84" s="40" t="s">
        <v>117</v>
      </c>
      <c r="J84" s="13"/>
      <c r="K84" s="13">
        <v>1.72</v>
      </c>
      <c r="L84" s="13"/>
      <c r="M84" s="13">
        <v>1.72</v>
      </c>
      <c r="N84" s="13"/>
      <c r="O84" s="13"/>
      <c r="P84" s="13"/>
      <c r="Q84" s="13"/>
      <c r="R84" s="13"/>
      <c r="S84" s="32">
        <f>SUM(UK_NO[[#This Row],[26M04]:[26M06]])</f>
        <v>1.72</v>
      </c>
      <c r="T84" s="69">
        <f>SUM(UK_NO[[#This Row],[26M07]:[26M09]])</f>
        <v>1.72</v>
      </c>
      <c r="U84" s="69">
        <f>SUM(UK_NO[[#This Row],[26M10]:[26M12]])</f>
        <v>0</v>
      </c>
      <c r="V84" s="256"/>
      <c r="W84" s="256"/>
      <c r="X84" s="256"/>
      <c r="Y84" s="256"/>
      <c r="Z84" s="256"/>
      <c r="AA84" s="256"/>
      <c r="AB84" s="256">
        <f>SUM(UK_NO[[#This Row],[27M01]:[27M03]])</f>
        <v>0</v>
      </c>
      <c r="AC84" s="256">
        <f>SUM(UK_NO[[#This Row],[27M04]:[27M06]])</f>
        <v>0</v>
      </c>
      <c r="AD84" s="256" t="str">
        <f>IF(SUM(UK_NO[[#This Row],[26Q2]:[26Q4]])+SUM(UK_NO[[#This Row],[27Q1]:[27Q2]])=0,"No FSCT",IF(AND(SUM(UK_NO[[#This Row],[26Q2]:[26Q4]])&gt;0,SUM(UK_NO[[#This Row],[27Q1]:[27Q2]])=0),"YES","NO"))</f>
        <v>YES</v>
      </c>
      <c r="AE84" s="85" t="str">
        <f>VLOOKUP(UK_NO[[#This Row],[Product Line]],Prod_T6[],4,0)</f>
        <v>PV</v>
      </c>
      <c r="AH84" s="3" t="str">
        <v>1 - Lead qualification</v>
      </c>
    </row>
    <row r="85" spans="1:34" ht="16.5" customHeight="1">
      <c r="A85" s="29" t="s">
        <v>56</v>
      </c>
      <c r="B85" s="1" t="s">
        <v>538</v>
      </c>
      <c r="C85" s="31" t="s">
        <v>493</v>
      </c>
      <c r="D85" s="2" t="str">
        <f>VLOOKUP(UK_NO[[#This Row],[Product Line]],Prod_T6[],5,0)</f>
        <v>Sunpower</v>
      </c>
      <c r="E85" s="2" t="s">
        <v>118</v>
      </c>
      <c r="F85" s="1" t="s">
        <v>119</v>
      </c>
      <c r="G85" s="1" t="s">
        <v>130</v>
      </c>
      <c r="H85" s="1" t="s">
        <v>539</v>
      </c>
      <c r="I85" s="40" t="s">
        <v>117</v>
      </c>
      <c r="J85" s="13">
        <v>0.13</v>
      </c>
      <c r="K85" s="13">
        <v>0.13</v>
      </c>
      <c r="L85" s="13">
        <v>0.13</v>
      </c>
      <c r="M85" s="13">
        <v>0.13</v>
      </c>
      <c r="N85" s="13">
        <v>0</v>
      </c>
      <c r="O85" s="13">
        <v>0.13</v>
      </c>
      <c r="P85" s="13">
        <v>0.13</v>
      </c>
      <c r="Q85" s="13">
        <v>0</v>
      </c>
      <c r="R85" s="13">
        <v>0</v>
      </c>
      <c r="S85" s="32">
        <f>SUM(UK_NO[[#This Row],[26M04]:[26M06]])</f>
        <v>0.39</v>
      </c>
      <c r="T85" s="69">
        <f>SUM(UK_NO[[#This Row],[26M07]:[26M09]])</f>
        <v>0.26</v>
      </c>
      <c r="U85" s="69">
        <f>SUM(UK_NO[[#This Row],[26M10]:[26M12]])</f>
        <v>0.13</v>
      </c>
      <c r="V85" s="256"/>
      <c r="W85" s="256"/>
      <c r="X85" s="256"/>
      <c r="Y85" s="256"/>
      <c r="Z85" s="256"/>
      <c r="AA85" s="256"/>
      <c r="AB85" s="256">
        <f>SUM(UK_NO[[#This Row],[27M01]:[27M03]])</f>
        <v>0</v>
      </c>
      <c r="AC85" s="256">
        <f>SUM(UK_NO[[#This Row],[27M04]:[27M06]])</f>
        <v>0</v>
      </c>
      <c r="AD85" s="256" t="str">
        <f>IF(SUM(UK_NO[[#This Row],[26Q2]:[26Q4]])+SUM(UK_NO[[#This Row],[27Q1]:[27Q2]])=0,"No FSCT",IF(AND(SUM(UK_NO[[#This Row],[26Q2]:[26Q4]])&gt;0,SUM(UK_NO[[#This Row],[27Q1]:[27Q2]])=0),"YES","NO"))</f>
        <v>YES</v>
      </c>
      <c r="AE85" s="85" t="str">
        <f>VLOOKUP(UK_NO[[#This Row],[Product Line]],Prod_T6[],4,0)</f>
        <v>PV</v>
      </c>
      <c r="AH85" s="3" t="str">
        <v>7 - Booked</v>
      </c>
    </row>
    <row r="86" spans="1:34" ht="16.5" customHeight="1">
      <c r="A86" s="29" t="s">
        <v>56</v>
      </c>
      <c r="B86" s="1" t="s">
        <v>538</v>
      </c>
      <c r="C86" s="31" t="s">
        <v>493</v>
      </c>
      <c r="D86" s="2" t="str">
        <f>VLOOKUP(UK_NO[[#This Row],[Product Line]],Prod_T6[],5,0)</f>
        <v>Sunpower</v>
      </c>
      <c r="E86" s="2" t="s">
        <v>134</v>
      </c>
      <c r="F86" s="1" t="s">
        <v>135</v>
      </c>
      <c r="G86" s="1" t="s">
        <v>115</v>
      </c>
      <c r="H86" s="1" t="s">
        <v>539</v>
      </c>
      <c r="I86" s="40" t="s">
        <v>117</v>
      </c>
      <c r="J86" s="13">
        <v>0.13</v>
      </c>
      <c r="K86" s="13">
        <v>0.13</v>
      </c>
      <c r="L86" s="13">
        <v>0.13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0.14499999999999999</v>
      </c>
      <c r="S86" s="32"/>
      <c r="T86" s="69">
        <f>SUM(UK_NO[[#This Row],[26M07]:[26M09]])</f>
        <v>0</v>
      </c>
      <c r="U86" s="69">
        <f>SUM(UK_NO[[#This Row],[26M10]:[26M12]])</f>
        <v>0.14499999999999999</v>
      </c>
      <c r="V86" s="256"/>
      <c r="W86" s="256"/>
      <c r="X86" s="256"/>
      <c r="Y86" s="256"/>
      <c r="Z86" s="256"/>
      <c r="AA86" s="256"/>
      <c r="AB86" s="256">
        <f>SUM(UK_NO[[#This Row],[27M01]:[27M03]])</f>
        <v>0</v>
      </c>
      <c r="AC86" s="256">
        <f>SUM(UK_NO[[#This Row],[27M04]:[27M06]])</f>
        <v>0</v>
      </c>
      <c r="AD86" s="256" t="str">
        <f>IF(SUM(UK_NO[[#This Row],[26Q2]:[26Q4]])+SUM(UK_NO[[#This Row],[27Q1]:[27Q2]])=0,"No FSCT",IF(AND(SUM(UK_NO[[#This Row],[26Q2]:[26Q4]])&gt;0,SUM(UK_NO[[#This Row],[27Q1]:[27Q2]])=0),"YES","NO"))</f>
        <v>YES</v>
      </c>
      <c r="AE86" s="85" t="str">
        <f>VLOOKUP(UK_NO[[#This Row],[Product Line]],Prod_T6[],4,0)</f>
        <v>PV</v>
      </c>
      <c r="AH86" s="3" t="str">
        <v>2 - Initial offer</v>
      </c>
    </row>
    <row r="87" spans="1:34" ht="16.5" customHeight="1">
      <c r="A87" s="29" t="s">
        <v>56</v>
      </c>
      <c r="B87" s="1" t="s">
        <v>537</v>
      </c>
      <c r="C87" s="31" t="s">
        <v>512</v>
      </c>
      <c r="D87" s="2" t="str">
        <f>VLOOKUP(UK_NO[[#This Row],[Product Line]],Prod_T6[],5,0)</f>
        <v>Sunpower</v>
      </c>
      <c r="E87" s="2" t="s">
        <v>118</v>
      </c>
      <c r="F87" s="1" t="s">
        <v>119</v>
      </c>
      <c r="G87" s="1" t="s">
        <v>156</v>
      </c>
      <c r="H87" s="1"/>
      <c r="I87" s="40" t="s">
        <v>117</v>
      </c>
      <c r="J87" s="13">
        <v>4.1000000000000002E-2</v>
      </c>
      <c r="K87" s="13">
        <v>4.1000000000000002E-2</v>
      </c>
      <c r="L87" s="13">
        <v>4.1000000000000002E-2</v>
      </c>
      <c r="M87" s="13">
        <v>4.1000000000000002E-2</v>
      </c>
      <c r="N87" s="13">
        <v>4.1000000000000002E-2</v>
      </c>
      <c r="O87" s="13">
        <v>4.1000000000000002E-2</v>
      </c>
      <c r="P87" s="13">
        <v>4.1000000000000002E-2</v>
      </c>
      <c r="Q87" s="13">
        <v>4.1000000000000002E-2</v>
      </c>
      <c r="R87" s="13">
        <v>4.1000000000000002E-2</v>
      </c>
      <c r="S87" s="32">
        <f>SUM(UK_NO[[#This Row],[26M04]:[26M06]])</f>
        <v>0.123</v>
      </c>
      <c r="T87" s="69">
        <f>SUM(UK_NO[[#This Row],[26M07]:[26M09]])</f>
        <v>0.123</v>
      </c>
      <c r="U87" s="69">
        <f>SUM(UK_NO[[#This Row],[26M10]:[26M12]])</f>
        <v>0.123</v>
      </c>
      <c r="V87" s="256"/>
      <c r="W87" s="256"/>
      <c r="X87" s="256"/>
      <c r="Y87" s="256"/>
      <c r="Z87" s="256"/>
      <c r="AA87" s="256"/>
      <c r="AB87" s="256">
        <f>SUM(UK_NO[[#This Row],[27M01]:[27M03]])</f>
        <v>0</v>
      </c>
      <c r="AC87" s="256">
        <f>SUM(UK_NO[[#This Row],[27M04]:[27M06]])</f>
        <v>0</v>
      </c>
      <c r="AD87" s="256" t="str">
        <f>IF(SUM(UK_NO[[#This Row],[26Q2]:[26Q4]])+SUM(UK_NO[[#This Row],[27Q1]:[27Q2]])=0,"No FSCT",IF(AND(SUM(UK_NO[[#This Row],[26Q2]:[26Q4]])&gt;0,SUM(UK_NO[[#This Row],[27Q1]:[27Q2]])=0),"YES","NO"))</f>
        <v>YES</v>
      </c>
      <c r="AE87" s="85" t="str">
        <f>VLOOKUP(UK_NO[[#This Row],[Product Line]],Prod_T6[],4,0)</f>
        <v>PV</v>
      </c>
      <c r="AH87" s="3" t="str">
        <v>6 - Won</v>
      </c>
    </row>
    <row r="88" spans="1:34" ht="16.5" customHeight="1">
      <c r="A88" s="29" t="s">
        <v>56</v>
      </c>
      <c r="B88" s="1" t="s">
        <v>537</v>
      </c>
      <c r="C88" s="31" t="s">
        <v>512</v>
      </c>
      <c r="D88" s="2" t="str">
        <f>VLOOKUP(UK_NO[[#This Row],[Product Line]],Prod_T6[],5,0)</f>
        <v>Sunpower</v>
      </c>
      <c r="E88" s="2" t="s">
        <v>118</v>
      </c>
      <c r="F88" s="1" t="s">
        <v>180</v>
      </c>
      <c r="G88" s="1" t="s">
        <v>156</v>
      </c>
      <c r="H88" s="1"/>
      <c r="I88" s="40" t="s">
        <v>117</v>
      </c>
      <c r="J88" s="13">
        <v>3.6999999999999998E-2</v>
      </c>
      <c r="K88" s="13">
        <v>3.6999999999999998E-2</v>
      </c>
      <c r="L88" s="13">
        <v>3.6999999999999998E-2</v>
      </c>
      <c r="M88" s="13">
        <v>3.6999999999999998E-2</v>
      </c>
      <c r="N88" s="13">
        <v>3.6999999999999998E-2</v>
      </c>
      <c r="O88" s="13">
        <v>3.6999999999999998E-2</v>
      </c>
      <c r="P88" s="13">
        <v>3.6999999999999998E-2</v>
      </c>
      <c r="Q88" s="13">
        <v>3.6999999999999998E-2</v>
      </c>
      <c r="R88" s="13">
        <v>3.6999999999999998E-2</v>
      </c>
      <c r="S88" s="32">
        <f>SUM(UK_NO[[#This Row],[26M04]:[26M06]])</f>
        <v>0.11099999999999999</v>
      </c>
      <c r="T88" s="69">
        <f>SUM(UK_NO[[#This Row],[26M07]:[26M09]])</f>
        <v>0.11099999999999999</v>
      </c>
      <c r="U88" s="69">
        <f>SUM(UK_NO[[#This Row],[26M10]:[26M12]])</f>
        <v>0.11099999999999999</v>
      </c>
      <c r="V88" s="256"/>
      <c r="W88" s="256"/>
      <c r="X88" s="256"/>
      <c r="Y88" s="256"/>
      <c r="Z88" s="256"/>
      <c r="AA88" s="256"/>
      <c r="AB88" s="256">
        <f>SUM(UK_NO[[#This Row],[27M01]:[27M03]])</f>
        <v>0</v>
      </c>
      <c r="AC88" s="256">
        <f>SUM(UK_NO[[#This Row],[27M04]:[27M06]])</f>
        <v>0</v>
      </c>
      <c r="AD88" s="256" t="str">
        <f>IF(SUM(UK_NO[[#This Row],[26Q2]:[26Q4]])+SUM(UK_NO[[#This Row],[27Q1]:[27Q2]])=0,"No FSCT",IF(AND(SUM(UK_NO[[#This Row],[26Q2]:[26Q4]])&gt;0,SUM(UK_NO[[#This Row],[27Q1]:[27Q2]])=0),"YES","NO"))</f>
        <v>YES</v>
      </c>
      <c r="AE88" s="85" t="str">
        <f>VLOOKUP(UK_NO[[#This Row],[Product Line]],Prod_T6[],4,0)</f>
        <v>PV</v>
      </c>
      <c r="AH88" s="3" t="str">
        <v>6 - Won</v>
      </c>
    </row>
    <row r="89" spans="1:34" ht="16.5" customHeight="1">
      <c r="A89" s="29" t="s">
        <v>56</v>
      </c>
      <c r="B89" s="1" t="s">
        <v>535</v>
      </c>
      <c r="C89" s="31" t="s">
        <v>493</v>
      </c>
      <c r="D89" s="2" t="str">
        <f>VLOOKUP(UK_NO[[#This Row],[Product Line]],Prod_T6[],5,0)</f>
        <v>Sunpower</v>
      </c>
      <c r="E89" s="2" t="s">
        <v>118</v>
      </c>
      <c r="F89" s="1" t="s">
        <v>145</v>
      </c>
      <c r="G89" s="1" t="s">
        <v>130</v>
      </c>
      <c r="H89" s="1" t="s">
        <v>536</v>
      </c>
      <c r="I89" s="40" t="s">
        <v>117</v>
      </c>
      <c r="J89" s="13">
        <v>0.03</v>
      </c>
      <c r="K89" s="13">
        <v>0</v>
      </c>
      <c r="L89" s="13">
        <v>0.03</v>
      </c>
      <c r="M89" s="13">
        <v>0</v>
      </c>
      <c r="N89" s="13">
        <v>0</v>
      </c>
      <c r="O89" s="13">
        <v>0.03</v>
      </c>
      <c r="P89" s="13">
        <v>0.03</v>
      </c>
      <c r="Q89" s="13">
        <v>0.03</v>
      </c>
      <c r="R89" s="13">
        <v>0</v>
      </c>
      <c r="S89" s="32">
        <f>SUM(UK_NO[[#This Row],[26M04]:[26M06]])</f>
        <v>0.06</v>
      </c>
      <c r="T89" s="69">
        <f>SUM(UK_NO[[#This Row],[26M07]:[26M09]])</f>
        <v>0.03</v>
      </c>
      <c r="U89" s="69">
        <f>SUM(UK_NO[[#This Row],[26M10]:[26M12]])</f>
        <v>0.06</v>
      </c>
      <c r="V89" s="256"/>
      <c r="W89" s="256"/>
      <c r="X89" s="256"/>
      <c r="Y89" s="256"/>
      <c r="Z89" s="256"/>
      <c r="AA89" s="256"/>
      <c r="AB89" s="256">
        <f>SUM(UK_NO[[#This Row],[27M01]:[27M03]])</f>
        <v>0</v>
      </c>
      <c r="AC89" s="256">
        <f>SUM(UK_NO[[#This Row],[27M04]:[27M06]])</f>
        <v>0</v>
      </c>
      <c r="AD89" s="256" t="str">
        <f>IF(SUM(UK_NO[[#This Row],[26Q2]:[26Q4]])+SUM(UK_NO[[#This Row],[27Q1]:[27Q2]])=0,"No FSCT",IF(AND(SUM(UK_NO[[#This Row],[26Q2]:[26Q4]])&gt;0,SUM(UK_NO[[#This Row],[27Q1]:[27Q2]])=0),"YES","NO"))</f>
        <v>YES</v>
      </c>
      <c r="AE89" s="85" t="str">
        <f>VLOOKUP(UK_NO[[#This Row],[Product Line]],Prod_T6[],4,0)</f>
        <v>PV</v>
      </c>
      <c r="AH89" s="3" t="str">
        <v>7 - Booked</v>
      </c>
    </row>
    <row r="90" spans="1:34" ht="16.5" customHeight="1">
      <c r="A90" s="29" t="s">
        <v>56</v>
      </c>
      <c r="B90" s="1" t="s">
        <v>533</v>
      </c>
      <c r="C90" s="31" t="s">
        <v>493</v>
      </c>
      <c r="D90" s="2" t="str">
        <f>VLOOKUP(UK_NO[[#This Row],[Product Line]],Prod_T6[],5,0)</f>
        <v>Sunpower</v>
      </c>
      <c r="E90" s="2" t="s">
        <v>118</v>
      </c>
      <c r="F90" s="1" t="s">
        <v>180</v>
      </c>
      <c r="G90" s="1" t="s">
        <v>130</v>
      </c>
      <c r="H90" s="1" t="s">
        <v>534</v>
      </c>
      <c r="I90" s="15" t="s">
        <v>117</v>
      </c>
      <c r="J90" s="13">
        <v>0.13</v>
      </c>
      <c r="K90" s="13">
        <v>0.13</v>
      </c>
      <c r="L90" s="13">
        <v>0.13</v>
      </c>
      <c r="M90" s="13">
        <v>0.13</v>
      </c>
      <c r="N90" s="13">
        <v>0.13</v>
      </c>
      <c r="O90" s="13">
        <v>0.13</v>
      </c>
      <c r="P90" s="13">
        <v>0.13</v>
      </c>
      <c r="Q90" s="13">
        <v>0.13</v>
      </c>
      <c r="R90" s="13">
        <v>0.13</v>
      </c>
      <c r="S90" s="32">
        <f>SUM(UK_NO[[#This Row],[26M04]:[26M06]])</f>
        <v>0.39</v>
      </c>
      <c r="T90" s="69">
        <f>SUM(UK_NO[[#This Row],[26M07]:[26M09]])</f>
        <v>0.39</v>
      </c>
      <c r="U90" s="69">
        <f>SUM(UK_NO[[#This Row],[26M10]:[26M12]])</f>
        <v>0.39</v>
      </c>
      <c r="V90" s="256"/>
      <c r="W90" s="256"/>
      <c r="X90" s="256"/>
      <c r="Y90" s="256"/>
      <c r="Z90" s="256"/>
      <c r="AA90" s="256"/>
      <c r="AB90" s="256">
        <f>SUM(UK_NO[[#This Row],[27M01]:[27M03]])</f>
        <v>0</v>
      </c>
      <c r="AC90" s="256">
        <f>SUM(UK_NO[[#This Row],[27M04]:[27M06]])</f>
        <v>0</v>
      </c>
      <c r="AD90" s="256" t="str">
        <f>IF(SUM(UK_NO[[#This Row],[26Q2]:[26Q4]])+SUM(UK_NO[[#This Row],[27Q1]:[27Q2]])=0,"No FSCT",IF(AND(SUM(UK_NO[[#This Row],[26Q2]:[26Q4]])&gt;0,SUM(UK_NO[[#This Row],[27Q1]:[27Q2]])=0),"YES","NO"))</f>
        <v>YES</v>
      </c>
      <c r="AE90" s="85" t="str">
        <f>VLOOKUP(UK_NO[[#This Row],[Product Line]],Prod_T6[],4,0)</f>
        <v>PV</v>
      </c>
      <c r="AH90" s="3" t="str">
        <v>7 - Booked</v>
      </c>
    </row>
    <row r="91" spans="1:34" ht="16.5" customHeight="1">
      <c r="A91" s="29" t="s">
        <v>56</v>
      </c>
      <c r="B91" s="1" t="s">
        <v>533</v>
      </c>
      <c r="C91" s="31" t="s">
        <v>493</v>
      </c>
      <c r="D91" s="2" t="str">
        <f>VLOOKUP(UK_NO[[#This Row],[Product Line]],Prod_T6[],5,0)</f>
        <v>Sunpower</v>
      </c>
      <c r="E91" s="2" t="s">
        <v>134</v>
      </c>
      <c r="F91" s="1" t="s">
        <v>135</v>
      </c>
      <c r="G91" s="1" t="s">
        <v>115</v>
      </c>
      <c r="H91" s="1" t="s">
        <v>534</v>
      </c>
      <c r="I91" s="15" t="s">
        <v>117</v>
      </c>
      <c r="J91" s="13">
        <v>0.13</v>
      </c>
      <c r="K91" s="13">
        <v>0.13</v>
      </c>
      <c r="L91" s="13">
        <v>0.13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0.14499999999999999</v>
      </c>
      <c r="S91" s="32"/>
      <c r="T91" s="69">
        <f>SUM(UK_NO[[#This Row],[26M07]:[26M09]])</f>
        <v>0</v>
      </c>
      <c r="U91" s="69">
        <f>SUM(UK_NO[[#This Row],[26M10]:[26M12]])</f>
        <v>0.14499999999999999</v>
      </c>
      <c r="V91" s="256"/>
      <c r="W91" s="256"/>
      <c r="X91" s="256"/>
      <c r="Y91" s="256"/>
      <c r="Z91" s="256"/>
      <c r="AA91" s="256"/>
      <c r="AB91" s="256">
        <f>SUM(UK_NO[[#This Row],[27M01]:[27M03]])</f>
        <v>0</v>
      </c>
      <c r="AC91" s="256">
        <f>SUM(UK_NO[[#This Row],[27M04]:[27M06]])</f>
        <v>0</v>
      </c>
      <c r="AD91" s="256" t="str">
        <f>IF(SUM(UK_NO[[#This Row],[26Q2]:[26Q4]])+SUM(UK_NO[[#This Row],[27Q1]:[27Q2]])=0,"No FSCT",IF(AND(SUM(UK_NO[[#This Row],[26Q2]:[26Q4]])&gt;0,SUM(UK_NO[[#This Row],[27Q1]:[27Q2]])=0),"YES","NO"))</f>
        <v>YES</v>
      </c>
      <c r="AE91" s="85" t="str">
        <f>VLOOKUP(UK_NO[[#This Row],[Product Line]],Prod_T6[],4,0)</f>
        <v>PV</v>
      </c>
      <c r="AH91" s="3" t="str">
        <v>2 - Initial offer</v>
      </c>
    </row>
    <row r="92" spans="1:34" ht="16.5" customHeight="1">
      <c r="A92" s="14" t="s">
        <v>56</v>
      </c>
      <c r="B92" s="1" t="s">
        <v>527</v>
      </c>
      <c r="C92" s="31" t="s">
        <v>512</v>
      </c>
      <c r="D92" s="2" t="str">
        <f>VLOOKUP(UK_NO[[#This Row],[Product Line]],Prod_T6[],5,0)</f>
        <v>TCL</v>
      </c>
      <c r="E92" s="2" t="s">
        <v>113</v>
      </c>
      <c r="F92" s="1" t="s">
        <v>153</v>
      </c>
      <c r="G92" s="1" t="s">
        <v>130</v>
      </c>
      <c r="H92" s="1" t="s">
        <v>532</v>
      </c>
      <c r="I92" s="40" t="s">
        <v>117</v>
      </c>
      <c r="J92" s="13"/>
      <c r="K92" s="13"/>
      <c r="L92" s="13"/>
      <c r="M92" s="13">
        <v>0.47099999999999997</v>
      </c>
      <c r="N92" s="13"/>
      <c r="O92" s="13"/>
      <c r="P92" s="13">
        <v>5.2</v>
      </c>
      <c r="Q92" s="13"/>
      <c r="R92" s="13"/>
      <c r="S92" s="32">
        <f>SUM(UK_NO[[#This Row],[26M04]:[26M06]])</f>
        <v>0</v>
      </c>
      <c r="T92" s="69">
        <f>SUM(UK_NO[[#This Row],[26M07]:[26M09]])</f>
        <v>0.47099999999999997</v>
      </c>
      <c r="U92" s="69">
        <f>SUM(UK_NO[[#This Row],[26M10]:[26M12]])</f>
        <v>5.2</v>
      </c>
      <c r="V92" s="256"/>
      <c r="W92" s="256"/>
      <c r="X92" s="256"/>
      <c r="Y92" s="256"/>
      <c r="Z92" s="256"/>
      <c r="AA92" s="256"/>
      <c r="AB92" s="256">
        <f>SUM(UK_NO[[#This Row],[27M01]:[27M03]])</f>
        <v>0</v>
      </c>
      <c r="AC92" s="256">
        <f>SUM(UK_NO[[#This Row],[27M04]:[27M06]])</f>
        <v>0</v>
      </c>
      <c r="AD92" s="256" t="str">
        <f>IF(SUM(UK_NO[[#This Row],[26Q2]:[26Q4]])+SUM(UK_NO[[#This Row],[27Q1]:[27Q2]])=0,"No FSCT",IF(AND(SUM(UK_NO[[#This Row],[26Q2]:[26Q4]])&gt;0,SUM(UK_NO[[#This Row],[27Q1]:[27Q2]])=0),"YES","NO"))</f>
        <v>YES</v>
      </c>
      <c r="AE92" s="85" t="str">
        <f>VLOOKUP(UK_NO[[#This Row],[Product Line]],Prod_T6[],4,0)</f>
        <v>PV</v>
      </c>
      <c r="AH92" s="3" t="str">
        <v>7 - Booked</v>
      </c>
    </row>
    <row r="93" spans="1:34" ht="16.5" customHeight="1">
      <c r="A93" s="14" t="s">
        <v>56</v>
      </c>
      <c r="B93" s="1" t="s">
        <v>527</v>
      </c>
      <c r="C93" s="31" t="s">
        <v>498</v>
      </c>
      <c r="D93" s="2" t="str">
        <f>VLOOKUP(UK_NO[[#This Row],[Product Line]],Prod_T6[],5,0)</f>
        <v>TCL</v>
      </c>
      <c r="E93" s="2" t="s">
        <v>113</v>
      </c>
      <c r="F93" s="1" t="s">
        <v>153</v>
      </c>
      <c r="G93" s="1" t="s">
        <v>136</v>
      </c>
      <c r="H93" s="1" t="s">
        <v>531</v>
      </c>
      <c r="I93" s="15" t="s">
        <v>117</v>
      </c>
      <c r="J93" s="13"/>
      <c r="K93" s="13"/>
      <c r="L93" s="13"/>
      <c r="M93" s="113"/>
      <c r="N93" s="113"/>
      <c r="O93" s="113"/>
      <c r="P93" s="13"/>
      <c r="Q93" s="13">
        <v>4.5</v>
      </c>
      <c r="R93" s="13"/>
      <c r="S93" s="32">
        <f>SUM(UK_NO[[#This Row],[26M04]:[26M06]])</f>
        <v>0</v>
      </c>
      <c r="T93" s="69">
        <f>SUM(UK_NO[[#This Row],[26M07]:[26M09]])</f>
        <v>0</v>
      </c>
      <c r="U93" s="69">
        <f>SUM(UK_NO[[#This Row],[26M10]:[26M12]])</f>
        <v>4.5</v>
      </c>
      <c r="V93" s="256"/>
      <c r="W93" s="256"/>
      <c r="X93" s="256"/>
      <c r="Y93" s="256"/>
      <c r="Z93" s="256"/>
      <c r="AA93" s="256"/>
      <c r="AB93" s="256">
        <f>SUM(UK_NO[[#This Row],[27M01]:[27M03]])</f>
        <v>0</v>
      </c>
      <c r="AC93" s="256">
        <f>SUM(UK_NO[[#This Row],[27M04]:[27M06]])</f>
        <v>0</v>
      </c>
      <c r="AD93" s="256" t="str">
        <f>IF(SUM(UK_NO[[#This Row],[26Q2]:[26Q4]])+SUM(UK_NO[[#This Row],[27Q1]:[27Q2]])=0,"No FSCT",IF(AND(SUM(UK_NO[[#This Row],[26Q2]:[26Q4]])&gt;0,SUM(UK_NO[[#This Row],[27Q1]:[27Q2]])=0),"YES","NO"))</f>
        <v>YES</v>
      </c>
      <c r="AE93" s="120" t="str">
        <f>VLOOKUP(UK_NO[[#This Row],[Product Line]],Prod_T6[],4,0)</f>
        <v>PV</v>
      </c>
      <c r="AH93" s="3" t="str">
        <v>3 - Negotiation</v>
      </c>
    </row>
    <row r="94" spans="1:34" ht="16.5" customHeight="1">
      <c r="A94" s="14" t="s">
        <v>56</v>
      </c>
      <c r="B94" s="1" t="s">
        <v>527</v>
      </c>
      <c r="C94" s="31" t="s">
        <v>512</v>
      </c>
      <c r="D94" s="2" t="str">
        <f>VLOOKUP(UK_NO[[#This Row],[Product Line]],Prod_T6[],5,0)</f>
        <v>TCL</v>
      </c>
      <c r="E94" s="2" t="s">
        <v>54</v>
      </c>
      <c r="F94" s="1" t="s">
        <v>121</v>
      </c>
      <c r="G94" s="1" t="s">
        <v>120</v>
      </c>
      <c r="H94" s="1" t="s">
        <v>530</v>
      </c>
      <c r="I94" s="40" t="s">
        <v>117</v>
      </c>
      <c r="J94" s="13"/>
      <c r="K94" s="13"/>
      <c r="L94" s="13"/>
      <c r="M94" s="13"/>
      <c r="N94" s="13">
        <v>2</v>
      </c>
      <c r="O94" s="13">
        <v>2</v>
      </c>
      <c r="P94" s="13"/>
      <c r="Q94" s="13"/>
      <c r="R94" s="13"/>
      <c r="S94" s="32">
        <f>SUM(UK_NO[[#This Row],[26M04]:[26M06]])</f>
        <v>0</v>
      </c>
      <c r="T94" s="69">
        <f>SUM(UK_NO[[#This Row],[26M07]:[26M09]])</f>
        <v>4</v>
      </c>
      <c r="U94" s="69">
        <f>SUM(UK_NO[[#This Row],[26M10]:[26M12]])</f>
        <v>0</v>
      </c>
      <c r="V94" s="256"/>
      <c r="W94" s="256"/>
      <c r="X94" s="256"/>
      <c r="Y94" s="256"/>
      <c r="Z94" s="256"/>
      <c r="AA94" s="256"/>
      <c r="AB94" s="256">
        <f>SUM(UK_NO[[#This Row],[27M01]:[27M03]])</f>
        <v>0</v>
      </c>
      <c r="AC94" s="256">
        <f>SUM(UK_NO[[#This Row],[27M04]:[27M06]])</f>
        <v>0</v>
      </c>
      <c r="AD94" s="256" t="str">
        <f>IF(SUM(UK_NO[[#This Row],[26Q2]:[26Q4]])+SUM(UK_NO[[#This Row],[27Q1]:[27Q2]])=0,"No FSCT",IF(AND(SUM(UK_NO[[#This Row],[26Q2]:[26Q4]])&gt;0,SUM(UK_NO[[#This Row],[27Q1]:[27Q2]])=0),"YES","NO"))</f>
        <v>YES</v>
      </c>
      <c r="AE94" s="120" t="str">
        <f>VLOOKUP(UK_NO[[#This Row],[Product Line]],Prod_T6[],4,0)</f>
        <v>PV</v>
      </c>
      <c r="AH94" s="3" t="str">
        <v>5 - Finalize contract</v>
      </c>
    </row>
    <row r="95" spans="1:34" ht="16.5" customHeight="1">
      <c r="A95" s="14" t="s">
        <v>56</v>
      </c>
      <c r="B95" s="1" t="s">
        <v>527</v>
      </c>
      <c r="C95" s="31" t="s">
        <v>512</v>
      </c>
      <c r="D95" s="2" t="str">
        <f>VLOOKUP(UK_NO[[#This Row],[Product Line]],Prod_T6[],5,0)</f>
        <v>TCL</v>
      </c>
      <c r="E95" s="2" t="s">
        <v>54</v>
      </c>
      <c r="F95" s="1" t="s">
        <v>528</v>
      </c>
      <c r="G95" s="1" t="s">
        <v>115</v>
      </c>
      <c r="H95" s="1" t="s">
        <v>529</v>
      </c>
      <c r="I95" s="40" t="s">
        <v>117</v>
      </c>
      <c r="J95" s="13"/>
      <c r="K95" s="13"/>
      <c r="L95" s="13"/>
      <c r="M95" s="13">
        <v>11.5</v>
      </c>
      <c r="N95" s="13"/>
      <c r="O95" s="13"/>
      <c r="P95" s="13"/>
      <c r="Q95" s="13"/>
      <c r="R95" s="13"/>
      <c r="S95" s="32">
        <f>SUM(UK_NO[[#This Row],[26M04]:[26M06]])</f>
        <v>0</v>
      </c>
      <c r="T95" s="69">
        <f>SUM(UK_NO[[#This Row],[26M07]:[26M09]])</f>
        <v>11.5</v>
      </c>
      <c r="U95" s="69">
        <f>SUM(UK_NO[[#This Row],[26M10]:[26M12]])</f>
        <v>0</v>
      </c>
      <c r="V95" s="256"/>
      <c r="W95" s="256"/>
      <c r="X95" s="256"/>
      <c r="Y95" s="256"/>
      <c r="Z95" s="256"/>
      <c r="AA95" s="256"/>
      <c r="AB95" s="256">
        <f>SUM(UK_NO[[#This Row],[27M01]:[27M03]])</f>
        <v>0</v>
      </c>
      <c r="AC95" s="256">
        <f>SUM(UK_NO[[#This Row],[27M04]:[27M06]])</f>
        <v>0</v>
      </c>
      <c r="AD95" s="256" t="str">
        <f>IF(SUM(UK_NO[[#This Row],[26Q2]:[26Q4]])+SUM(UK_NO[[#This Row],[27Q1]:[27Q2]])=0,"No FSCT",IF(AND(SUM(UK_NO[[#This Row],[26Q2]:[26Q4]])&gt;0,SUM(UK_NO[[#This Row],[27Q1]:[27Q2]])=0),"YES","NO"))</f>
        <v>YES</v>
      </c>
      <c r="AE95" s="120" t="str">
        <f>VLOOKUP(UK_NO[[#This Row],[Product Line]],Prod_T6[],4,0)</f>
        <v>PV</v>
      </c>
      <c r="AH95" s="3" t="str">
        <v>2 - Initial offer</v>
      </c>
    </row>
    <row r="96" spans="1:34" ht="16.5" customHeight="1">
      <c r="A96" s="29" t="s">
        <v>56</v>
      </c>
      <c r="B96" s="1" t="s">
        <v>525</v>
      </c>
      <c r="C96" s="31" t="s">
        <v>512</v>
      </c>
      <c r="D96" s="2" t="str">
        <f>VLOOKUP(UK_NO[[#This Row],[Product Line]],Prod_T6[],5,0)</f>
        <v>TCL</v>
      </c>
      <c r="E96" s="2" t="s">
        <v>149</v>
      </c>
      <c r="F96" s="1" t="s">
        <v>152</v>
      </c>
      <c r="G96" s="1" t="s">
        <v>136</v>
      </c>
      <c r="H96" s="1" t="s">
        <v>526</v>
      </c>
      <c r="I96" s="40" t="s">
        <v>117</v>
      </c>
      <c r="J96" s="13"/>
      <c r="K96" s="13"/>
      <c r="L96" s="13"/>
      <c r="M96" s="13"/>
      <c r="N96" s="13"/>
      <c r="O96" s="13"/>
      <c r="P96" s="13"/>
      <c r="Q96" s="13">
        <v>0.82399999999999995</v>
      </c>
      <c r="R96" s="13">
        <v>0.82399999999999995</v>
      </c>
      <c r="S96" s="32">
        <f>SUM(UK_NO[[#This Row],[26M04]:[26M06]])</f>
        <v>0</v>
      </c>
      <c r="T96" s="69">
        <f>SUM(UK_NO[[#This Row],[26M07]:[26M09]])</f>
        <v>0</v>
      </c>
      <c r="U96" s="69">
        <f>SUM(UK_NO[[#This Row],[26M10]:[26M12]])</f>
        <v>1.6479999999999999</v>
      </c>
      <c r="V96" s="256"/>
      <c r="W96" s="256"/>
      <c r="X96" s="256"/>
      <c r="Y96" s="256"/>
      <c r="Z96" s="256"/>
      <c r="AA96" s="256"/>
      <c r="AB96" s="256">
        <f>SUM(UK_NO[[#This Row],[27M01]:[27M03]])</f>
        <v>0</v>
      </c>
      <c r="AC96" s="256">
        <f>SUM(UK_NO[[#This Row],[27M04]:[27M06]])</f>
        <v>0</v>
      </c>
      <c r="AD96" s="256" t="str">
        <f>IF(SUM(UK_NO[[#This Row],[26Q2]:[26Q4]])+SUM(UK_NO[[#This Row],[27Q1]:[27Q2]])=0,"No FSCT",IF(AND(SUM(UK_NO[[#This Row],[26Q2]:[26Q4]])&gt;0,SUM(UK_NO[[#This Row],[27Q1]:[27Q2]])=0),"YES","NO"))</f>
        <v>YES</v>
      </c>
      <c r="AE96" s="85" t="str">
        <f>VLOOKUP(UK_NO[[#This Row],[Product Line]],Prod_T6[],4,0)</f>
        <v>PV</v>
      </c>
      <c r="AH96" s="3" t="str">
        <v>3 - Negotiation</v>
      </c>
    </row>
    <row r="97" spans="1:34" ht="16.5" customHeight="1">
      <c r="A97" s="29" t="s">
        <v>56</v>
      </c>
      <c r="B97" s="1" t="s">
        <v>573</v>
      </c>
      <c r="C97" s="31" t="s">
        <v>493</v>
      </c>
      <c r="D97" s="2" t="str">
        <f>VLOOKUP(UK_NO[[#This Row],[Product Line]],Prod_T6[],5,0)</f>
        <v>Sunpower</v>
      </c>
      <c r="E97" s="2" t="s">
        <v>118</v>
      </c>
      <c r="F97" s="1" t="s">
        <v>119</v>
      </c>
      <c r="G97" s="1" t="s">
        <v>130</v>
      </c>
      <c r="H97" s="1" t="s">
        <v>574</v>
      </c>
      <c r="I97" s="40" t="s">
        <v>117</v>
      </c>
      <c r="J97" s="13">
        <v>0</v>
      </c>
      <c r="K97" s="13">
        <v>0</v>
      </c>
      <c r="L97" s="13">
        <v>0.56999999999999995</v>
      </c>
      <c r="M97" s="13">
        <v>0</v>
      </c>
      <c r="N97" s="13">
        <v>0</v>
      </c>
      <c r="O97" s="13">
        <v>0</v>
      </c>
      <c r="P97" s="13">
        <v>0</v>
      </c>
      <c r="Q97" s="13">
        <v>0.125</v>
      </c>
      <c r="R97" s="13">
        <v>0</v>
      </c>
      <c r="S97" s="32">
        <f>SUM(UK_NO[[#This Row],[26M04]:[26M06]])</f>
        <v>0.56999999999999995</v>
      </c>
      <c r="T97" s="69">
        <f>SUM(UK_NO[[#This Row],[26M07]:[26M09]])</f>
        <v>0</v>
      </c>
      <c r="U97" s="69">
        <f>SUM(UK_NO[[#This Row],[26M10]:[26M12]])</f>
        <v>0.125</v>
      </c>
      <c r="V97" s="256"/>
      <c r="W97" s="256"/>
      <c r="X97" s="256"/>
      <c r="Y97" s="256"/>
      <c r="Z97" s="256"/>
      <c r="AA97" s="256"/>
      <c r="AB97" s="256">
        <f>SUM(UK_NO[[#This Row],[27M01]:[27M03]])</f>
        <v>0</v>
      </c>
      <c r="AC97" s="256">
        <f>SUM(UK_NO[[#This Row],[27M04]:[27M06]])</f>
        <v>0</v>
      </c>
      <c r="AD97" s="256" t="str">
        <f>IF(SUM(UK_NO[[#This Row],[26Q2]:[26Q4]])+SUM(UK_NO[[#This Row],[27Q1]:[27Q2]])=0,"No FSCT",IF(AND(SUM(UK_NO[[#This Row],[26Q2]:[26Q4]])&gt;0,SUM(UK_NO[[#This Row],[27Q1]:[27Q2]])=0),"YES","NO"))</f>
        <v>YES</v>
      </c>
      <c r="AE97" s="85" t="str">
        <f>VLOOKUP(UK_NO[[#This Row],[Product Line]],Prod_T6[],4,0)</f>
        <v>PV</v>
      </c>
      <c r="AH97" s="3" t="str">
        <v>7 - Booked</v>
      </c>
    </row>
    <row r="98" spans="1:34" ht="16.5" customHeight="1">
      <c r="A98" s="29" t="s">
        <v>56</v>
      </c>
      <c r="B98" s="1" t="s">
        <v>573</v>
      </c>
      <c r="C98" s="31" t="s">
        <v>493</v>
      </c>
      <c r="D98" s="2" t="str">
        <f>VLOOKUP(UK_NO[[#This Row],[Product Line]],Prod_T6[],5,0)</f>
        <v>TCL</v>
      </c>
      <c r="E98" s="2" t="s">
        <v>314</v>
      </c>
      <c r="F98" s="1" t="s">
        <v>315</v>
      </c>
      <c r="G98" s="1" t="s">
        <v>136</v>
      </c>
      <c r="H98" s="1" t="s">
        <v>584</v>
      </c>
      <c r="I98" s="40" t="s">
        <v>117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/>
      <c r="R98" s="13">
        <v>0</v>
      </c>
      <c r="S98" s="32">
        <f>SUM(UK_NO[[#This Row],[26M04]:[26M06]])</f>
        <v>0</v>
      </c>
      <c r="T98" s="69">
        <f>SUM(UK_NO[[#This Row],[26M07]:[26M09]])</f>
        <v>0</v>
      </c>
      <c r="U98" s="69">
        <f>SUM(UK_NO[[#This Row],[26M10]:[26M12]])</f>
        <v>0</v>
      </c>
      <c r="V98" s="256"/>
      <c r="W98" s="256"/>
      <c r="X98" s="256"/>
      <c r="Y98" s="256"/>
      <c r="Z98" s="256"/>
      <c r="AA98" s="256"/>
      <c r="AB98" s="256">
        <f>SUM(UK_NO[[#This Row],[27M01]:[27M03]])</f>
        <v>0</v>
      </c>
      <c r="AC98" s="256">
        <f>SUM(UK_NO[[#This Row],[27M04]:[27M06]])</f>
        <v>0</v>
      </c>
      <c r="AD98" s="256" t="str">
        <f>IF(SUM(UK_NO[[#This Row],[26Q2]:[26Q4]])+SUM(UK_NO[[#This Row],[27Q1]:[27Q2]])=0,"No FSCT",IF(AND(SUM(UK_NO[[#This Row],[26Q2]:[26Q4]])&gt;0,SUM(UK_NO[[#This Row],[27Q1]:[27Q2]])=0),"YES","NO"))</f>
        <v>No FSCT</v>
      </c>
      <c r="AE98" s="85" t="str">
        <f>VLOOKUP(UK_NO[[#This Row],[Product Line]],Prod_T6[],4,0)</f>
        <v>PV</v>
      </c>
      <c r="AH98" s="3" t="str">
        <v>3 - Negotiation</v>
      </c>
    </row>
    <row r="99" spans="1:34">
      <c r="H99" s="119" t="s">
        <v>638</v>
      </c>
      <c r="I99" s="118"/>
      <c r="J99" s="196">
        <f>SUBTOTAL(9,UK_NO[26M04])</f>
        <v>25.386399999999998</v>
      </c>
      <c r="K99" s="197">
        <f>SUBTOTAL(9,UK_NO[26M05])</f>
        <v>31.876999999999999</v>
      </c>
      <c r="L99" s="198">
        <f>SUBTOTAL(9,UK_NO[26M06])</f>
        <v>44.501000000000012</v>
      </c>
      <c r="M99" s="196">
        <f>SUBTOTAL(9,UK_NO[26M07])</f>
        <v>50.092999999999989</v>
      </c>
      <c r="N99" s="197">
        <f>SUBTOTAL(9,UK_NO[26M08])</f>
        <v>21.656000000000002</v>
      </c>
      <c r="O99" s="198">
        <f>SUBTOTAL(9,UK_NO[26M09])</f>
        <v>32.874000000000002</v>
      </c>
      <c r="P99" s="196">
        <f>SUBTOTAL(9,UK_NO[26M10])</f>
        <v>57.732000000000006</v>
      </c>
      <c r="Q99" s="197">
        <f>SUBTOTAL(9,UK_NO[26M11])</f>
        <v>59.853000000000002</v>
      </c>
      <c r="R99" s="198">
        <f>SUBTOTAL(9,UK_NO[26M12])</f>
        <v>21.516999999999999</v>
      </c>
      <c r="S99" s="199">
        <f>SUBTOTAL(9,UK_NO[26Q2])</f>
        <v>99.134400000000028</v>
      </c>
      <c r="T99" s="199">
        <f>SUBTOTAL(9,UK_NO[26Q3])</f>
        <v>104.623</v>
      </c>
      <c r="U99" s="199">
        <f>SUBTOTAL(9,UK_NO[26Q4])</f>
        <v>139.10200000000003</v>
      </c>
      <c r="V99" s="257"/>
      <c r="W99" s="257"/>
      <c r="X99" s="257"/>
      <c r="Y99" s="257"/>
      <c r="Z99" s="257"/>
      <c r="AA99" s="257"/>
      <c r="AB99" s="257"/>
      <c r="AC99" s="257"/>
      <c r="AD99" s="257"/>
    </row>
    <row r="100" spans="1:34"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4"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4"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4"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4">
      <c r="S104" s="3"/>
    </row>
    <row r="105" spans="1:34">
      <c r="S105" s="3"/>
    </row>
    <row r="106" spans="1:34">
      <c r="S106" s="3"/>
    </row>
    <row r="107" spans="1:34">
      <c r="S107" s="3"/>
    </row>
    <row r="108" spans="1:34">
      <c r="J108" s="39"/>
      <c r="K108" s="39"/>
      <c r="L108" s="13"/>
      <c r="M108" s="13"/>
      <c r="S108" s="3"/>
    </row>
    <row r="109" spans="1:34">
      <c r="J109" s="39"/>
      <c r="K109" s="39"/>
      <c r="L109" s="13"/>
      <c r="M109" s="13"/>
      <c r="S109" s="3"/>
    </row>
    <row r="110" spans="1:34">
      <c r="J110" s="39"/>
      <c r="K110" s="39"/>
      <c r="L110" s="13"/>
      <c r="M110" s="13"/>
      <c r="S110" s="3"/>
    </row>
    <row r="111" spans="1:34">
      <c r="J111" s="39"/>
      <c r="K111" s="39"/>
      <c r="L111" s="13"/>
      <c r="M111" s="13"/>
      <c r="S111" s="3"/>
    </row>
    <row r="112" spans="1:34">
      <c r="J112" s="39"/>
      <c r="K112" s="39"/>
      <c r="L112" s="13"/>
      <c r="M112" s="13"/>
      <c r="S112" s="3"/>
    </row>
    <row r="113" spans="9:19">
      <c r="J113" s="39"/>
      <c r="K113" s="39"/>
      <c r="L113" s="13"/>
      <c r="M113" s="13"/>
      <c r="S113" s="3"/>
    </row>
    <row r="114" spans="9:19">
      <c r="J114" s="39"/>
      <c r="K114" s="39"/>
      <c r="L114" s="13"/>
      <c r="M114" s="13"/>
      <c r="S114" s="3"/>
    </row>
    <row r="115" spans="9:19">
      <c r="J115" s="39"/>
      <c r="K115" s="39"/>
      <c r="L115" s="13"/>
      <c r="M115" s="13"/>
      <c r="S115" s="3"/>
    </row>
    <row r="116" spans="9:19">
      <c r="I116" s="38"/>
      <c r="J116" s="38"/>
      <c r="K116" s="38"/>
      <c r="L116" s="13"/>
      <c r="M116" s="13"/>
      <c r="N116" s="38"/>
      <c r="O116" s="38"/>
      <c r="P116" s="38"/>
      <c r="S116" s="3"/>
    </row>
    <row r="117" spans="9:19">
      <c r="I117" s="38"/>
      <c r="J117" s="38"/>
      <c r="K117" s="38"/>
      <c r="L117" s="13"/>
      <c r="M117" s="13"/>
      <c r="N117" s="38"/>
      <c r="O117" s="38"/>
      <c r="P117" s="38"/>
      <c r="S117" s="3"/>
    </row>
    <row r="118" spans="9:19">
      <c r="I118" s="38"/>
      <c r="J118" s="38"/>
      <c r="K118" s="38"/>
      <c r="L118" s="13"/>
      <c r="M118" s="13"/>
      <c r="N118" s="38"/>
      <c r="O118" s="38"/>
      <c r="P118" s="38"/>
      <c r="S118" s="3"/>
    </row>
    <row r="119" spans="9:19">
      <c r="I119" s="38"/>
      <c r="J119" s="38"/>
      <c r="K119" s="38"/>
      <c r="N119" s="38"/>
      <c r="O119" s="38"/>
      <c r="P119" s="38"/>
      <c r="S119" s="3"/>
    </row>
    <row r="120" spans="9:19">
      <c r="J120" s="39"/>
      <c r="K120" s="39"/>
      <c r="S120" s="3"/>
    </row>
    <row r="121" spans="9:19">
      <c r="J121" s="39"/>
      <c r="K121" s="39"/>
      <c r="S121" s="3"/>
    </row>
    <row r="122" spans="9:19">
      <c r="S122" s="3"/>
    </row>
    <row r="123" spans="9:19">
      <c r="S123" s="3"/>
    </row>
    <row r="124" spans="9:19">
      <c r="S124" s="3"/>
    </row>
    <row r="125" spans="9:19">
      <c r="S125" s="3"/>
    </row>
    <row r="126" spans="9:19">
      <c r="S126" s="3"/>
    </row>
    <row r="127" spans="9:19">
      <c r="S127" s="3"/>
    </row>
    <row r="128" spans="9:19">
      <c r="S128" s="3"/>
    </row>
    <row r="129" spans="19:19">
      <c r="S129" s="3"/>
    </row>
    <row r="130" spans="19:19">
      <c r="S130" s="3"/>
    </row>
    <row r="131" spans="19:19">
      <c r="S131" s="3"/>
    </row>
    <row r="132" spans="19:19">
      <c r="S132" s="3"/>
    </row>
    <row r="133" spans="19:19">
      <c r="S133" s="3"/>
    </row>
    <row r="134" spans="19:19">
      <c r="S134" s="3"/>
    </row>
    <row r="135" spans="19:19">
      <c r="S135" s="3"/>
    </row>
    <row r="136" spans="19:19">
      <c r="S136" s="3"/>
    </row>
    <row r="137" spans="19:19">
      <c r="S137" s="3"/>
    </row>
    <row r="138" spans="19:19">
      <c r="S138" s="3"/>
    </row>
    <row r="139" spans="19:19">
      <c r="S139" s="3"/>
    </row>
    <row r="140" spans="19:19">
      <c r="S140" s="3"/>
    </row>
    <row r="141" spans="19:19">
      <c r="S141" s="3"/>
    </row>
    <row r="142" spans="19:19">
      <c r="S142" s="3"/>
    </row>
    <row r="143" spans="19:19">
      <c r="S143" s="3"/>
    </row>
    <row r="144" spans="19:19">
      <c r="S144" s="3"/>
    </row>
    <row r="145" spans="19:19">
      <c r="S145" s="3"/>
    </row>
    <row r="146" spans="19:19">
      <c r="S146" s="3"/>
    </row>
    <row r="147" spans="19:19">
      <c r="S147" s="3"/>
    </row>
    <row r="148" spans="19:19">
      <c r="S148" s="3"/>
    </row>
    <row r="149" spans="19:19">
      <c r="S149" s="3"/>
    </row>
    <row r="150" spans="19:19">
      <c r="S150" s="3"/>
    </row>
    <row r="151" spans="19:19">
      <c r="S151" s="3"/>
    </row>
    <row r="152" spans="19:19">
      <c r="S152" s="3"/>
    </row>
    <row r="153" spans="19:19">
      <c r="S153" s="3"/>
    </row>
    <row r="154" spans="19:19">
      <c r="S154" s="3"/>
    </row>
    <row r="155" spans="19:19">
      <c r="S155" s="3"/>
    </row>
    <row r="156" spans="19:19">
      <c r="S156" s="3"/>
    </row>
    <row r="157" spans="19:19">
      <c r="S157" s="3"/>
    </row>
    <row r="158" spans="19:19">
      <c r="S158" s="3"/>
    </row>
    <row r="159" spans="19:19">
      <c r="S159" s="3"/>
    </row>
    <row r="160" spans="19:19">
      <c r="S160" s="3"/>
    </row>
    <row r="161" spans="19:19">
      <c r="S161" s="3"/>
    </row>
    <row r="162" spans="19:19">
      <c r="S162" s="3"/>
    </row>
    <row r="163" spans="19:19">
      <c r="S163" s="3"/>
    </row>
    <row r="164" spans="19:19">
      <c r="S164" s="3"/>
    </row>
    <row r="165" spans="19:19">
      <c r="S165" s="3"/>
    </row>
    <row r="166" spans="19:19">
      <c r="S166" s="3"/>
    </row>
    <row r="167" spans="19:19">
      <c r="S167" s="3"/>
    </row>
    <row r="168" spans="19:19">
      <c r="S168" s="3"/>
    </row>
    <row r="169" spans="19:19">
      <c r="S169" s="3"/>
    </row>
    <row r="170" spans="19:19">
      <c r="S170" s="3"/>
    </row>
    <row r="171" spans="19:19">
      <c r="S171" s="3"/>
    </row>
    <row r="172" spans="19:19">
      <c r="S172" s="3"/>
    </row>
    <row r="173" spans="19:19">
      <c r="S173" s="3"/>
    </row>
    <row r="174" spans="19:19">
      <c r="S174" s="3"/>
    </row>
    <row r="175" spans="19:19">
      <c r="S175" s="3"/>
    </row>
    <row r="176" spans="19:19">
      <c r="S176" s="3"/>
    </row>
    <row r="177" spans="19:19">
      <c r="S177" s="3"/>
    </row>
    <row r="178" spans="19:19">
      <c r="S178" s="3"/>
    </row>
  </sheetData>
  <phoneticPr fontId="58" type="noConversion"/>
  <dataValidations count="4">
    <dataValidation type="list" allowBlank="1" showInputMessage="1" showErrorMessage="1" sqref="F6:F98 B6:B58" xr:uid="{95F701E1-8E73-4483-9AAF-E73E44DF53F2}">
      <formula1>INDIRECT(A6)</formula1>
    </dataValidation>
    <dataValidation type="list" allowBlank="1" showInputMessage="1" showErrorMessage="1" sqref="G6:G98" xr:uid="{0E241B7A-4413-4E47-987B-814A84E5EB9E}">
      <formula1>Stage_List</formula1>
    </dataValidation>
    <dataValidation type="list" allowBlank="1" showInputMessage="1" showErrorMessage="1" sqref="E6:E98" xr:uid="{E0DCCA5D-C11B-42EC-94F1-5C4DE7ACB474}">
      <formula1>Product_List</formula1>
    </dataValidation>
    <dataValidation type="list" allowBlank="1" showInputMessage="1" showErrorMessage="1" sqref="A6:A98" xr:uid="{282C554D-C1FF-4137-861C-DC748B15F07E}">
      <formula1>Country_List</formula1>
    </dataValidation>
  </dataValidations>
  <pageMargins left="0.70866141732283505" right="0.70866141732283505" top="0.74803149606299202" bottom="0.74803149606299202" header="0.31496062992126" footer="0.31496062992126"/>
  <pageSetup paperSize="9" scale="39" orientation="landscape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4B9CF-2E46-41F6-8E3E-7A4DEC3BE63E}">
  <sheetPr codeName="Sheet8">
    <tabColor rgb="FFFF7C80"/>
    <pageSetUpPr fitToPage="1"/>
  </sheetPr>
  <dimension ref="A1:AH48"/>
  <sheetViews>
    <sheetView topLeftCell="A4" zoomScaleNormal="100" workbookViewId="0">
      <pane xSplit="5" topLeftCell="L1" activePane="topRight" state="frozen"/>
      <selection pane="topRight" activeCell="Q34" sqref="Q34"/>
    </sheetView>
  </sheetViews>
  <sheetFormatPr defaultColWidth="8" defaultRowHeight="14.25" customHeight="1" outlineLevelCol="1"/>
  <cols>
    <col min="1" max="1" width="12.08984375" style="2" bestFit="1" customWidth="1"/>
    <col min="2" max="2" width="13.36328125" style="1" customWidth="1"/>
    <col min="3" max="3" width="8.36328125" style="3" customWidth="1" outlineLevel="1"/>
    <col min="4" max="4" width="10.36328125" style="3" bestFit="1" customWidth="1"/>
    <col min="5" max="5" width="15.90625" style="2" bestFit="1" customWidth="1"/>
    <col min="6" max="6" width="30.08984375" style="2" customWidth="1" outlineLevel="1"/>
    <col min="7" max="7" width="17.36328125" style="2" bestFit="1" customWidth="1"/>
    <col min="8" max="8" width="11.36328125" style="4" customWidth="1" outlineLevel="1"/>
    <col min="9" max="9" width="16.36328125" style="2" bestFit="1" customWidth="1"/>
    <col min="10" max="15" width="11.08984375" style="2" bestFit="1" customWidth="1" outlineLevel="1"/>
    <col min="16" max="17" width="11.08984375" style="2" bestFit="1" customWidth="1"/>
    <col min="18" max="18" width="11.08984375" style="5" bestFit="1" customWidth="1"/>
    <col min="19" max="21" width="11.36328125" style="2" bestFit="1" customWidth="1"/>
    <col min="22" max="27" width="12.7265625" style="2" bestFit="1" customWidth="1"/>
    <col min="28" max="29" width="11.36328125" style="2" bestFit="1" customWidth="1"/>
    <col min="30" max="30" width="16.7265625" style="2" bestFit="1" customWidth="1"/>
    <col min="31" max="31" width="19.90625" style="2" bestFit="1" customWidth="1"/>
    <col min="32" max="33" width="8" style="2"/>
    <col min="34" max="34" width="17.36328125" style="2" bestFit="1" customWidth="1"/>
    <col min="35" max="16384" width="8" style="2"/>
  </cols>
  <sheetData>
    <row r="1" spans="1:34" ht="14.25" customHeight="1">
      <c r="A1" s="3"/>
      <c r="B1" s="3"/>
      <c r="E1" s="3"/>
      <c r="F1" s="38"/>
      <c r="G1" s="38" t="s">
        <v>622</v>
      </c>
      <c r="H1" s="38"/>
      <c r="I1" s="34"/>
      <c r="J1" s="2" t="s">
        <v>623</v>
      </c>
      <c r="K1" s="2" t="s">
        <v>623</v>
      </c>
      <c r="L1" s="2" t="s">
        <v>623</v>
      </c>
      <c r="M1" s="2" t="s">
        <v>623</v>
      </c>
      <c r="N1" s="2" t="s">
        <v>623</v>
      </c>
      <c r="O1" s="2" t="s">
        <v>623</v>
      </c>
      <c r="P1" s="2" t="s">
        <v>623</v>
      </c>
      <c r="Q1" s="2" t="s">
        <v>623</v>
      </c>
      <c r="R1" s="2" t="s">
        <v>623</v>
      </c>
      <c r="S1" s="2" t="s">
        <v>623</v>
      </c>
      <c r="T1" s="2" t="s">
        <v>623</v>
      </c>
      <c r="U1" s="2" t="s">
        <v>623</v>
      </c>
      <c r="V1" s="2" t="s">
        <v>623</v>
      </c>
      <c r="W1" s="2" t="s">
        <v>623</v>
      </c>
      <c r="X1" s="2" t="s">
        <v>623</v>
      </c>
      <c r="Y1" s="2" t="s">
        <v>623</v>
      </c>
      <c r="Z1" s="2" t="s">
        <v>623</v>
      </c>
      <c r="AA1" s="2" t="s">
        <v>623</v>
      </c>
      <c r="AB1" s="2" t="s">
        <v>623</v>
      </c>
      <c r="AC1" s="2" t="s">
        <v>623</v>
      </c>
      <c r="AE1" s="3"/>
      <c r="AF1" s="3"/>
      <c r="AG1" s="3"/>
      <c r="AH1" s="3"/>
    </row>
    <row r="2" spans="1:34" ht="14.25" customHeight="1">
      <c r="A2" s="3"/>
      <c r="B2" s="3"/>
      <c r="E2" s="3"/>
      <c r="F2" s="38"/>
      <c r="G2" s="38" t="s">
        <v>27</v>
      </c>
      <c r="H2" s="49"/>
      <c r="I2" s="63"/>
      <c r="J2" s="195" cm="1">
        <f t="array" aca="1" ref="J2" ca="1">SUMPRODUCT((ES[Product Category]=$G2)*SUBTOTAL(109,OFFSET(INDEX(ES[26M04],1),ROW(ES[26M04])-MIN(ROW(ES[26M04])),0,1)))</f>
        <v>60</v>
      </c>
      <c r="K2" s="195" cm="1">
        <f t="array" aca="1" ref="K2" ca="1">SUMPRODUCT((ES[Product Category]=$G2)*SUBTOTAL(109,OFFSET(INDEX(ES[26M05],1),ROW(ES[26M05])-MIN(ROW(ES[26M05])),0,1)))</f>
        <v>0</v>
      </c>
      <c r="L2" s="195" cm="1">
        <f t="array" aca="1" ref="L2" ca="1">SUMPRODUCT((ES[Product Category]=$G2)*SUBTOTAL(109,OFFSET(INDEX(ES[26M06],1),ROW(ES[26M06])-MIN(ROW(ES[26M06])),0,1)))</f>
        <v>60</v>
      </c>
      <c r="M2" s="195" cm="1">
        <f t="array" aca="1" ref="M2" ca="1">SUMPRODUCT((ES[Product Category]=$G2)*SUBTOTAL(109,OFFSET(INDEX(ES[26M07],1),ROW(ES[26M07])-MIN(ROW(ES[26M07])),0,1)))</f>
        <v>70</v>
      </c>
      <c r="N2" s="195" cm="1">
        <f t="array" aca="1" ref="N2" ca="1">SUMPRODUCT((ES[Product Category]=$G2)*SUBTOTAL(109,OFFSET(INDEX(ES[26M08],1),ROW(ES[26M08])-MIN(ROW(ES[26M08])),0,1)))</f>
        <v>35</v>
      </c>
      <c r="O2" s="195" cm="1">
        <f t="array" aca="1" ref="O2" ca="1">SUMPRODUCT((ES[Product Category]=$G2)*SUBTOTAL(109,OFFSET(INDEX(ES[26M09],1),ROW(ES[26M09])-MIN(ROW(ES[26M09])),0,1)))</f>
        <v>74</v>
      </c>
      <c r="P2" s="195" cm="1">
        <f t="array" aca="1" ref="P2" ca="1">SUMPRODUCT((ES[Product Category]=$G2)*SUBTOTAL(109,OFFSET(INDEX(ES[26M10],1),ROW(ES[26M10])-MIN(ROW(ES[26M10])),0,1)))</f>
        <v>89</v>
      </c>
      <c r="Q2" s="195" cm="1">
        <f t="array" aca="1" ref="Q2" ca="1">SUMPRODUCT((ES[Product Category]=$G2)*SUBTOTAL(109,OFFSET(INDEX(ES[26M11],1),ROW(ES[26M11])-MIN(ROW(ES[26M11])),0,1)))</f>
        <v>91</v>
      </c>
      <c r="R2" s="195" cm="1">
        <f t="array" aca="1" ref="R2" ca="1">SUMPRODUCT((ES[Product Category]=$G2)*SUBTOTAL(109,OFFSET(INDEX(ES[26M12],1),ROW(ES[26M12])-MIN(ROW(ES[26M12])),0,1)))</f>
        <v>38</v>
      </c>
      <c r="S2" s="195" cm="1">
        <f t="array" aca="1" ref="S2" ca="1">SUMPRODUCT((ES[Product Category]=$G2)*SUBTOTAL(109,OFFSET(INDEX(ES[26Q2],1),ROW(ES[26Q2])-MIN(ROW(ES[26Q2])),0,1)))</f>
        <v>75</v>
      </c>
      <c r="T2" s="195" cm="1">
        <f t="array" aca="1" ref="T2" ca="1">SUMPRODUCT((ES[Product Category]=$G2)*SUBTOTAL(109,OFFSET(INDEX(ES[26Q3],1),ROW(ES[26Q3])-MIN(ROW(ES[26Q3])),0,1)))</f>
        <v>179</v>
      </c>
      <c r="U2" s="195" cm="1">
        <f t="array" aca="1" ref="U2" ca="1">SUMPRODUCT((ES[Product Category]=$G2)*SUBTOTAL(109,OFFSET(INDEX(ES[26Q4],1),ROW(ES[26Q4])-MIN(ROW(ES[26Q4])),0,1)))</f>
        <v>218</v>
      </c>
      <c r="V2" s="195" cm="1">
        <f t="array" aca="1" ref="V2" ca="1">SUMPRODUCT((ES[Product Category]=$G2)*SUBTOTAL(109,OFFSET(INDEX(ES[27M01],1),ROW(ES[27M01])-MIN(ROW(ES[27M01])),0,1)))</f>
        <v>0</v>
      </c>
      <c r="W2" s="195" cm="1">
        <f t="array" aca="1" ref="W2" ca="1">SUMPRODUCT((ES[Product Category]=$G2)*SUBTOTAL(109,OFFSET(INDEX(ES[27M02],1),ROW(ES[27M02])-MIN(ROW(ES[27M02])),0,1)))</f>
        <v>0</v>
      </c>
      <c r="X2" s="195" cm="1">
        <f t="array" aca="1" ref="X2" ca="1">SUMPRODUCT((ES[Product Category]=$G2)*SUBTOTAL(109,OFFSET(INDEX(ES[27M03],1),ROW(ES[27M03])-MIN(ROW(ES[27M03])),0,1)))</f>
        <v>0</v>
      </c>
      <c r="Y2" s="195" cm="1">
        <f t="array" aca="1" ref="Y2" ca="1">SUMPRODUCT((ES[Product Category]=$G2)*SUBTOTAL(109,OFFSET(INDEX(ES[27M04],1),ROW(ES[27M04])-MIN(ROW(ES[27M04])),0,1)))</f>
        <v>0</v>
      </c>
      <c r="Z2" s="195" cm="1">
        <f t="array" aca="1" ref="Z2" ca="1">SUMPRODUCT((ES[Product Category]=$G2)*SUBTOTAL(109,OFFSET(INDEX(ES[27M05],1),ROW(ES[27M05])-MIN(ROW(ES[27M05])),0,1)))</f>
        <v>0</v>
      </c>
      <c r="AA2" s="195" cm="1">
        <f t="array" aca="1" ref="AA2" ca="1">SUMPRODUCT((ES[Product Category]=$G2)*SUBTOTAL(109,OFFSET(INDEX(ES[27M06],1),ROW(ES[27M06])-MIN(ROW(ES[27M06])),0,1)))</f>
        <v>0</v>
      </c>
      <c r="AB2" s="195" cm="1">
        <f t="array" aca="1" ref="AB2" ca="1">SUMPRODUCT((ES[Product Category]=$G2)*SUBTOTAL(109,OFFSET(INDEX(ES[27Q1],1),ROW(ES[27Q1])-MIN(ROW(ES[27Q1])),0,1)))</f>
        <v>0</v>
      </c>
      <c r="AC2" s="195" cm="1">
        <f t="array" aca="1" ref="AC2" ca="1">SUMPRODUCT((ES[Product Category]=$G2)*SUBTOTAL(109,OFFSET(INDEX(ES[27Q2],1),ROW(ES[27Q2])-MIN(ROW(ES[27Q2])),0,1)))</f>
        <v>0</v>
      </c>
      <c r="AD2" s="255"/>
      <c r="AE2" s="3"/>
      <c r="AF2" s="3"/>
      <c r="AG2" s="3"/>
      <c r="AH2" s="3"/>
    </row>
    <row r="3" spans="1:34" ht="14.25" customHeight="1">
      <c r="A3" s="3"/>
      <c r="B3" s="3"/>
      <c r="E3" s="3"/>
      <c r="F3" s="38"/>
      <c r="G3" s="38" t="s">
        <v>87</v>
      </c>
      <c r="H3" s="49"/>
      <c r="I3" s="63"/>
      <c r="J3" s="195" cm="1">
        <f t="array" aca="1" ref="J3" ca="1">SUMPRODUCT((ES[Product Category]=$G3)*SUBTOTAL(109,OFFSET(INDEX(ES[26M04],1),ROW(ES[26M04])-MIN(ROW(ES[26M04])),0,1)))</f>
        <v>0</v>
      </c>
      <c r="K3" s="195" cm="1">
        <f t="array" aca="1" ref="K3" ca="1">SUMPRODUCT((ES[Product Category]=$G3)*SUBTOTAL(109,OFFSET(INDEX(ES[26M05],1),ROW(ES[26M05])-MIN(ROW(ES[26M05])),0,1)))</f>
        <v>0</v>
      </c>
      <c r="L3" s="195" cm="1">
        <f t="array" aca="1" ref="L3" ca="1">SUMPRODUCT((ES[Product Category]=$G3)*SUBTOTAL(109,OFFSET(INDEX(ES[26M06],1),ROW(ES[26M06])-MIN(ROW(ES[26M06])),0,1)))</f>
        <v>0</v>
      </c>
      <c r="M3" s="195" cm="1">
        <f t="array" aca="1" ref="M3" ca="1">SUMPRODUCT((ES[Product Category]=$G3)*SUBTOTAL(109,OFFSET(INDEX(ES[26M07],1),ROW(ES[26M07])-MIN(ROW(ES[26M07])),0,1)))</f>
        <v>0</v>
      </c>
      <c r="N3" s="195" cm="1">
        <f t="array" aca="1" ref="N3" ca="1">SUMPRODUCT((ES[Product Category]=$G3)*SUBTOTAL(109,OFFSET(INDEX(ES[26M08],1),ROW(ES[26M08])-MIN(ROW(ES[26M08])),0,1)))</f>
        <v>0</v>
      </c>
      <c r="O3" s="195" cm="1">
        <f t="array" aca="1" ref="O3" ca="1">SUMPRODUCT((ES[Product Category]=$G3)*SUBTOTAL(109,OFFSET(INDEX(ES[26M09],1),ROW(ES[26M09])-MIN(ROW(ES[26M09])),0,1)))</f>
        <v>0</v>
      </c>
      <c r="P3" s="195" cm="1">
        <f t="array" aca="1" ref="P3" ca="1">SUMPRODUCT((ES[Product Category]=$G3)*SUBTOTAL(109,OFFSET(INDEX(ES[26M10],1),ROW(ES[26M10])-MIN(ROW(ES[26M10])),0,1)))</f>
        <v>0</v>
      </c>
      <c r="Q3" s="195" cm="1">
        <f t="array" aca="1" ref="Q3" ca="1">SUMPRODUCT((ES[Product Category]=$G3)*SUBTOTAL(109,OFFSET(INDEX(ES[26M11],1),ROW(ES[26M11])-MIN(ROW(ES[26M11])),0,1)))</f>
        <v>0</v>
      </c>
      <c r="R3" s="195" cm="1">
        <f t="array" aca="1" ref="R3" ca="1">SUMPRODUCT((ES[Product Category]=$G3)*SUBTOTAL(109,OFFSET(INDEX(ES[26M12],1),ROW(ES[26M12])-MIN(ROW(ES[26M12])),0,1)))</f>
        <v>0</v>
      </c>
      <c r="S3" s="195" cm="1">
        <f t="array" aca="1" ref="S3" ca="1">SUMPRODUCT((ES[Product Category]=$G3)*SUBTOTAL(109,OFFSET(INDEX(ES[26Q2],1),ROW(ES[26Q2])-MIN(ROW(ES[26Q2])),0,1)))</f>
        <v>0</v>
      </c>
      <c r="T3" s="195" cm="1">
        <f t="array" aca="1" ref="T3" ca="1">SUMPRODUCT((ES[Product Category]=$G3)*SUBTOTAL(109,OFFSET(INDEX(ES[26Q3],1),ROW(ES[26Q3])-MIN(ROW(ES[26Q3])),0,1)))</f>
        <v>0</v>
      </c>
      <c r="U3" s="195" cm="1">
        <f t="array" aca="1" ref="U3" ca="1">SUMPRODUCT((ES[Product Category]=$G3)*SUBTOTAL(109,OFFSET(INDEX(ES[26Q4],1),ROW(ES[26Q4])-MIN(ROW(ES[26Q4])),0,1)))</f>
        <v>0</v>
      </c>
      <c r="V3" s="195" cm="1">
        <f t="array" aca="1" ref="V3" ca="1">SUMPRODUCT((ES[Product Category]=$G3)*SUBTOTAL(109,OFFSET(INDEX(ES[27M01],1),ROW(ES[27M01])-MIN(ROW(ES[27M01])),0,1)))</f>
        <v>0</v>
      </c>
      <c r="W3" s="195" cm="1">
        <f t="array" aca="1" ref="W3" ca="1">SUMPRODUCT((ES[Product Category]=$G3)*SUBTOTAL(109,OFFSET(INDEX(ES[27M02],1),ROW(ES[27M02])-MIN(ROW(ES[27M02])),0,1)))</f>
        <v>0</v>
      </c>
      <c r="X3" s="195" cm="1">
        <f t="array" aca="1" ref="X3" ca="1">SUMPRODUCT((ES[Product Category]=$G3)*SUBTOTAL(109,OFFSET(INDEX(ES[27M03],1),ROW(ES[27M03])-MIN(ROW(ES[27M03])),0,1)))</f>
        <v>0</v>
      </c>
      <c r="Y3" s="195" cm="1">
        <f t="array" aca="1" ref="Y3" ca="1">SUMPRODUCT((ES[Product Category]=$G3)*SUBTOTAL(109,OFFSET(INDEX(ES[27M04],1),ROW(ES[27M04])-MIN(ROW(ES[27M04])),0,1)))</f>
        <v>0</v>
      </c>
      <c r="Z3" s="195" cm="1">
        <f t="array" aca="1" ref="Z3" ca="1">SUMPRODUCT((ES[Product Category]=$G3)*SUBTOTAL(109,OFFSET(INDEX(ES[27M05],1),ROW(ES[27M05])-MIN(ROW(ES[27M05])),0,1)))</f>
        <v>0</v>
      </c>
      <c r="AA3" s="195" cm="1">
        <f t="array" aca="1" ref="AA3" ca="1">SUMPRODUCT((ES[Product Category]=$G3)*SUBTOTAL(109,OFFSET(INDEX(ES[27M06],1),ROW(ES[27M06])-MIN(ROW(ES[27M06])),0,1)))</f>
        <v>0</v>
      </c>
      <c r="AB3" s="195" cm="1">
        <f t="array" aca="1" ref="AB3" ca="1">SUMPRODUCT((ES[Product Category]=$G3)*SUBTOTAL(109,OFFSET(INDEX(ES[27Q1],1),ROW(ES[27Q1])-MIN(ROW(ES[27Q1])),0,1)))</f>
        <v>0</v>
      </c>
      <c r="AC3" s="195" cm="1">
        <f t="array" aca="1" ref="AC3" ca="1">SUMPRODUCT((ES[Product Category]=$G3)*SUBTOTAL(109,OFFSET(INDEX(ES[27Q2],1),ROW(ES[27Q2])-MIN(ROW(ES[27Q2])),0,1)))</f>
        <v>0</v>
      </c>
      <c r="AD3" s="255"/>
      <c r="AE3" s="3"/>
      <c r="AF3" s="3"/>
      <c r="AG3" s="3"/>
      <c r="AH3" s="3"/>
    </row>
    <row r="4" spans="1:34" ht="14.25" customHeight="1">
      <c r="A4" s="3"/>
      <c r="B4" s="3"/>
      <c r="E4" s="3"/>
      <c r="F4" s="3"/>
      <c r="G4" s="38" t="s">
        <v>70</v>
      </c>
      <c r="H4" s="49"/>
      <c r="I4" s="64"/>
      <c r="J4" s="195" cm="1">
        <f t="array" aca="1" ref="J4" ca="1">SUMPRODUCT((ES[Product Category]=$G4)*SUBTOTAL(109,OFFSET(INDEX(ES[26M04],1),ROW(ES[26M04])-MIN(ROW(ES[26M04])),0,1)))</f>
        <v>9.0500000000000007</v>
      </c>
      <c r="K4" s="195" cm="1">
        <f t="array" aca="1" ref="K4" ca="1">SUMPRODUCT((ES[Product Category]=$G4)*SUBTOTAL(109,OFFSET(INDEX(ES[26M05],1),ROW(ES[26M05])-MIN(ROW(ES[26M05])),0,1)))</f>
        <v>10</v>
      </c>
      <c r="L4" s="195" cm="1">
        <f t="array" aca="1" ref="L4" ca="1">SUMPRODUCT((ES[Product Category]=$G4)*SUBTOTAL(109,OFFSET(INDEX(ES[26M06],1),ROW(ES[26M06])-MIN(ROW(ES[26M06])),0,1)))</f>
        <v>11.600000000000001</v>
      </c>
      <c r="M4" s="195" cm="1">
        <f t="array" aca="1" ref="M4" ca="1">SUMPRODUCT((ES[Product Category]=$G4)*SUBTOTAL(109,OFFSET(INDEX(ES[26M07],1),ROW(ES[26M07])-MIN(ROW(ES[26M07])),0,1)))</f>
        <v>7.8000000000000007</v>
      </c>
      <c r="N4" s="195" cm="1">
        <f t="array" aca="1" ref="N4" ca="1">SUMPRODUCT((ES[Product Category]=$G4)*SUBTOTAL(109,OFFSET(INDEX(ES[26M08],1),ROW(ES[26M08])-MIN(ROW(ES[26M08])),0,1)))</f>
        <v>1.3</v>
      </c>
      <c r="O4" s="195" cm="1">
        <f t="array" aca="1" ref="O4" ca="1">SUMPRODUCT((ES[Product Category]=$G4)*SUBTOTAL(109,OFFSET(INDEX(ES[26M09],1),ROW(ES[26M09])-MIN(ROW(ES[26M09])),0,1)))</f>
        <v>10.800000000000002</v>
      </c>
      <c r="P4" s="195" cm="1">
        <f t="array" aca="1" ref="P4" ca="1">SUMPRODUCT((ES[Product Category]=$G4)*SUBTOTAL(109,OFFSET(INDEX(ES[26M10],1),ROW(ES[26M10])-MIN(ROW(ES[26M10])),0,1)))</f>
        <v>10.6</v>
      </c>
      <c r="Q4" s="195" cm="1">
        <f t="array" aca="1" ref="Q4" ca="1">SUMPRODUCT((ES[Product Category]=$G4)*SUBTOTAL(109,OFFSET(INDEX(ES[26M11],1),ROW(ES[26M11])-MIN(ROW(ES[26M11])),0,1)))</f>
        <v>13.800000000000002</v>
      </c>
      <c r="R4" s="195" cm="1">
        <f t="array" aca="1" ref="R4" ca="1">SUMPRODUCT((ES[Product Category]=$G4)*SUBTOTAL(109,OFFSET(INDEX(ES[26M12],1),ROW(ES[26M12])-MIN(ROW(ES[26M12])),0,1)))</f>
        <v>6.6000000000000014</v>
      </c>
      <c r="S4" s="195" cm="1">
        <f t="array" aca="1" ref="S4" ca="1">SUMPRODUCT((ES[Product Category]=$G4)*SUBTOTAL(109,OFFSET(INDEX(ES[26Q2],1),ROW(ES[26Q2])-MIN(ROW(ES[26Q2])),0,1)))</f>
        <v>27.599999999999998</v>
      </c>
      <c r="T4" s="195" cm="1">
        <f t="array" aca="1" ref="T4" ca="1">SUMPRODUCT((ES[Product Category]=$G4)*SUBTOTAL(109,OFFSET(INDEX(ES[26Q3],1),ROW(ES[26Q3])-MIN(ROW(ES[26Q3])),0,1)))</f>
        <v>19.899999999999999</v>
      </c>
      <c r="U4" s="195" cm="1">
        <f t="array" aca="1" ref="U4" ca="1">SUMPRODUCT((ES[Product Category]=$G4)*SUBTOTAL(109,OFFSET(INDEX(ES[26Q4],1),ROW(ES[26Q4])-MIN(ROW(ES[26Q4])),0,1)))</f>
        <v>30.999999999999993</v>
      </c>
      <c r="V4" s="195" cm="1">
        <f t="array" aca="1" ref="V4" ca="1">SUMPRODUCT((ES[Product Category]=$G4)*SUBTOTAL(109,OFFSET(INDEX(ES[27M01],1),ROW(ES[27M01])-MIN(ROW(ES[27M01])),0,1)))</f>
        <v>0</v>
      </c>
      <c r="W4" s="195" cm="1">
        <f t="array" aca="1" ref="W4" ca="1">SUMPRODUCT((ES[Product Category]=$G4)*SUBTOTAL(109,OFFSET(INDEX(ES[27M02],1),ROW(ES[27M02])-MIN(ROW(ES[27M02])),0,1)))</f>
        <v>0</v>
      </c>
      <c r="X4" s="195" cm="1">
        <f t="array" aca="1" ref="X4" ca="1">SUMPRODUCT((ES[Product Category]=$G4)*SUBTOTAL(109,OFFSET(INDEX(ES[27M03],1),ROW(ES[27M03])-MIN(ROW(ES[27M03])),0,1)))</f>
        <v>0</v>
      </c>
      <c r="Y4" s="195" cm="1">
        <f t="array" aca="1" ref="Y4" ca="1">SUMPRODUCT((ES[Product Category]=$G4)*SUBTOTAL(109,OFFSET(INDEX(ES[27M04],1),ROW(ES[27M04])-MIN(ROW(ES[27M04])),0,1)))</f>
        <v>0</v>
      </c>
      <c r="Z4" s="195" cm="1">
        <f t="array" aca="1" ref="Z4" ca="1">SUMPRODUCT((ES[Product Category]=$G4)*SUBTOTAL(109,OFFSET(INDEX(ES[27M05],1),ROW(ES[27M05])-MIN(ROW(ES[27M05])),0,1)))</f>
        <v>0</v>
      </c>
      <c r="AA4" s="195" cm="1">
        <f t="array" aca="1" ref="AA4" ca="1">SUMPRODUCT((ES[Product Category]=$G4)*SUBTOTAL(109,OFFSET(INDEX(ES[27M06],1),ROW(ES[27M06])-MIN(ROW(ES[27M06])),0,1)))</f>
        <v>0</v>
      </c>
      <c r="AB4" s="195" cm="1">
        <f t="array" aca="1" ref="AB4" ca="1">SUMPRODUCT((ES[Product Category]=$G4)*SUBTOTAL(109,OFFSET(INDEX(ES[27Q1],1),ROW(ES[27Q1])-MIN(ROW(ES[27Q1])),0,1)))</f>
        <v>0</v>
      </c>
      <c r="AC4" s="195" cm="1">
        <f t="array" aca="1" ref="AC4" ca="1">SUMPRODUCT((ES[Product Category]=$G4)*SUBTOTAL(109,OFFSET(INDEX(ES[27Q2],1),ROW(ES[27Q2])-MIN(ROW(ES[27Q2])),0,1)))</f>
        <v>0</v>
      </c>
      <c r="AD4" s="255"/>
      <c r="AE4" s="3"/>
      <c r="AF4" s="3"/>
      <c r="AG4" s="3"/>
      <c r="AH4" s="3"/>
    </row>
    <row r="5" spans="1:34" ht="14.25" customHeight="1">
      <c r="A5" s="10" t="s">
        <v>45</v>
      </c>
      <c r="B5" s="11" t="s">
        <v>1</v>
      </c>
      <c r="C5" s="10" t="s">
        <v>92</v>
      </c>
      <c r="D5" s="10" t="s">
        <v>624</v>
      </c>
      <c r="E5" s="10" t="s">
        <v>3</v>
      </c>
      <c r="F5" s="10" t="s">
        <v>28</v>
      </c>
      <c r="G5" s="11" t="s">
        <v>5</v>
      </c>
      <c r="H5" s="11" t="s">
        <v>93</v>
      </c>
      <c r="I5" s="9" t="s">
        <v>94</v>
      </c>
      <c r="J5" s="12" t="s">
        <v>95</v>
      </c>
      <c r="K5" s="12" t="s">
        <v>96</v>
      </c>
      <c r="L5" s="12" t="s">
        <v>97</v>
      </c>
      <c r="M5" s="12" t="s">
        <v>98</v>
      </c>
      <c r="N5" s="12" t="s">
        <v>99</v>
      </c>
      <c r="O5" s="12" t="s">
        <v>625</v>
      </c>
      <c r="P5" s="12" t="s">
        <v>34</v>
      </c>
      <c r="Q5" s="12" t="s">
        <v>101</v>
      </c>
      <c r="R5" s="12" t="s">
        <v>36</v>
      </c>
      <c r="S5" s="193" t="s">
        <v>626</v>
      </c>
      <c r="T5" s="193" t="s">
        <v>627</v>
      </c>
      <c r="U5" s="107" t="s">
        <v>628</v>
      </c>
      <c r="V5" s="107" t="s">
        <v>629</v>
      </c>
      <c r="W5" s="107" t="s">
        <v>103</v>
      </c>
      <c r="X5" s="107" t="s">
        <v>104</v>
      </c>
      <c r="Y5" s="107" t="s">
        <v>105</v>
      </c>
      <c r="Z5" s="107" t="s">
        <v>106</v>
      </c>
      <c r="AA5" s="107" t="s">
        <v>107</v>
      </c>
      <c r="AB5" s="107" t="s">
        <v>630</v>
      </c>
      <c r="AC5" s="107" t="s">
        <v>631</v>
      </c>
      <c r="AD5" s="107" t="s">
        <v>632</v>
      </c>
      <c r="AE5" s="78" t="s">
        <v>26</v>
      </c>
      <c r="AF5" s="36"/>
      <c r="AG5" s="36"/>
      <c r="AH5" s="36"/>
    </row>
    <row r="6" spans="1:34" ht="14.25" customHeight="1">
      <c r="A6" s="14" t="s">
        <v>29</v>
      </c>
      <c r="B6" s="1" t="s">
        <v>475</v>
      </c>
      <c r="D6" s="85" t="str">
        <f>VLOOKUP(ES[[#This Row],[Product Line]],Prod_T6[],5,0)</f>
        <v>Sunpower</v>
      </c>
      <c r="E6" s="2" t="s">
        <v>197</v>
      </c>
      <c r="F6" s="2" t="s">
        <v>229</v>
      </c>
      <c r="G6" s="2" t="s">
        <v>120</v>
      </c>
      <c r="H6" s="2"/>
      <c r="I6" s="43" t="s">
        <v>117</v>
      </c>
      <c r="J6" s="13">
        <v>20</v>
      </c>
      <c r="K6" s="13"/>
      <c r="L6" s="13">
        <v>25</v>
      </c>
      <c r="M6" s="13">
        <v>30</v>
      </c>
      <c r="N6" s="13">
        <v>10</v>
      </c>
      <c r="O6" s="13">
        <v>25</v>
      </c>
      <c r="P6" s="13">
        <v>25</v>
      </c>
      <c r="Q6" s="13">
        <v>25</v>
      </c>
      <c r="R6" s="13">
        <v>10</v>
      </c>
      <c r="S6" s="32"/>
      <c r="T6" s="69">
        <f>SUM(ES[[#This Row],[26M07]:[26M09]])</f>
        <v>65</v>
      </c>
      <c r="U6" s="69">
        <f>SUM(ES[[#This Row],[26M10]:[26M12]])</f>
        <v>60</v>
      </c>
      <c r="V6" s="256"/>
      <c r="W6" s="256"/>
      <c r="X6" s="256"/>
      <c r="Y6" s="256"/>
      <c r="Z6" s="256"/>
      <c r="AA6" s="256"/>
      <c r="AB6" s="256">
        <f>SUM(ES[[#This Row],[27M01]:[27M03]])</f>
        <v>0</v>
      </c>
      <c r="AC6" s="256">
        <f>SUM(ES[[#This Row],[27M04]:[27M06]])</f>
        <v>0</v>
      </c>
      <c r="AD6" s="256" t="str">
        <f>IF(SUM(ES[[#This Row],[26Q2]:[26Q4]])+SUM(ES[[#This Row],[27Q1]:[27Q2]])=0,"No FSCT",IF(AND(SUM(ES[[#This Row],[26Q2]:[26Q4]])&gt;0,SUM(ES[[#This Row],[27Q1]:[27Q2]])=0),"YES","NO"))</f>
        <v>YES</v>
      </c>
      <c r="AE6" s="85" t="str">
        <f>VLOOKUP(ES[[#This Row],[Product Line]],Prod_T6[],4,0)</f>
        <v>ESS</v>
      </c>
      <c r="AH6" s="2" t="str" cm="1">
        <f t="array" ref="AH6:AH46">ES[Stage]</f>
        <v>5 - Finalize contract</v>
      </c>
    </row>
    <row r="7" spans="1:34" ht="14.25" customHeight="1">
      <c r="A7" s="14" t="s">
        <v>29</v>
      </c>
      <c r="B7" s="1" t="s">
        <v>475</v>
      </c>
      <c r="D7" s="85" t="str">
        <f>VLOOKUP(ES[[#This Row],[Product Line]],Prod_T6[],5,0)</f>
        <v>Sunpower</v>
      </c>
      <c r="E7" s="2" t="s">
        <v>197</v>
      </c>
      <c r="F7" s="2" t="s">
        <v>64</v>
      </c>
      <c r="G7" s="2" t="s">
        <v>120</v>
      </c>
      <c r="H7" s="2"/>
      <c r="I7" s="43" t="s">
        <v>117</v>
      </c>
      <c r="J7" s="13">
        <v>20</v>
      </c>
      <c r="K7" s="13"/>
      <c r="L7" s="13">
        <v>15</v>
      </c>
      <c r="M7" s="13">
        <v>20</v>
      </c>
      <c r="N7" s="13">
        <v>5</v>
      </c>
      <c r="O7" s="13">
        <v>15</v>
      </c>
      <c r="P7" s="13">
        <v>15</v>
      </c>
      <c r="Q7" s="13">
        <v>15</v>
      </c>
      <c r="R7" s="13">
        <v>5</v>
      </c>
      <c r="S7" s="32">
        <f>SUM(ES[[#This Row],[26M04]:[26M06]])</f>
        <v>35</v>
      </c>
      <c r="T7" s="69">
        <f>SUM(ES[[#This Row],[26M07]:[26M09]])</f>
        <v>40</v>
      </c>
      <c r="U7" s="69">
        <f>SUM(ES[[#This Row],[26M10]:[26M12]])</f>
        <v>35</v>
      </c>
      <c r="V7" s="256"/>
      <c r="W7" s="256"/>
      <c r="X7" s="256"/>
      <c r="Y7" s="256"/>
      <c r="Z7" s="256"/>
      <c r="AA7" s="256"/>
      <c r="AB7" s="256">
        <f>SUM(ES[[#This Row],[27M01]:[27M03]])</f>
        <v>0</v>
      </c>
      <c r="AC7" s="256">
        <f>SUM(ES[[#This Row],[27M04]:[27M06]])</f>
        <v>0</v>
      </c>
      <c r="AD7" s="256" t="str">
        <f>IF(SUM(ES[[#This Row],[26Q2]:[26Q4]])+SUM(ES[[#This Row],[27Q1]:[27Q2]])=0,"No FSCT",IF(AND(SUM(ES[[#This Row],[26Q2]:[26Q4]])&gt;0,SUM(ES[[#This Row],[27Q1]:[27Q2]])=0),"YES","NO"))</f>
        <v>YES</v>
      </c>
      <c r="AE7" s="85" t="str">
        <f>VLOOKUP(ES[[#This Row],[Product Line]],Prod_T6[],4,0)</f>
        <v>ESS</v>
      </c>
      <c r="AH7" s="2" t="str">
        <v>5 - Finalize contract</v>
      </c>
    </row>
    <row r="8" spans="1:34" ht="14.25" customHeight="1">
      <c r="A8" s="14" t="s">
        <v>29</v>
      </c>
      <c r="B8" s="1" t="s">
        <v>475</v>
      </c>
      <c r="D8" s="85" t="str">
        <f>VLOOKUP(ES[[#This Row],[Product Line]],Prod_T6[],5,0)</f>
        <v>Sunpower</v>
      </c>
      <c r="E8" s="2" t="s">
        <v>197</v>
      </c>
      <c r="F8" s="2" t="s">
        <v>65</v>
      </c>
      <c r="G8" s="2" t="s">
        <v>120</v>
      </c>
      <c r="H8" s="2"/>
      <c r="I8" s="43" t="s">
        <v>117</v>
      </c>
      <c r="J8" s="13">
        <v>20</v>
      </c>
      <c r="K8" s="13"/>
      <c r="L8" s="13">
        <v>20</v>
      </c>
      <c r="M8" s="13">
        <v>20</v>
      </c>
      <c r="N8" s="13">
        <v>20</v>
      </c>
      <c r="O8" s="13">
        <v>30</v>
      </c>
      <c r="P8" s="13">
        <v>35</v>
      </c>
      <c r="Q8" s="13">
        <v>35</v>
      </c>
      <c r="R8" s="13">
        <v>15</v>
      </c>
      <c r="S8" s="32">
        <f>SUM(ES[[#This Row],[26M04]:[26M06]])</f>
        <v>40</v>
      </c>
      <c r="T8" s="69">
        <f>SUM(ES[[#This Row],[26M07]:[26M09]])</f>
        <v>70</v>
      </c>
      <c r="U8" s="69">
        <f>SUM(ES[[#This Row],[26M10]:[26M12]])</f>
        <v>85</v>
      </c>
      <c r="V8" s="256"/>
      <c r="W8" s="256"/>
      <c r="X8" s="256"/>
      <c r="Y8" s="256"/>
      <c r="Z8" s="256"/>
      <c r="AA8" s="256"/>
      <c r="AB8" s="256">
        <f>SUM(ES[[#This Row],[27M01]:[27M03]])</f>
        <v>0</v>
      </c>
      <c r="AC8" s="256">
        <f>SUM(ES[[#This Row],[27M04]:[27M06]])</f>
        <v>0</v>
      </c>
      <c r="AD8" s="256" t="str">
        <f>IF(SUM(ES[[#This Row],[26Q2]:[26Q4]])+SUM(ES[[#This Row],[27Q1]:[27Q2]])=0,"No FSCT",IF(AND(SUM(ES[[#This Row],[26Q2]:[26Q4]])&gt;0,SUM(ES[[#This Row],[27Q1]:[27Q2]])=0),"YES","NO"))</f>
        <v>YES</v>
      </c>
      <c r="AE8" s="85" t="str">
        <f>VLOOKUP(ES[[#This Row],[Product Line]],Prod_T6[],4,0)</f>
        <v>ESS</v>
      </c>
      <c r="AH8" s="2" t="str">
        <v>5 - Finalize contract</v>
      </c>
    </row>
    <row r="9" spans="1:34" ht="14.25" customHeight="1">
      <c r="A9" s="14" t="s">
        <v>29</v>
      </c>
      <c r="B9" s="1" t="s">
        <v>487</v>
      </c>
      <c r="D9" s="85" t="str">
        <f>VLOOKUP(ES[[#This Row],[Product Line]],Prod_T6[],5,0)</f>
        <v>Sunpower</v>
      </c>
      <c r="E9" s="2" t="s">
        <v>134</v>
      </c>
      <c r="F9" s="2" t="s">
        <v>135</v>
      </c>
      <c r="G9" s="2" t="s">
        <v>120</v>
      </c>
      <c r="H9" s="2"/>
      <c r="I9" s="43" t="s">
        <v>117</v>
      </c>
      <c r="J9" s="13">
        <v>0.25</v>
      </c>
      <c r="K9" s="13"/>
      <c r="L9" s="13"/>
      <c r="M9" s="13">
        <v>0.1</v>
      </c>
      <c r="N9" s="13">
        <v>0.1</v>
      </c>
      <c r="O9" s="13">
        <v>0.2</v>
      </c>
      <c r="P9" s="13"/>
      <c r="Q9" s="13"/>
      <c r="R9" s="13">
        <v>0.2</v>
      </c>
      <c r="S9" s="32">
        <f>SUM(ES[[#This Row],[26M04]:[26M06]])</f>
        <v>0.25</v>
      </c>
      <c r="T9" s="69">
        <f>SUM(ES[[#This Row],[26M07]:[26M09]])</f>
        <v>0.4</v>
      </c>
      <c r="U9" s="69">
        <f>SUM(ES[[#This Row],[26M10]:[26M12]])</f>
        <v>0.2</v>
      </c>
      <c r="V9" s="256"/>
      <c r="W9" s="256"/>
      <c r="X9" s="256"/>
      <c r="Y9" s="256"/>
      <c r="Z9" s="256"/>
      <c r="AA9" s="256"/>
      <c r="AB9" s="256">
        <f>SUM(ES[[#This Row],[27M01]:[27M03]])</f>
        <v>0</v>
      </c>
      <c r="AC9" s="256">
        <f>SUM(ES[[#This Row],[27M04]:[27M06]])</f>
        <v>0</v>
      </c>
      <c r="AD9" s="256" t="str">
        <f>IF(SUM(ES[[#This Row],[26Q2]:[26Q4]])+SUM(ES[[#This Row],[27Q1]:[27Q2]])=0,"No FSCT",IF(AND(SUM(ES[[#This Row],[26Q2]:[26Q4]])&gt;0,SUM(ES[[#This Row],[27Q1]:[27Q2]])=0),"YES","NO"))</f>
        <v>YES</v>
      </c>
      <c r="AE9" s="85" t="str">
        <f>VLOOKUP(ES[[#This Row],[Product Line]],Prod_T6[],4,0)</f>
        <v>PV</v>
      </c>
      <c r="AH9" s="2" t="str">
        <v>5 - Finalize contract</v>
      </c>
    </row>
    <row r="10" spans="1:34" ht="14.25" customHeight="1">
      <c r="A10" s="14" t="s">
        <v>29</v>
      </c>
      <c r="B10" s="1" t="s">
        <v>487</v>
      </c>
      <c r="D10" s="85" t="str">
        <f>VLOOKUP(ES[[#This Row],[Product Line]],Prod_T6[],5,0)</f>
        <v>Sunpower</v>
      </c>
      <c r="E10" s="2" t="s">
        <v>134</v>
      </c>
      <c r="F10" s="2" t="s">
        <v>263</v>
      </c>
      <c r="G10" s="2" t="s">
        <v>154</v>
      </c>
      <c r="H10" s="2" t="s">
        <v>488</v>
      </c>
      <c r="I10" s="43" t="s">
        <v>489</v>
      </c>
      <c r="J10" s="13"/>
      <c r="K10" s="13"/>
      <c r="L10" s="13"/>
      <c r="M10" s="13"/>
      <c r="N10" s="13"/>
      <c r="O10" s="13"/>
      <c r="P10" s="13"/>
      <c r="Q10" s="13"/>
      <c r="R10" s="13"/>
      <c r="S10" s="32">
        <f>SUM(ES[[#This Row],[26M04]:[26M06]])</f>
        <v>0</v>
      </c>
      <c r="T10" s="69">
        <f>SUM(ES[[#This Row],[26M07]:[26M09]])</f>
        <v>0</v>
      </c>
      <c r="U10" s="69">
        <f>SUM(ES[[#This Row],[26M10]:[26M12]])</f>
        <v>0</v>
      </c>
      <c r="V10" s="256"/>
      <c r="W10" s="256"/>
      <c r="X10" s="256"/>
      <c r="Y10" s="256"/>
      <c r="Z10" s="256"/>
      <c r="AA10" s="256"/>
      <c r="AB10" s="256">
        <f>SUM(ES[[#This Row],[27M01]:[27M03]])</f>
        <v>0</v>
      </c>
      <c r="AC10" s="256">
        <f>SUM(ES[[#This Row],[27M04]:[27M06]])</f>
        <v>0</v>
      </c>
      <c r="AD10" s="256" t="str">
        <f>IF(SUM(ES[[#This Row],[26Q2]:[26Q4]])+SUM(ES[[#This Row],[27Q1]:[27Q2]])=0,"No FSCT",IF(AND(SUM(ES[[#This Row],[26Q2]:[26Q4]])&gt;0,SUM(ES[[#This Row],[27Q1]:[27Q2]])=0),"YES","NO"))</f>
        <v>No FSCT</v>
      </c>
      <c r="AE10" s="85" t="str">
        <f>VLOOKUP(ES[[#This Row],[Product Line]],Prod_T6[],4,0)</f>
        <v>PV</v>
      </c>
      <c r="AH10" s="2" t="str">
        <v>4 - BAFO</v>
      </c>
    </row>
    <row r="11" spans="1:34" ht="14.25" customHeight="1">
      <c r="A11" s="14" t="s">
        <v>29</v>
      </c>
      <c r="B11" s="1" t="s">
        <v>487</v>
      </c>
      <c r="D11" s="85" t="str">
        <f>VLOOKUP(ES[[#This Row],[Product Line]],Prod_T6[],5,0)</f>
        <v>Sunpower</v>
      </c>
      <c r="E11" s="2" t="s">
        <v>118</v>
      </c>
      <c r="F11" s="2" t="s">
        <v>180</v>
      </c>
      <c r="G11" s="2" t="s">
        <v>120</v>
      </c>
      <c r="H11" s="2"/>
      <c r="I11" s="43" t="s">
        <v>117</v>
      </c>
      <c r="J11" s="13">
        <v>0</v>
      </c>
      <c r="K11" s="13">
        <v>0.8</v>
      </c>
      <c r="L11" s="13">
        <v>1.2</v>
      </c>
      <c r="M11" s="13">
        <v>0.8</v>
      </c>
      <c r="N11" s="13">
        <v>0.4</v>
      </c>
      <c r="O11" s="13">
        <v>1.2</v>
      </c>
      <c r="P11" s="13">
        <v>1.2</v>
      </c>
      <c r="Q11" s="13">
        <v>1.2</v>
      </c>
      <c r="R11" s="13">
        <v>0.4</v>
      </c>
      <c r="S11" s="32">
        <f>SUM(ES[[#This Row],[26M04]:[26M06]])</f>
        <v>2</v>
      </c>
      <c r="T11" s="69">
        <f>SUM(ES[[#This Row],[26M07]:[26M09]])</f>
        <v>2.4000000000000004</v>
      </c>
      <c r="U11" s="69">
        <f>SUM(ES[[#This Row],[26M10]:[26M12]])</f>
        <v>2.8</v>
      </c>
      <c r="V11" s="256"/>
      <c r="W11" s="256"/>
      <c r="X11" s="256"/>
      <c r="Y11" s="256"/>
      <c r="Z11" s="256"/>
      <c r="AA11" s="256"/>
      <c r="AB11" s="256">
        <f>SUM(ES[[#This Row],[27M01]:[27M03]])</f>
        <v>0</v>
      </c>
      <c r="AC11" s="256">
        <f>SUM(ES[[#This Row],[27M04]:[27M06]])</f>
        <v>0</v>
      </c>
      <c r="AD11" s="256" t="str">
        <f>IF(SUM(ES[[#This Row],[26Q2]:[26Q4]])+SUM(ES[[#This Row],[27Q1]:[27Q2]])=0,"No FSCT",IF(AND(SUM(ES[[#This Row],[26Q2]:[26Q4]])&gt;0,SUM(ES[[#This Row],[27Q1]:[27Q2]])=0),"YES","NO"))</f>
        <v>YES</v>
      </c>
      <c r="AE11" s="85" t="str">
        <f>VLOOKUP(ES[[#This Row],[Product Line]],Prod_T6[],4,0)</f>
        <v>PV</v>
      </c>
      <c r="AH11" s="2" t="str">
        <v>5 - Finalize contract</v>
      </c>
    </row>
    <row r="12" spans="1:34" ht="14.25" customHeight="1">
      <c r="A12" s="14" t="s">
        <v>29</v>
      </c>
      <c r="B12" s="1" t="s">
        <v>487</v>
      </c>
      <c r="D12" s="85" t="str">
        <f>VLOOKUP(ES[[#This Row],[Product Line]],Prod_T6[],5,0)</f>
        <v>Sunpower</v>
      </c>
      <c r="E12" s="2" t="s">
        <v>118</v>
      </c>
      <c r="F12" s="2" t="s">
        <v>255</v>
      </c>
      <c r="G12" s="2" t="s">
        <v>120</v>
      </c>
      <c r="H12" s="2"/>
      <c r="I12" s="43" t="s">
        <v>117</v>
      </c>
      <c r="J12" s="13">
        <v>0.4</v>
      </c>
      <c r="K12" s="13">
        <v>1</v>
      </c>
      <c r="L12" s="13">
        <v>1</v>
      </c>
      <c r="M12" s="13">
        <v>1.2</v>
      </c>
      <c r="N12" s="13">
        <v>0.4</v>
      </c>
      <c r="O12" s="13">
        <v>1</v>
      </c>
      <c r="P12" s="13">
        <v>1.2</v>
      </c>
      <c r="Q12" s="13">
        <v>2</v>
      </c>
      <c r="R12" s="13">
        <v>1.2</v>
      </c>
      <c r="S12" s="32"/>
      <c r="T12" s="69">
        <f>SUM(ES[[#This Row],[26M07]:[26M09]])</f>
        <v>2.6</v>
      </c>
      <c r="U12" s="69">
        <f>SUM(ES[[#This Row],[26M10]:[26M12]])</f>
        <v>4.4000000000000004</v>
      </c>
      <c r="V12" s="256"/>
      <c r="W12" s="256"/>
      <c r="X12" s="256"/>
      <c r="Y12" s="256"/>
      <c r="Z12" s="256"/>
      <c r="AA12" s="256"/>
      <c r="AB12" s="256">
        <f>SUM(ES[[#This Row],[27M01]:[27M03]])</f>
        <v>0</v>
      </c>
      <c r="AC12" s="256">
        <f>SUM(ES[[#This Row],[27M04]:[27M06]])</f>
        <v>0</v>
      </c>
      <c r="AD12" s="256" t="str">
        <f>IF(SUM(ES[[#This Row],[26Q2]:[26Q4]])+SUM(ES[[#This Row],[27Q1]:[27Q2]])=0,"No FSCT",IF(AND(SUM(ES[[#This Row],[26Q2]:[26Q4]])&gt;0,SUM(ES[[#This Row],[27Q1]:[27Q2]])=0),"YES","NO"))</f>
        <v>YES</v>
      </c>
      <c r="AE12" s="85" t="str">
        <f>VLOOKUP(ES[[#This Row],[Product Line]],Prod_T6[],4,0)</f>
        <v>PV</v>
      </c>
      <c r="AH12" s="2" t="str">
        <v>5 - Finalize contract</v>
      </c>
    </row>
    <row r="13" spans="1:34" ht="14.25" customHeight="1">
      <c r="A13" s="14" t="s">
        <v>29</v>
      </c>
      <c r="B13" s="1" t="s">
        <v>487</v>
      </c>
      <c r="D13" s="85" t="str">
        <f>VLOOKUP(ES[[#This Row],[Product Line]],Prod_T6[],5,0)</f>
        <v>Sunpower</v>
      </c>
      <c r="E13" s="2" t="s">
        <v>118</v>
      </c>
      <c r="F13" s="2" t="s">
        <v>119</v>
      </c>
      <c r="G13" s="2" t="s">
        <v>120</v>
      </c>
      <c r="H13" s="2"/>
      <c r="I13" s="43" t="s">
        <v>117</v>
      </c>
      <c r="J13" s="13">
        <v>0.4</v>
      </c>
      <c r="K13" s="13">
        <v>0.4</v>
      </c>
      <c r="L13" s="13">
        <v>0.4</v>
      </c>
      <c r="M13" s="13">
        <v>0.4</v>
      </c>
      <c r="N13" s="13"/>
      <c r="O13" s="13">
        <v>0.8</v>
      </c>
      <c r="P13" s="13">
        <v>0.4</v>
      </c>
      <c r="Q13" s="13">
        <v>0.4</v>
      </c>
      <c r="R13" s="13">
        <v>0.4</v>
      </c>
      <c r="S13" s="32">
        <f>SUM(ES[[#This Row],[26M04]:[26M06]])</f>
        <v>1.2000000000000002</v>
      </c>
      <c r="T13" s="69">
        <f>SUM(ES[[#This Row],[26M07]:[26M09]])</f>
        <v>1.2000000000000002</v>
      </c>
      <c r="U13" s="69">
        <f>SUM(ES[[#This Row],[26M10]:[26M12]])</f>
        <v>1.2000000000000002</v>
      </c>
      <c r="V13" s="256"/>
      <c r="W13" s="256"/>
      <c r="X13" s="256"/>
      <c r="Y13" s="256"/>
      <c r="Z13" s="256"/>
      <c r="AA13" s="256"/>
      <c r="AB13" s="256">
        <f>SUM(ES[[#This Row],[27M01]:[27M03]])</f>
        <v>0</v>
      </c>
      <c r="AC13" s="256">
        <f>SUM(ES[[#This Row],[27M04]:[27M06]])</f>
        <v>0</v>
      </c>
      <c r="AD13" s="256" t="str">
        <f>IF(SUM(ES[[#This Row],[26Q2]:[26Q4]])+SUM(ES[[#This Row],[27Q1]:[27Q2]])=0,"No FSCT",IF(AND(SUM(ES[[#This Row],[26Q2]:[26Q4]])&gt;0,SUM(ES[[#This Row],[27Q1]:[27Q2]])=0),"YES","NO"))</f>
        <v>YES</v>
      </c>
      <c r="AE13" s="85" t="str">
        <f>VLOOKUP(ES[[#This Row],[Product Line]],Prod_T6[],4,0)</f>
        <v>PV</v>
      </c>
      <c r="AH13" s="3" t="str">
        <v>5 - Finalize contract</v>
      </c>
    </row>
    <row r="14" spans="1:34" ht="14.25" customHeight="1">
      <c r="A14" s="14" t="s">
        <v>29</v>
      </c>
      <c r="B14" s="1" t="s">
        <v>487</v>
      </c>
      <c r="D14" s="85" t="str">
        <f>VLOOKUP(ES[[#This Row],[Product Line]],Prod_T6[],5,0)</f>
        <v>TCL</v>
      </c>
      <c r="E14" s="2" t="s">
        <v>149</v>
      </c>
      <c r="F14" s="2" t="s">
        <v>155</v>
      </c>
      <c r="G14" s="2" t="s">
        <v>120</v>
      </c>
      <c r="H14" s="2"/>
      <c r="I14" s="43" t="s">
        <v>132</v>
      </c>
      <c r="J14" s="13">
        <v>2</v>
      </c>
      <c r="K14" s="13">
        <v>1</v>
      </c>
      <c r="L14" s="13">
        <v>2</v>
      </c>
      <c r="M14" s="13">
        <v>1.7</v>
      </c>
      <c r="N14" s="13"/>
      <c r="O14" s="13"/>
      <c r="P14" s="13"/>
      <c r="Q14" s="13"/>
      <c r="R14" s="13"/>
      <c r="S14" s="32">
        <f>SUM(ES[[#This Row],[26M04]:[26M06]])</f>
        <v>5</v>
      </c>
      <c r="T14" s="69">
        <f>SUM(ES[[#This Row],[26M07]:[26M09]])</f>
        <v>1.7</v>
      </c>
      <c r="U14" s="69">
        <f>SUM(ES[[#This Row],[26M10]:[26M12]])</f>
        <v>0</v>
      </c>
      <c r="V14" s="256"/>
      <c r="W14" s="256"/>
      <c r="X14" s="256"/>
      <c r="Y14" s="256"/>
      <c r="Z14" s="256"/>
      <c r="AA14" s="256"/>
      <c r="AB14" s="256">
        <f>SUM(ES[[#This Row],[27M01]:[27M03]])</f>
        <v>0</v>
      </c>
      <c r="AC14" s="256">
        <f>SUM(ES[[#This Row],[27M04]:[27M06]])</f>
        <v>0</v>
      </c>
      <c r="AD14" s="256" t="str">
        <f>IF(SUM(ES[[#This Row],[26Q2]:[26Q4]])+SUM(ES[[#This Row],[27Q1]:[27Q2]])=0,"No FSCT",IF(AND(SUM(ES[[#This Row],[26Q2]:[26Q4]])&gt;0,SUM(ES[[#This Row],[27Q1]:[27Q2]])=0),"YES","NO"))</f>
        <v>YES</v>
      </c>
      <c r="AE14" s="85" t="str">
        <f>VLOOKUP(ES[[#This Row],[Product Line]],Prod_T6[],4,0)</f>
        <v>PV</v>
      </c>
      <c r="AF14" s="3"/>
      <c r="AG14" s="3"/>
      <c r="AH14" s="3" t="str">
        <v>5 - Finalize contract</v>
      </c>
    </row>
    <row r="15" spans="1:34" ht="14.25" customHeight="1">
      <c r="A15" s="14" t="s">
        <v>29</v>
      </c>
      <c r="B15" s="1" t="s">
        <v>487</v>
      </c>
      <c r="D15" s="85" t="str">
        <f>VLOOKUP(ES[[#This Row],[Product Line]],Prod_T6[],5,0)</f>
        <v>TCL</v>
      </c>
      <c r="E15" s="2" t="s">
        <v>149</v>
      </c>
      <c r="F15" s="2" t="s">
        <v>150</v>
      </c>
      <c r="G15" s="2" t="s">
        <v>120</v>
      </c>
      <c r="H15" s="2"/>
      <c r="I15" s="43" t="s">
        <v>132</v>
      </c>
      <c r="J15" s="13"/>
      <c r="K15" s="13"/>
      <c r="L15" s="13">
        <v>4</v>
      </c>
      <c r="M15" s="13"/>
      <c r="N15" s="13"/>
      <c r="O15" s="13"/>
      <c r="P15" s="13"/>
      <c r="Q15" s="13"/>
      <c r="R15" s="13"/>
      <c r="S15" s="32">
        <f>SUM(ES[[#This Row],[26M04]:[26M06]])</f>
        <v>4</v>
      </c>
      <c r="T15" s="69">
        <f>SUM(ES[[#This Row],[26M07]:[26M09]])</f>
        <v>0</v>
      </c>
      <c r="U15" s="69">
        <f>SUM(ES[[#This Row],[26M10]:[26M12]])</f>
        <v>0</v>
      </c>
      <c r="V15" s="256"/>
      <c r="W15" s="256"/>
      <c r="X15" s="256"/>
      <c r="Y15" s="256"/>
      <c r="Z15" s="256"/>
      <c r="AA15" s="256"/>
      <c r="AB15" s="256">
        <f>SUM(ES[[#This Row],[27M01]:[27M03]])</f>
        <v>0</v>
      </c>
      <c r="AC15" s="256">
        <f>SUM(ES[[#This Row],[27M04]:[27M06]])</f>
        <v>0</v>
      </c>
      <c r="AD15" s="256" t="str">
        <f>IF(SUM(ES[[#This Row],[26Q2]:[26Q4]])+SUM(ES[[#This Row],[27Q1]:[27Q2]])=0,"No FSCT",IF(AND(SUM(ES[[#This Row],[26Q2]:[26Q4]])&gt;0,SUM(ES[[#This Row],[27Q1]:[27Q2]])=0),"YES","NO"))</f>
        <v>YES</v>
      </c>
      <c r="AE15" s="85" t="str">
        <f>VLOOKUP(ES[[#This Row],[Product Line]],Prod_T6[],4,0)</f>
        <v>PV</v>
      </c>
      <c r="AF15" s="3"/>
      <c r="AG15" s="3"/>
      <c r="AH15" s="2" t="str">
        <v>5 - Finalize contract</v>
      </c>
    </row>
    <row r="16" spans="1:34" ht="14.25" customHeight="1">
      <c r="A16" s="14" t="s">
        <v>29</v>
      </c>
      <c r="B16" s="1" t="s">
        <v>487</v>
      </c>
      <c r="D16" s="85" t="str">
        <f>VLOOKUP(ES[[#This Row],[Product Line]],Prod_T6[],5,0)</f>
        <v>TCL</v>
      </c>
      <c r="E16" s="2" t="s">
        <v>149</v>
      </c>
      <c r="F16" s="2" t="s">
        <v>391</v>
      </c>
      <c r="G16" s="2" t="s">
        <v>120</v>
      </c>
      <c r="H16" s="2"/>
      <c r="I16" s="43" t="s">
        <v>132</v>
      </c>
      <c r="J16" s="13"/>
      <c r="K16" s="13"/>
      <c r="L16" s="13">
        <v>0.8</v>
      </c>
      <c r="M16" s="13">
        <v>0.8</v>
      </c>
      <c r="N16" s="13"/>
      <c r="O16" s="13"/>
      <c r="P16" s="13"/>
      <c r="Q16" s="13"/>
      <c r="R16" s="13"/>
      <c r="S16" s="32"/>
      <c r="T16" s="69">
        <f>SUM(ES[[#This Row],[26M07]:[26M09]])</f>
        <v>0.8</v>
      </c>
      <c r="U16" s="69">
        <f>SUM(ES[[#This Row],[26M10]:[26M12]])</f>
        <v>0</v>
      </c>
      <c r="V16" s="256"/>
      <c r="W16" s="256"/>
      <c r="X16" s="256"/>
      <c r="Y16" s="256"/>
      <c r="Z16" s="256"/>
      <c r="AA16" s="256"/>
      <c r="AB16" s="256">
        <f>SUM(ES[[#This Row],[27M01]:[27M03]])</f>
        <v>0</v>
      </c>
      <c r="AC16" s="256">
        <f>SUM(ES[[#This Row],[27M04]:[27M06]])</f>
        <v>0</v>
      </c>
      <c r="AD16" s="256" t="str">
        <f>IF(SUM(ES[[#This Row],[26Q2]:[26Q4]])+SUM(ES[[#This Row],[27Q1]:[27Q2]])=0,"No FSCT",IF(AND(SUM(ES[[#This Row],[26Q2]:[26Q4]])&gt;0,SUM(ES[[#This Row],[27Q1]:[27Q2]])=0),"YES","NO"))</f>
        <v>YES</v>
      </c>
      <c r="AE16" s="85" t="str">
        <f>VLOOKUP(ES[[#This Row],[Product Line]],Prod_T6[],4,0)</f>
        <v>PV</v>
      </c>
      <c r="AH16" s="2" t="str">
        <v>5 - Finalize contract</v>
      </c>
    </row>
    <row r="17" spans="1:34" ht="14.25" customHeight="1">
      <c r="A17" s="14" t="s">
        <v>29</v>
      </c>
      <c r="B17" s="1" t="s">
        <v>487</v>
      </c>
      <c r="D17" s="85" t="str">
        <f>VLOOKUP(ES[[#This Row],[Product Line]],Prod_T6[],5,0)</f>
        <v>TCL</v>
      </c>
      <c r="E17" s="2" t="s">
        <v>54</v>
      </c>
      <c r="F17" s="2" t="s">
        <v>160</v>
      </c>
      <c r="G17" s="2" t="s">
        <v>120</v>
      </c>
      <c r="H17" s="2"/>
      <c r="I17" s="43" t="s">
        <v>132</v>
      </c>
      <c r="J17" s="13">
        <v>1</v>
      </c>
      <c r="K17" s="13"/>
      <c r="L17" s="13"/>
      <c r="M17" s="13"/>
      <c r="N17" s="13"/>
      <c r="O17" s="13"/>
      <c r="P17" s="13"/>
      <c r="Q17" s="13"/>
      <c r="R17" s="13"/>
      <c r="S17" s="32">
        <f>SUM(ES[[#This Row],[26M04]:[26M06]])</f>
        <v>1</v>
      </c>
      <c r="T17" s="69">
        <f>SUM(ES[[#This Row],[26M07]:[26M09]])</f>
        <v>0</v>
      </c>
      <c r="U17" s="69">
        <f>SUM(ES[[#This Row],[26M10]:[26M12]])</f>
        <v>0</v>
      </c>
      <c r="V17" s="256"/>
      <c r="W17" s="256"/>
      <c r="X17" s="256"/>
      <c r="Y17" s="256"/>
      <c r="Z17" s="256"/>
      <c r="AA17" s="256"/>
      <c r="AB17" s="256">
        <f>SUM(ES[[#This Row],[27M01]:[27M03]])</f>
        <v>0</v>
      </c>
      <c r="AC17" s="256">
        <f>SUM(ES[[#This Row],[27M04]:[27M06]])</f>
        <v>0</v>
      </c>
      <c r="AD17" s="256" t="str">
        <f>IF(SUM(ES[[#This Row],[26Q2]:[26Q4]])+SUM(ES[[#This Row],[27Q1]:[27Q2]])=0,"No FSCT",IF(AND(SUM(ES[[#This Row],[26Q2]:[26Q4]])&gt;0,SUM(ES[[#This Row],[27Q1]:[27Q2]])=0),"YES","NO"))</f>
        <v>YES</v>
      </c>
      <c r="AE17" s="85" t="str">
        <f>VLOOKUP(ES[[#This Row],[Product Line]],Prod_T6[],4,0)</f>
        <v>PV</v>
      </c>
      <c r="AH17" s="2" t="str">
        <v>5 - Finalize contract</v>
      </c>
    </row>
    <row r="18" spans="1:34" ht="14.25" customHeight="1">
      <c r="A18" s="14" t="s">
        <v>29</v>
      </c>
      <c r="B18" s="1" t="s">
        <v>487</v>
      </c>
      <c r="D18" s="85" t="str">
        <f>VLOOKUP(ES[[#This Row],[Product Line]],Prod_T6[],5,0)</f>
        <v>TCL</v>
      </c>
      <c r="E18" s="2" t="s">
        <v>54</v>
      </c>
      <c r="F18" s="2" t="s">
        <v>297</v>
      </c>
      <c r="G18" s="2" t="s">
        <v>120</v>
      </c>
      <c r="H18" s="2"/>
      <c r="I18" s="43" t="s">
        <v>132</v>
      </c>
      <c r="J18" s="13">
        <v>2</v>
      </c>
      <c r="K18" s="13">
        <v>1</v>
      </c>
      <c r="L18" s="13"/>
      <c r="M18" s="13"/>
      <c r="N18" s="13"/>
      <c r="O18" s="13"/>
      <c r="P18" s="13"/>
      <c r="Q18" s="13"/>
      <c r="R18" s="13"/>
      <c r="S18" s="32">
        <f>SUM(ES[[#This Row],[26M04]:[26M06]])</f>
        <v>3</v>
      </c>
      <c r="T18" s="69">
        <f>SUM(ES[[#This Row],[26M07]:[26M09]])</f>
        <v>0</v>
      </c>
      <c r="U18" s="69">
        <f>SUM(ES[[#This Row],[26M10]:[26M12]])</f>
        <v>0</v>
      </c>
      <c r="V18" s="256"/>
      <c r="W18" s="256"/>
      <c r="X18" s="256"/>
      <c r="Y18" s="256"/>
      <c r="Z18" s="256"/>
      <c r="AA18" s="256"/>
      <c r="AB18" s="256">
        <f>SUM(ES[[#This Row],[27M01]:[27M03]])</f>
        <v>0</v>
      </c>
      <c r="AC18" s="256">
        <f>SUM(ES[[#This Row],[27M04]:[27M06]])</f>
        <v>0</v>
      </c>
      <c r="AD18" s="256" t="str">
        <f>IF(SUM(ES[[#This Row],[26Q2]:[26Q4]])+SUM(ES[[#This Row],[27Q1]:[27Q2]])=0,"No FSCT",IF(AND(SUM(ES[[#This Row],[26Q2]:[26Q4]])&gt;0,SUM(ES[[#This Row],[27Q1]:[27Q2]])=0),"YES","NO"))</f>
        <v>YES</v>
      </c>
      <c r="AE18" s="85" t="str">
        <f>VLOOKUP(ES[[#This Row],[Product Line]],Prod_T6[],4,0)</f>
        <v>PV</v>
      </c>
      <c r="AH18" s="2" t="str">
        <v>5 - Finalize contract</v>
      </c>
    </row>
    <row r="19" spans="1:34" ht="14.25" customHeight="1">
      <c r="A19" s="14" t="s">
        <v>29</v>
      </c>
      <c r="B19" s="1" t="s">
        <v>487</v>
      </c>
      <c r="D19" s="85" t="str">
        <f>VLOOKUP(ES[[#This Row],[Product Line]],Prod_T6[],5,0)</f>
        <v>TCL</v>
      </c>
      <c r="E19" s="2" t="s">
        <v>113</v>
      </c>
      <c r="F19" s="2" t="s">
        <v>153</v>
      </c>
      <c r="G19" s="2" t="s">
        <v>120</v>
      </c>
      <c r="H19" s="2"/>
      <c r="I19" s="43" t="s">
        <v>132</v>
      </c>
      <c r="J19" s="13"/>
      <c r="K19" s="13">
        <v>2</v>
      </c>
      <c r="L19" s="13"/>
      <c r="M19" s="13">
        <v>0.8</v>
      </c>
      <c r="N19" s="13"/>
      <c r="O19" s="13"/>
      <c r="P19" s="13"/>
      <c r="Q19" s="13"/>
      <c r="R19" s="13"/>
      <c r="S19" s="32">
        <f>SUM(ES[[#This Row],[26M04]:[26M06]])</f>
        <v>2</v>
      </c>
      <c r="T19" s="69">
        <f>SUM(ES[[#This Row],[26M07]:[26M09]])</f>
        <v>0.8</v>
      </c>
      <c r="U19" s="69">
        <f>SUM(ES[[#This Row],[26M10]:[26M12]])</f>
        <v>0</v>
      </c>
      <c r="V19" s="256"/>
      <c r="W19" s="256"/>
      <c r="X19" s="256"/>
      <c r="Y19" s="256"/>
      <c r="Z19" s="256"/>
      <c r="AA19" s="256"/>
      <c r="AB19" s="256">
        <f>SUM(ES[[#This Row],[27M01]:[27M03]])</f>
        <v>0</v>
      </c>
      <c r="AC19" s="256">
        <f>SUM(ES[[#This Row],[27M04]:[27M06]])</f>
        <v>0</v>
      </c>
      <c r="AD19" s="256" t="str">
        <f>IF(SUM(ES[[#This Row],[26Q2]:[26Q4]])+SUM(ES[[#This Row],[27Q1]:[27Q2]])=0,"No FSCT",IF(AND(SUM(ES[[#This Row],[26Q2]:[26Q4]])&gt;0,SUM(ES[[#This Row],[27Q1]:[27Q2]])=0),"YES","NO"))</f>
        <v>YES</v>
      </c>
      <c r="AE19" s="85" t="str">
        <f>VLOOKUP(ES[[#This Row],[Product Line]],Prod_T6[],4,0)</f>
        <v>PV</v>
      </c>
      <c r="AH19" s="2" t="str">
        <v>5 - Finalize contract</v>
      </c>
    </row>
    <row r="20" spans="1:34" ht="14.25" customHeight="1">
      <c r="A20" s="14" t="s">
        <v>29</v>
      </c>
      <c r="B20" s="1" t="s">
        <v>487</v>
      </c>
      <c r="D20" s="85" t="str">
        <f>VLOOKUP(ES[[#This Row],[Product Line]],Prod_T6[],5,0)</f>
        <v>TCL</v>
      </c>
      <c r="E20" s="2" t="s">
        <v>113</v>
      </c>
      <c r="F20" s="2" t="s">
        <v>182</v>
      </c>
      <c r="G20" s="2" t="s">
        <v>120</v>
      </c>
      <c r="H20" s="2"/>
      <c r="I20" s="43" t="s">
        <v>132</v>
      </c>
      <c r="J20" s="13"/>
      <c r="K20" s="13">
        <v>1</v>
      </c>
      <c r="L20" s="13"/>
      <c r="M20" s="13"/>
      <c r="N20" s="13"/>
      <c r="O20" s="13"/>
      <c r="P20" s="13"/>
      <c r="Q20" s="13"/>
      <c r="R20" s="13"/>
      <c r="S20" s="32">
        <f>SUM(ES[[#This Row],[26M04]:[26M06]])</f>
        <v>1</v>
      </c>
      <c r="T20" s="69">
        <f>SUM(ES[[#This Row],[26M07]:[26M09]])</f>
        <v>0</v>
      </c>
      <c r="U20" s="69">
        <f>SUM(ES[[#This Row],[26M10]:[26M12]])</f>
        <v>0</v>
      </c>
      <c r="V20" s="256"/>
      <c r="W20" s="256"/>
      <c r="X20" s="256"/>
      <c r="Y20" s="256"/>
      <c r="Z20" s="256"/>
      <c r="AA20" s="256"/>
      <c r="AB20" s="256">
        <f>SUM(ES[[#This Row],[27M01]:[27M03]])</f>
        <v>0</v>
      </c>
      <c r="AC20" s="256">
        <f>SUM(ES[[#This Row],[27M04]:[27M06]])</f>
        <v>0</v>
      </c>
      <c r="AD20" s="256" t="str">
        <f>IF(SUM(ES[[#This Row],[26Q2]:[26Q4]])+SUM(ES[[#This Row],[27Q1]:[27Q2]])=0,"No FSCT",IF(AND(SUM(ES[[#This Row],[26Q2]:[26Q4]])&gt;0,SUM(ES[[#This Row],[27Q1]:[27Q2]])=0),"YES","NO"))</f>
        <v>YES</v>
      </c>
      <c r="AE20" s="85" t="str">
        <f>VLOOKUP(ES[[#This Row],[Product Line]],Prod_T6[],4,0)</f>
        <v>PV</v>
      </c>
      <c r="AH20" s="2" t="str">
        <v>5 - Finalize contract</v>
      </c>
    </row>
    <row r="21" spans="1:34" ht="14.25" customHeight="1">
      <c r="A21" s="14" t="s">
        <v>29</v>
      </c>
      <c r="B21" s="1" t="s">
        <v>487</v>
      </c>
      <c r="D21" s="275" t="str">
        <f>VLOOKUP(ES[[#This Row],[Product Line]],Prod_T6[],5,0)</f>
        <v>TCL</v>
      </c>
      <c r="E21" s="2" t="s">
        <v>54</v>
      </c>
      <c r="F21" s="2" t="s">
        <v>299</v>
      </c>
      <c r="G21" s="2" t="s">
        <v>120</v>
      </c>
      <c r="H21" s="2" t="s">
        <v>490</v>
      </c>
      <c r="I21" s="43" t="s">
        <v>117</v>
      </c>
      <c r="J21" s="13"/>
      <c r="K21" s="13"/>
      <c r="L21" s="13"/>
      <c r="M21" s="13"/>
      <c r="N21" s="13"/>
      <c r="O21" s="67"/>
      <c r="P21" s="67">
        <v>3.4</v>
      </c>
      <c r="Q21" s="67">
        <v>5</v>
      </c>
      <c r="R21" s="67">
        <v>1.2</v>
      </c>
      <c r="S21" s="32">
        <f>SUM(ES[[#This Row],[26M04]:[26M06]])</f>
        <v>0</v>
      </c>
      <c r="T21" s="69">
        <f>SUM(ES[[#This Row],[26M07]:[26M09]])</f>
        <v>0</v>
      </c>
      <c r="U21" s="69">
        <f>SUM(ES[[#This Row],[26M10]:[26M12]])</f>
        <v>9.6</v>
      </c>
      <c r="V21" s="256"/>
      <c r="W21" s="256"/>
      <c r="X21" s="256"/>
      <c r="Y21" s="256"/>
      <c r="Z21" s="256"/>
      <c r="AA21" s="256"/>
      <c r="AB21" s="256">
        <f>SUM(ES[[#This Row],[27M01]:[27M03]])</f>
        <v>0</v>
      </c>
      <c r="AC21" s="256">
        <f>SUM(ES[[#This Row],[27M04]:[27M06]])</f>
        <v>0</v>
      </c>
      <c r="AD21" s="256" t="str">
        <f>IF(SUM(ES[[#This Row],[26Q2]:[26Q4]])+SUM(ES[[#This Row],[27Q1]:[27Q2]])=0,"No FSCT",IF(AND(SUM(ES[[#This Row],[26Q2]:[26Q4]])&gt;0,SUM(ES[[#This Row],[27Q1]:[27Q2]])=0),"YES","NO"))</f>
        <v>YES</v>
      </c>
      <c r="AE21" s="120" t="str">
        <f>VLOOKUP(ES[[#This Row],[Product Line]],Prod_T6[],4,0)</f>
        <v>PV</v>
      </c>
      <c r="AH21" s="2" t="str">
        <v>5 - Finalize contract</v>
      </c>
    </row>
    <row r="22" spans="1:34" ht="14.25" customHeight="1">
      <c r="A22" s="14" t="s">
        <v>29</v>
      </c>
      <c r="B22" s="1" t="s">
        <v>486</v>
      </c>
      <c r="D22" s="85" t="str">
        <f>VLOOKUP(ES[[#This Row],[Product Line]],Prod_T6[],5,0)</f>
        <v>TCL</v>
      </c>
      <c r="E22" s="2" t="s">
        <v>149</v>
      </c>
      <c r="F22" s="2" t="s">
        <v>155</v>
      </c>
      <c r="G22" s="2" t="s">
        <v>154</v>
      </c>
      <c r="H22" s="2"/>
      <c r="I22" s="43" t="s">
        <v>132</v>
      </c>
      <c r="J22" s="13">
        <v>2</v>
      </c>
      <c r="K22" s="13"/>
      <c r="L22" s="13"/>
      <c r="M22" s="13"/>
      <c r="N22" s="13"/>
      <c r="O22" s="13">
        <v>0.8</v>
      </c>
      <c r="P22" s="13"/>
      <c r="Q22" s="13"/>
      <c r="R22" s="13"/>
      <c r="S22" s="32">
        <f>SUM(ES[[#This Row],[26M04]:[26M06]])</f>
        <v>2</v>
      </c>
      <c r="T22" s="69">
        <f>SUM(ES[[#This Row],[26M07]:[26M09]])</f>
        <v>0.8</v>
      </c>
      <c r="U22" s="69">
        <f>SUM(ES[[#This Row],[26M10]:[26M12]])</f>
        <v>0</v>
      </c>
      <c r="V22" s="256"/>
      <c r="W22" s="256"/>
      <c r="X22" s="256"/>
      <c r="Y22" s="256"/>
      <c r="Z22" s="256"/>
      <c r="AA22" s="256"/>
      <c r="AB22" s="256">
        <f>SUM(ES[[#This Row],[27M01]:[27M03]])</f>
        <v>0</v>
      </c>
      <c r="AC22" s="256">
        <f>SUM(ES[[#This Row],[27M04]:[27M06]])</f>
        <v>0</v>
      </c>
      <c r="AD22" s="256" t="str">
        <f>IF(SUM(ES[[#This Row],[26Q2]:[26Q4]])+SUM(ES[[#This Row],[27Q1]:[27Q2]])=0,"No FSCT",IF(AND(SUM(ES[[#This Row],[26Q2]:[26Q4]])&gt;0,SUM(ES[[#This Row],[27Q1]:[27Q2]])=0),"YES","NO"))</f>
        <v>YES</v>
      </c>
      <c r="AE22" s="85" t="str">
        <f>VLOOKUP(ES[[#This Row],[Product Line]],Prod_T6[],4,0)</f>
        <v>PV</v>
      </c>
      <c r="AH22" s="2" t="str">
        <v>4 - BAFO</v>
      </c>
    </row>
    <row r="23" spans="1:34" ht="14.25" customHeight="1">
      <c r="A23" s="14" t="s">
        <v>29</v>
      </c>
      <c r="B23" s="1" t="s">
        <v>486</v>
      </c>
      <c r="D23" s="85" t="str">
        <f>VLOOKUP(ES[[#This Row],[Product Line]],Prod_T6[],5,0)</f>
        <v>TCL</v>
      </c>
      <c r="E23" s="2" t="s">
        <v>149</v>
      </c>
      <c r="F23" s="2" t="s">
        <v>491</v>
      </c>
      <c r="G23" s="2" t="s">
        <v>154</v>
      </c>
      <c r="H23" s="2"/>
      <c r="I23" s="43" t="s">
        <v>132</v>
      </c>
      <c r="J23" s="13"/>
      <c r="K23" s="13">
        <v>2</v>
      </c>
      <c r="L23" s="13"/>
      <c r="M23" s="13"/>
      <c r="N23" s="13"/>
      <c r="O23" s="13"/>
      <c r="P23" s="13"/>
      <c r="Q23" s="13"/>
      <c r="R23" s="13"/>
      <c r="S23" s="32">
        <f>SUM(ES[[#This Row],[26M04]:[26M06]])</f>
        <v>2</v>
      </c>
      <c r="T23" s="69">
        <f>SUM(ES[[#This Row],[26M07]:[26M09]])</f>
        <v>0</v>
      </c>
      <c r="U23" s="69">
        <f>SUM(ES[[#This Row],[26M10]:[26M12]])</f>
        <v>0</v>
      </c>
      <c r="V23" s="256"/>
      <c r="W23" s="256"/>
      <c r="X23" s="256"/>
      <c r="Y23" s="256"/>
      <c r="Z23" s="256"/>
      <c r="AA23" s="256"/>
      <c r="AB23" s="256">
        <f>SUM(ES[[#This Row],[27M01]:[27M03]])</f>
        <v>0</v>
      </c>
      <c r="AC23" s="256">
        <f>SUM(ES[[#This Row],[27M04]:[27M06]])</f>
        <v>0</v>
      </c>
      <c r="AD23" s="256" t="str">
        <f>IF(SUM(ES[[#This Row],[26Q2]:[26Q4]])+SUM(ES[[#This Row],[27Q1]:[27Q2]])=0,"No FSCT",IF(AND(SUM(ES[[#This Row],[26Q2]:[26Q4]])&gt;0,SUM(ES[[#This Row],[27Q1]:[27Q2]])=0),"YES","NO"))</f>
        <v>YES</v>
      </c>
      <c r="AE23" s="85" t="str">
        <f>VLOOKUP(ES[[#This Row],[Product Line]],Prod_T6[],4,0)</f>
        <v>PV</v>
      </c>
      <c r="AH23" s="2" t="str">
        <v>4 - BAFO</v>
      </c>
    </row>
    <row r="24" spans="1:34" ht="14.25" customHeight="1">
      <c r="A24" s="14" t="s">
        <v>29</v>
      </c>
      <c r="B24" s="1" t="s">
        <v>486</v>
      </c>
      <c r="D24" s="85" t="str">
        <f>VLOOKUP(ES[[#This Row],[Product Line]],Prod_T6[],5,0)</f>
        <v>TCL</v>
      </c>
      <c r="E24" s="2" t="s">
        <v>149</v>
      </c>
      <c r="F24" s="2" t="s">
        <v>150</v>
      </c>
      <c r="G24" s="2" t="s">
        <v>154</v>
      </c>
      <c r="H24" s="2"/>
      <c r="I24" s="43" t="s">
        <v>132</v>
      </c>
      <c r="J24" s="13"/>
      <c r="K24" s="13"/>
      <c r="L24" s="13">
        <v>1</v>
      </c>
      <c r="M24" s="13"/>
      <c r="N24" s="13"/>
      <c r="O24" s="13">
        <v>1.6</v>
      </c>
      <c r="P24" s="13"/>
      <c r="Q24" s="13">
        <v>1.2</v>
      </c>
      <c r="R24" s="13">
        <v>0.8</v>
      </c>
      <c r="S24" s="32">
        <f>SUM(ES[[#This Row],[26M04]:[26M06]])</f>
        <v>1</v>
      </c>
      <c r="T24" s="69">
        <f>SUM(ES[[#This Row],[26M07]:[26M09]])</f>
        <v>1.6</v>
      </c>
      <c r="U24" s="69">
        <f>SUM(ES[[#This Row],[26M10]:[26M12]])</f>
        <v>2</v>
      </c>
      <c r="V24" s="256"/>
      <c r="W24" s="256"/>
      <c r="X24" s="256"/>
      <c r="Y24" s="256"/>
      <c r="Z24" s="256"/>
      <c r="AA24" s="256"/>
      <c r="AB24" s="256">
        <f>SUM(ES[[#This Row],[27M01]:[27M03]])</f>
        <v>0</v>
      </c>
      <c r="AC24" s="256">
        <f>SUM(ES[[#This Row],[27M04]:[27M06]])</f>
        <v>0</v>
      </c>
      <c r="AD24" s="256" t="str">
        <f>IF(SUM(ES[[#This Row],[26Q2]:[26Q4]])+SUM(ES[[#This Row],[27Q1]:[27Q2]])=0,"No FSCT",IF(AND(SUM(ES[[#This Row],[26Q2]:[26Q4]])&gt;0,SUM(ES[[#This Row],[27Q1]:[27Q2]])=0),"YES","NO"))</f>
        <v>YES</v>
      </c>
      <c r="AE24" s="85" t="str">
        <f>VLOOKUP(ES[[#This Row],[Product Line]],Prod_T6[],4,0)</f>
        <v>PV</v>
      </c>
      <c r="AH24" s="2" t="str">
        <v>4 - BAFO</v>
      </c>
    </row>
    <row r="25" spans="1:34" ht="14.25" customHeight="1">
      <c r="A25" s="14" t="s">
        <v>29</v>
      </c>
      <c r="B25" s="1" t="s">
        <v>486</v>
      </c>
      <c r="D25" s="85" t="str">
        <f>VLOOKUP(ES[[#This Row],[Product Line]],Prod_T6[],5,0)</f>
        <v>TCL</v>
      </c>
      <c r="E25" s="2" t="s">
        <v>54</v>
      </c>
      <c r="F25" s="2" t="s">
        <v>160</v>
      </c>
      <c r="G25" s="2" t="s">
        <v>154</v>
      </c>
      <c r="H25" s="2"/>
      <c r="I25" s="43" t="s">
        <v>132</v>
      </c>
      <c r="J25" s="13"/>
      <c r="K25" s="13"/>
      <c r="L25" s="13"/>
      <c r="M25" s="13"/>
      <c r="N25" s="13"/>
      <c r="O25" s="13">
        <v>0.8</v>
      </c>
      <c r="P25" s="13"/>
      <c r="Q25" s="13"/>
      <c r="R25" s="13"/>
      <c r="S25" s="32">
        <f>SUM(ES[[#This Row],[26M04]:[26M06]])</f>
        <v>0</v>
      </c>
      <c r="T25" s="69">
        <f>SUM(ES[[#This Row],[26M07]:[26M09]])</f>
        <v>0.8</v>
      </c>
      <c r="U25" s="69">
        <f>SUM(ES[[#This Row],[26M10]:[26M12]])</f>
        <v>0</v>
      </c>
      <c r="V25" s="256"/>
      <c r="W25" s="256"/>
      <c r="X25" s="256"/>
      <c r="Y25" s="256"/>
      <c r="Z25" s="256"/>
      <c r="AA25" s="256"/>
      <c r="AB25" s="256">
        <f>SUM(ES[[#This Row],[27M01]:[27M03]])</f>
        <v>0</v>
      </c>
      <c r="AC25" s="256">
        <f>SUM(ES[[#This Row],[27M04]:[27M06]])</f>
        <v>0</v>
      </c>
      <c r="AD25" s="256" t="str">
        <f>IF(SUM(ES[[#This Row],[26Q2]:[26Q4]])+SUM(ES[[#This Row],[27Q1]:[27Q2]])=0,"No FSCT",IF(AND(SUM(ES[[#This Row],[26Q2]:[26Q4]])&gt;0,SUM(ES[[#This Row],[27Q1]:[27Q2]])=0),"YES","NO"))</f>
        <v>YES</v>
      </c>
      <c r="AE25" s="85" t="str">
        <f>VLOOKUP(ES[[#This Row],[Product Line]],Prod_T6[],4,0)</f>
        <v>PV</v>
      </c>
      <c r="AH25" s="2" t="str">
        <v>4 - BAFO</v>
      </c>
    </row>
    <row r="26" spans="1:34" ht="14.25" customHeight="1">
      <c r="A26" s="14" t="s">
        <v>29</v>
      </c>
      <c r="B26" s="1" t="s">
        <v>486</v>
      </c>
      <c r="D26" s="85" t="str">
        <f>VLOOKUP(ES[[#This Row],[Product Line]],Prod_T6[],5,0)</f>
        <v>TCL</v>
      </c>
      <c r="E26" s="2" t="s">
        <v>113</v>
      </c>
      <c r="F26" s="2" t="s">
        <v>182</v>
      </c>
      <c r="G26" s="2" t="s">
        <v>120</v>
      </c>
      <c r="H26" s="2"/>
      <c r="I26" s="43" t="s">
        <v>132</v>
      </c>
      <c r="J26" s="13"/>
      <c r="K26" s="13"/>
      <c r="L26" s="13">
        <v>0.8</v>
      </c>
      <c r="M26" s="13"/>
      <c r="N26" s="13"/>
      <c r="O26" s="13">
        <v>0.4</v>
      </c>
      <c r="P26" s="13">
        <v>0.8</v>
      </c>
      <c r="Q26" s="13">
        <v>0.8</v>
      </c>
      <c r="R26" s="13"/>
      <c r="S26" s="32">
        <f>SUM(ES[[#This Row],[26M04]:[26M06]])</f>
        <v>0.8</v>
      </c>
      <c r="T26" s="69">
        <f>SUM(ES[[#This Row],[26M07]:[26M09]])</f>
        <v>0.4</v>
      </c>
      <c r="U26" s="69">
        <f>SUM(ES[[#This Row],[26M10]:[26M12]])</f>
        <v>1.6</v>
      </c>
      <c r="V26" s="256"/>
      <c r="W26" s="256"/>
      <c r="X26" s="256"/>
      <c r="Y26" s="256"/>
      <c r="Z26" s="256"/>
      <c r="AA26" s="256"/>
      <c r="AB26" s="256">
        <f>SUM(ES[[#This Row],[27M01]:[27M03]])</f>
        <v>0</v>
      </c>
      <c r="AC26" s="256">
        <f>SUM(ES[[#This Row],[27M04]:[27M06]])</f>
        <v>0</v>
      </c>
      <c r="AD26" s="256" t="str">
        <f>IF(SUM(ES[[#This Row],[26Q2]:[26Q4]])+SUM(ES[[#This Row],[27Q1]:[27Q2]])=0,"No FSCT",IF(AND(SUM(ES[[#This Row],[26Q2]:[26Q4]])&gt;0,SUM(ES[[#This Row],[27Q1]:[27Q2]])=0),"YES","NO"))</f>
        <v>YES</v>
      </c>
      <c r="AE26" s="85" t="str">
        <f>VLOOKUP(ES[[#This Row],[Product Line]],Prod_T6[],4,0)</f>
        <v>PV</v>
      </c>
      <c r="AH26" s="2" t="str">
        <v>5 - Finalize contract</v>
      </c>
    </row>
    <row r="27" spans="1:34" ht="14.25" customHeight="1">
      <c r="A27" s="14" t="s">
        <v>29</v>
      </c>
      <c r="B27" s="1" t="s">
        <v>476</v>
      </c>
      <c r="D27" s="85" t="str">
        <f>VLOOKUP(ES[[#This Row],[Product Line]],Prod_T6[],5,0)</f>
        <v>TCL</v>
      </c>
      <c r="E27" s="2" t="s">
        <v>149</v>
      </c>
      <c r="F27" s="2" t="s">
        <v>150</v>
      </c>
      <c r="G27" s="2" t="s">
        <v>120</v>
      </c>
      <c r="H27" s="2"/>
      <c r="I27" s="43" t="s">
        <v>132</v>
      </c>
      <c r="J27" s="13"/>
      <c r="K27" s="13">
        <v>0.4</v>
      </c>
      <c r="L27" s="13"/>
      <c r="M27" s="13"/>
      <c r="N27" s="13"/>
      <c r="O27" s="13">
        <v>0.8</v>
      </c>
      <c r="P27" s="13"/>
      <c r="Q27" s="13">
        <v>0.8</v>
      </c>
      <c r="R27" s="13"/>
      <c r="S27" s="32">
        <f>SUM(ES[[#This Row],[26M04]:[26M06]])</f>
        <v>0.4</v>
      </c>
      <c r="T27" s="69">
        <f>SUM(ES[[#This Row],[26M07]:[26M09]])</f>
        <v>0.8</v>
      </c>
      <c r="U27" s="69">
        <f>SUM(ES[[#This Row],[26M10]:[26M12]])</f>
        <v>0.8</v>
      </c>
      <c r="V27" s="256"/>
      <c r="W27" s="256"/>
      <c r="X27" s="256"/>
      <c r="Y27" s="256"/>
      <c r="Z27" s="256"/>
      <c r="AA27" s="256"/>
      <c r="AB27" s="256">
        <f>SUM(ES[[#This Row],[27M01]:[27M03]])</f>
        <v>0</v>
      </c>
      <c r="AC27" s="256">
        <f>SUM(ES[[#This Row],[27M04]:[27M06]])</f>
        <v>0</v>
      </c>
      <c r="AD27" s="256" t="str">
        <f>IF(SUM(ES[[#This Row],[26Q2]:[26Q4]])+SUM(ES[[#This Row],[27Q1]:[27Q2]])=0,"No FSCT",IF(AND(SUM(ES[[#This Row],[26Q2]:[26Q4]])&gt;0,SUM(ES[[#This Row],[27Q1]:[27Q2]])=0),"YES","NO"))</f>
        <v>YES</v>
      </c>
      <c r="AE27" s="85" t="str">
        <f>VLOOKUP(ES[[#This Row],[Product Line]],Prod_T6[],4,0)</f>
        <v>PV</v>
      </c>
      <c r="AH27" s="2" t="str">
        <v>5 - Finalize contract</v>
      </c>
    </row>
    <row r="28" spans="1:34" ht="14.25" customHeight="1">
      <c r="A28" s="14" t="s">
        <v>29</v>
      </c>
      <c r="B28" s="1" t="s">
        <v>476</v>
      </c>
      <c r="D28" s="85" t="str">
        <f>VLOOKUP(ES[[#This Row],[Product Line]],Prod_T6[],5,0)</f>
        <v>TCL</v>
      </c>
      <c r="E28" s="2" t="s">
        <v>149</v>
      </c>
      <c r="F28" s="2" t="s">
        <v>391</v>
      </c>
      <c r="G28" s="2" t="s">
        <v>136</v>
      </c>
      <c r="H28" s="2"/>
      <c r="I28" s="43" t="s">
        <v>132</v>
      </c>
      <c r="J28" s="13">
        <v>1</v>
      </c>
      <c r="K28" s="13"/>
      <c r="L28" s="13"/>
      <c r="M28" s="13"/>
      <c r="N28" s="13"/>
      <c r="O28" s="13"/>
      <c r="P28" s="13"/>
      <c r="Q28" s="13"/>
      <c r="R28" s="13">
        <v>0.4</v>
      </c>
      <c r="S28" s="32">
        <f>SUM(ES[[#This Row],[26M04]:[26M06]])</f>
        <v>1</v>
      </c>
      <c r="T28" s="69">
        <f>SUM(ES[[#This Row],[26M07]:[26M09]])</f>
        <v>0</v>
      </c>
      <c r="U28" s="69">
        <f>SUM(ES[[#This Row],[26M10]:[26M12]])</f>
        <v>0.4</v>
      </c>
      <c r="V28" s="256"/>
      <c r="W28" s="256"/>
      <c r="X28" s="256"/>
      <c r="Y28" s="256"/>
      <c r="Z28" s="256"/>
      <c r="AA28" s="256"/>
      <c r="AB28" s="256">
        <f>SUM(ES[[#This Row],[27M01]:[27M03]])</f>
        <v>0</v>
      </c>
      <c r="AC28" s="256">
        <f>SUM(ES[[#This Row],[27M04]:[27M06]])</f>
        <v>0</v>
      </c>
      <c r="AD28" s="256" t="str">
        <f>IF(SUM(ES[[#This Row],[26Q2]:[26Q4]])+SUM(ES[[#This Row],[27Q1]:[27Q2]])=0,"No FSCT",IF(AND(SUM(ES[[#This Row],[26Q2]:[26Q4]])&gt;0,SUM(ES[[#This Row],[27Q1]:[27Q2]])=0),"YES","NO"))</f>
        <v>YES</v>
      </c>
      <c r="AE28" s="85" t="str">
        <f>VLOOKUP(ES[[#This Row],[Product Line]],Prod_T6[],4,0)</f>
        <v>PV</v>
      </c>
      <c r="AH28" s="2" t="str">
        <v>3 - Negotiation</v>
      </c>
    </row>
    <row r="29" spans="1:34" ht="14.25" customHeight="1">
      <c r="A29" s="14" t="s">
        <v>29</v>
      </c>
      <c r="B29" s="1" t="s">
        <v>477</v>
      </c>
      <c r="D29" s="85" t="str">
        <f>VLOOKUP(ES[[#This Row],[Product Line]],Prod_T6[],5,0)</f>
        <v>TCL</v>
      </c>
      <c r="E29" s="2" t="s">
        <v>149</v>
      </c>
      <c r="F29" s="2" t="s">
        <v>150</v>
      </c>
      <c r="G29" s="2" t="s">
        <v>136</v>
      </c>
      <c r="H29" s="2"/>
      <c r="I29" s="43" t="s">
        <v>132</v>
      </c>
      <c r="J29" s="13"/>
      <c r="K29" s="13"/>
      <c r="L29" s="13"/>
      <c r="M29" s="13">
        <v>1.6</v>
      </c>
      <c r="N29" s="13"/>
      <c r="O29" s="13">
        <v>0.4</v>
      </c>
      <c r="P29" s="13">
        <v>0.4</v>
      </c>
      <c r="Q29" s="13">
        <v>0.4</v>
      </c>
      <c r="R29" s="13">
        <v>0.4</v>
      </c>
      <c r="S29" s="32">
        <f>SUM(ES[[#This Row],[26M04]:[26M06]])</f>
        <v>0</v>
      </c>
      <c r="T29" s="69">
        <f>SUM(ES[[#This Row],[26M07]:[26M09]])</f>
        <v>2</v>
      </c>
      <c r="U29" s="69">
        <f>SUM(ES[[#This Row],[26M10]:[26M12]])</f>
        <v>1.2000000000000002</v>
      </c>
      <c r="V29" s="256"/>
      <c r="W29" s="256"/>
      <c r="X29" s="256"/>
      <c r="Y29" s="256"/>
      <c r="Z29" s="256"/>
      <c r="AA29" s="256"/>
      <c r="AB29" s="256">
        <f>SUM(ES[[#This Row],[27M01]:[27M03]])</f>
        <v>0</v>
      </c>
      <c r="AC29" s="256">
        <f>SUM(ES[[#This Row],[27M04]:[27M06]])</f>
        <v>0</v>
      </c>
      <c r="AD29" s="256" t="str">
        <f>IF(SUM(ES[[#This Row],[26Q2]:[26Q4]])+SUM(ES[[#This Row],[27Q1]:[27Q2]])=0,"No FSCT",IF(AND(SUM(ES[[#This Row],[26Q2]:[26Q4]])&gt;0,SUM(ES[[#This Row],[27Q1]:[27Q2]])=0),"YES","NO"))</f>
        <v>YES</v>
      </c>
      <c r="AE29" s="120" t="str">
        <f>VLOOKUP(ES[[#This Row],[Product Line]],Prod_T6[],4,0)</f>
        <v>PV</v>
      </c>
      <c r="AH29" s="2" t="str">
        <v>3 - Negotiation</v>
      </c>
    </row>
    <row r="30" spans="1:34" ht="14.25" customHeight="1">
      <c r="A30" s="14" t="s">
        <v>29</v>
      </c>
      <c r="B30" s="1" t="s">
        <v>477</v>
      </c>
      <c r="D30" s="85" t="str">
        <f>VLOOKUP(ES[[#This Row],[Product Line]],Prod_T6[],5,0)</f>
        <v>TCL</v>
      </c>
      <c r="E30" s="2" t="s">
        <v>149</v>
      </c>
      <c r="F30" s="2" t="s">
        <v>155</v>
      </c>
      <c r="G30" s="2" t="s">
        <v>136</v>
      </c>
      <c r="H30" s="2"/>
      <c r="I30" s="43" t="s">
        <v>132</v>
      </c>
      <c r="J30" s="13"/>
      <c r="K30" s="13">
        <v>0.4</v>
      </c>
      <c r="L30" s="13">
        <v>0.4</v>
      </c>
      <c r="M30" s="13">
        <v>0.4</v>
      </c>
      <c r="N30" s="13"/>
      <c r="O30" s="67">
        <v>0.4</v>
      </c>
      <c r="P30" s="67"/>
      <c r="Q30" s="67"/>
      <c r="R30" s="67"/>
      <c r="S30" s="32">
        <f>SUM(ES[[#This Row],[26M04]:[26M06]])</f>
        <v>0.8</v>
      </c>
      <c r="T30" s="69">
        <f>SUM(ES[[#This Row],[26M07]:[26M09]])</f>
        <v>0.8</v>
      </c>
      <c r="U30" s="69">
        <f>SUM(ES[[#This Row],[26M10]:[26M12]])</f>
        <v>0</v>
      </c>
      <c r="V30" s="256"/>
      <c r="W30" s="256"/>
      <c r="X30" s="256"/>
      <c r="Y30" s="256"/>
      <c r="Z30" s="256"/>
      <c r="AA30" s="256"/>
      <c r="AB30" s="256">
        <f>SUM(ES[[#This Row],[27M01]:[27M03]])</f>
        <v>0</v>
      </c>
      <c r="AC30" s="256">
        <f>SUM(ES[[#This Row],[27M04]:[27M06]])</f>
        <v>0</v>
      </c>
      <c r="AD30" s="256" t="str">
        <f>IF(SUM(ES[[#This Row],[26Q2]:[26Q4]])+SUM(ES[[#This Row],[27Q1]:[27Q2]])=0,"No FSCT",IF(AND(SUM(ES[[#This Row],[26Q2]:[26Q4]])&gt;0,SUM(ES[[#This Row],[27Q1]:[27Q2]])=0),"YES","NO"))</f>
        <v>YES</v>
      </c>
      <c r="AE30" s="120" t="str">
        <f>VLOOKUP(ES[[#This Row],[Product Line]],Prod_T6[],4,0)</f>
        <v>PV</v>
      </c>
      <c r="AH30" s="2" t="str">
        <v>3 - Negotiation</v>
      </c>
    </row>
    <row r="31" spans="1:34" ht="14.25" customHeight="1">
      <c r="A31" s="29" t="s">
        <v>29</v>
      </c>
      <c r="B31" s="1" t="s">
        <v>478</v>
      </c>
      <c r="D31" s="85" t="str">
        <f>VLOOKUP(ES[[#This Row],[Product Line]],Prod_T6[],5,0)</f>
        <v>TCL</v>
      </c>
      <c r="E31" s="2" t="s">
        <v>149</v>
      </c>
      <c r="F31" s="2" t="s">
        <v>150</v>
      </c>
      <c r="G31" s="2" t="s">
        <v>120</v>
      </c>
      <c r="H31" s="2"/>
      <c r="I31" s="43" t="s">
        <v>117</v>
      </c>
      <c r="J31" s="13"/>
      <c r="K31" s="13"/>
      <c r="L31" s="13"/>
      <c r="M31" s="13"/>
      <c r="N31" s="13"/>
      <c r="O31" s="67">
        <v>0.4</v>
      </c>
      <c r="P31" s="67"/>
      <c r="Q31" s="67">
        <v>0.4</v>
      </c>
      <c r="R31" s="67"/>
      <c r="S31" s="32">
        <f>SUM(ES[[#This Row],[26M04]:[26M06]])</f>
        <v>0</v>
      </c>
      <c r="T31" s="69">
        <f>SUM(ES[[#This Row],[26M07]:[26M09]])</f>
        <v>0.4</v>
      </c>
      <c r="U31" s="69">
        <f>SUM(ES[[#This Row],[26M10]:[26M12]])</f>
        <v>0.4</v>
      </c>
      <c r="V31" s="256"/>
      <c r="W31" s="256"/>
      <c r="X31" s="256"/>
      <c r="Y31" s="256"/>
      <c r="Z31" s="256"/>
      <c r="AA31" s="256"/>
      <c r="AB31" s="256">
        <f>SUM(ES[[#This Row],[27M01]:[27M03]])</f>
        <v>0</v>
      </c>
      <c r="AC31" s="256">
        <f>SUM(ES[[#This Row],[27M04]:[27M06]])</f>
        <v>0</v>
      </c>
      <c r="AD31" s="256" t="str">
        <f>IF(SUM(ES[[#This Row],[26Q2]:[26Q4]])+SUM(ES[[#This Row],[27Q1]:[27Q2]])=0,"No FSCT",IF(AND(SUM(ES[[#This Row],[26Q2]:[26Q4]])&gt;0,SUM(ES[[#This Row],[27Q1]:[27Q2]])=0),"YES","NO"))</f>
        <v>YES</v>
      </c>
      <c r="AE31" s="85" t="str">
        <f>VLOOKUP(ES[[#This Row],[Product Line]],Prod_T6[],4,0)</f>
        <v>PV</v>
      </c>
      <c r="AH31" s="2" t="str">
        <v>5 - Finalize contract</v>
      </c>
    </row>
    <row r="32" spans="1:34" ht="14.25" customHeight="1">
      <c r="A32" s="29" t="s">
        <v>29</v>
      </c>
      <c r="B32" s="1" t="s">
        <v>478</v>
      </c>
      <c r="D32" s="85" t="str">
        <f>VLOOKUP(ES[[#This Row],[Product Line]],Prod_T6[],5,0)</f>
        <v>TCL</v>
      </c>
      <c r="E32" s="2" t="s">
        <v>54</v>
      </c>
      <c r="F32" s="2" t="s">
        <v>160</v>
      </c>
      <c r="G32" s="2" t="s">
        <v>120</v>
      </c>
      <c r="H32" s="2"/>
      <c r="I32" s="43" t="s">
        <v>117</v>
      </c>
      <c r="J32" s="13"/>
      <c r="K32" s="13"/>
      <c r="L32" s="13"/>
      <c r="M32" s="13"/>
      <c r="N32" s="13"/>
      <c r="O32" s="67"/>
      <c r="P32" s="67">
        <v>0.4</v>
      </c>
      <c r="Q32" s="67"/>
      <c r="R32" s="67"/>
      <c r="S32" s="32"/>
      <c r="T32" s="69">
        <f>SUM(ES[[#This Row],[26M07]:[26M09]])</f>
        <v>0</v>
      </c>
      <c r="U32" s="69">
        <f>SUM(ES[[#This Row],[26M10]:[26M12]])</f>
        <v>0.4</v>
      </c>
      <c r="V32" s="256"/>
      <c r="W32" s="256"/>
      <c r="X32" s="256"/>
      <c r="Y32" s="256"/>
      <c r="Z32" s="256"/>
      <c r="AA32" s="256"/>
      <c r="AB32" s="256">
        <f>SUM(ES[[#This Row],[27M01]:[27M03]])</f>
        <v>0</v>
      </c>
      <c r="AC32" s="256">
        <f>SUM(ES[[#This Row],[27M04]:[27M06]])</f>
        <v>0</v>
      </c>
      <c r="AD32" s="256" t="str">
        <f>IF(SUM(ES[[#This Row],[26Q2]:[26Q4]])+SUM(ES[[#This Row],[27Q1]:[27Q2]])=0,"No FSCT",IF(AND(SUM(ES[[#This Row],[26Q2]:[26Q4]])&gt;0,SUM(ES[[#This Row],[27Q1]:[27Q2]])=0),"YES","NO"))</f>
        <v>YES</v>
      </c>
      <c r="AE32" s="85" t="str">
        <f>VLOOKUP(ES[[#This Row],[Product Line]],Prod_T6[],4,0)</f>
        <v>PV</v>
      </c>
      <c r="AH32" s="2" t="str">
        <v>5 - Finalize contract</v>
      </c>
    </row>
    <row r="33" spans="1:34" ht="14.25" customHeight="1">
      <c r="A33" s="29" t="s">
        <v>29</v>
      </c>
      <c r="B33" s="1" t="s">
        <v>478</v>
      </c>
      <c r="D33" s="85" t="str">
        <f>VLOOKUP(ES[[#This Row],[Product Line]],Prod_T6[],5,0)</f>
        <v>TCL</v>
      </c>
      <c r="E33" s="2" t="s">
        <v>149</v>
      </c>
      <c r="F33" s="2" t="s">
        <v>155</v>
      </c>
      <c r="G33" s="254" t="s">
        <v>154</v>
      </c>
      <c r="H33" s="2"/>
      <c r="I33" s="183"/>
      <c r="J33" s="13"/>
      <c r="K33" s="13"/>
      <c r="L33" s="13"/>
      <c r="M33" s="13"/>
      <c r="N33" s="13"/>
      <c r="O33" s="67">
        <v>0.4</v>
      </c>
      <c r="P33" s="67"/>
      <c r="Q33" s="67"/>
      <c r="R33" s="67">
        <v>0.4</v>
      </c>
      <c r="S33" s="32">
        <f>SUM(ES[[#This Row],[26M04]:[26M06]])</f>
        <v>0</v>
      </c>
      <c r="T33" s="69">
        <f>SUM(ES[[#This Row],[26M07]:[26M09]])</f>
        <v>0.4</v>
      </c>
      <c r="U33" s="69">
        <f>SUM(ES[[#This Row],[26M10]:[26M12]])</f>
        <v>0.4</v>
      </c>
      <c r="V33" s="256"/>
      <c r="W33" s="256"/>
      <c r="X33" s="256"/>
      <c r="Y33" s="256"/>
      <c r="Z33" s="256"/>
      <c r="AA33" s="256"/>
      <c r="AB33" s="256">
        <f>SUM(ES[[#This Row],[27M01]:[27M03]])</f>
        <v>0</v>
      </c>
      <c r="AC33" s="256">
        <f>SUM(ES[[#This Row],[27M04]:[27M06]])</f>
        <v>0</v>
      </c>
      <c r="AD33" s="256" t="str">
        <f>IF(SUM(ES[[#This Row],[26Q2]:[26Q4]])+SUM(ES[[#This Row],[27Q1]:[27Q2]])=0,"No FSCT",IF(AND(SUM(ES[[#This Row],[26Q2]:[26Q4]])&gt;0,SUM(ES[[#This Row],[27Q1]:[27Q2]])=0),"YES","NO"))</f>
        <v>YES</v>
      </c>
      <c r="AE33" s="85" t="str">
        <f>VLOOKUP(ES[[#This Row],[Product Line]],Prod_T6[],4,0)</f>
        <v>PV</v>
      </c>
      <c r="AH33" s="2" t="str">
        <v>4 - BAFO</v>
      </c>
    </row>
    <row r="34" spans="1:34" ht="14.25" customHeight="1">
      <c r="A34" s="29" t="s">
        <v>29</v>
      </c>
      <c r="B34" s="1" t="s">
        <v>479</v>
      </c>
      <c r="D34" s="85" t="str">
        <f>VLOOKUP(ES[[#This Row],[Product Line]],Prod_T6[],5,0)</f>
        <v>TCL</v>
      </c>
      <c r="E34" s="2" t="s">
        <v>149</v>
      </c>
      <c r="F34" s="2" t="s">
        <v>150</v>
      </c>
      <c r="G34" s="254" t="s">
        <v>136</v>
      </c>
      <c r="H34" s="2"/>
      <c r="I34" s="183"/>
      <c r="J34" s="13"/>
      <c r="K34" s="13"/>
      <c r="L34" s="13"/>
      <c r="M34" s="13"/>
      <c r="N34" s="13"/>
      <c r="O34" s="67">
        <v>0.4</v>
      </c>
      <c r="P34" s="67"/>
      <c r="Q34" s="67"/>
      <c r="R34" s="67"/>
      <c r="S34" s="32">
        <f>SUM(ES[[#This Row],[26M04]:[26M06]])</f>
        <v>0</v>
      </c>
      <c r="T34" s="69">
        <f>SUM(ES[[#This Row],[26M07]:[26M09]])</f>
        <v>0.4</v>
      </c>
      <c r="U34" s="69">
        <f>SUM(ES[[#This Row],[26M10]:[26M12]])</f>
        <v>0</v>
      </c>
      <c r="V34" s="256"/>
      <c r="W34" s="256"/>
      <c r="X34" s="256"/>
      <c r="Y34" s="256"/>
      <c r="Z34" s="256"/>
      <c r="AA34" s="256"/>
      <c r="AB34" s="256">
        <f>SUM(ES[[#This Row],[27M01]:[27M03]])</f>
        <v>0</v>
      </c>
      <c r="AC34" s="256">
        <f>SUM(ES[[#This Row],[27M04]:[27M06]])</f>
        <v>0</v>
      </c>
      <c r="AD34" s="256" t="str">
        <f>IF(SUM(ES[[#This Row],[26Q2]:[26Q4]])+SUM(ES[[#This Row],[27Q1]:[27Q2]])=0,"No FSCT",IF(AND(SUM(ES[[#This Row],[26Q2]:[26Q4]])&gt;0,SUM(ES[[#This Row],[27Q1]:[27Q2]])=0),"YES","NO"))</f>
        <v>YES</v>
      </c>
      <c r="AE34" s="85" t="str">
        <f>VLOOKUP(ES[[#This Row],[Product Line]],Prod_T6[],4,0)</f>
        <v>PV</v>
      </c>
      <c r="AH34" s="2" t="str">
        <v>3 - Negotiation</v>
      </c>
    </row>
    <row r="35" spans="1:34" ht="14.25" customHeight="1">
      <c r="A35" s="29" t="s">
        <v>29</v>
      </c>
      <c r="B35" s="1" t="s">
        <v>479</v>
      </c>
      <c r="D35" s="85" t="str">
        <f>VLOOKUP(ES[[#This Row],[Product Line]],Prod_T6[],5,0)</f>
        <v>TCL</v>
      </c>
      <c r="E35" s="2" t="s">
        <v>54</v>
      </c>
      <c r="F35" s="2" t="s">
        <v>160</v>
      </c>
      <c r="G35" s="254" t="s">
        <v>136</v>
      </c>
      <c r="H35" s="2"/>
      <c r="I35" s="183"/>
      <c r="J35" s="13"/>
      <c r="K35" s="13"/>
      <c r="L35" s="13"/>
      <c r="M35" s="13"/>
      <c r="N35" s="13"/>
      <c r="O35" s="67">
        <v>0.4</v>
      </c>
      <c r="P35" s="67"/>
      <c r="Q35" s="67"/>
      <c r="R35" s="67"/>
      <c r="S35" s="32">
        <f>SUM(ES[[#This Row],[26M04]:[26M06]])</f>
        <v>0</v>
      </c>
      <c r="T35" s="69">
        <f>SUM(ES[[#This Row],[26M07]:[26M09]])</f>
        <v>0.4</v>
      </c>
      <c r="U35" s="69">
        <f>SUM(ES[[#This Row],[26M10]:[26M12]])</f>
        <v>0</v>
      </c>
      <c r="V35" s="256"/>
      <c r="W35" s="256"/>
      <c r="X35" s="256"/>
      <c r="Y35" s="256"/>
      <c r="Z35" s="256"/>
      <c r="AA35" s="256"/>
      <c r="AB35" s="256">
        <f>SUM(ES[[#This Row],[27M01]:[27M03]])</f>
        <v>0</v>
      </c>
      <c r="AC35" s="256">
        <f>SUM(ES[[#This Row],[27M04]:[27M06]])</f>
        <v>0</v>
      </c>
      <c r="AD35" s="256" t="str">
        <f>IF(SUM(ES[[#This Row],[26Q2]:[26Q4]])+SUM(ES[[#This Row],[27Q1]:[27Q2]])=0,"No FSCT",IF(AND(SUM(ES[[#This Row],[26Q2]:[26Q4]])&gt;0,SUM(ES[[#This Row],[27Q1]:[27Q2]])=0),"YES","NO"))</f>
        <v>YES</v>
      </c>
      <c r="AE35" s="85" t="str">
        <f>VLOOKUP(ES[[#This Row],[Product Line]],Prod_T6[],4,0)</f>
        <v>PV</v>
      </c>
      <c r="AH35" s="2" t="str">
        <v>3 - Negotiation</v>
      </c>
    </row>
    <row r="36" spans="1:34" ht="14.25" customHeight="1">
      <c r="A36" s="29" t="s">
        <v>29</v>
      </c>
      <c r="B36" s="1" t="s">
        <v>480</v>
      </c>
      <c r="D36" s="85" t="str">
        <f>VLOOKUP(ES[[#This Row],[Product Line]],Prod_T6[],5,0)</f>
        <v>TCL</v>
      </c>
      <c r="E36" s="2" t="s">
        <v>54</v>
      </c>
      <c r="F36" s="2" t="s">
        <v>160</v>
      </c>
      <c r="G36" s="254" t="s">
        <v>136</v>
      </c>
      <c r="H36" s="2"/>
      <c r="I36" s="183"/>
      <c r="J36" s="13"/>
      <c r="K36" s="13"/>
      <c r="L36" s="13"/>
      <c r="M36" s="13"/>
      <c r="N36" s="13">
        <v>0.4</v>
      </c>
      <c r="O36" s="67"/>
      <c r="P36" s="67"/>
      <c r="Q36" s="67"/>
      <c r="R36" s="67"/>
      <c r="S36" s="32"/>
      <c r="T36" s="69">
        <f>SUM(ES[[#This Row],[26M07]:[26M09]])</f>
        <v>0.4</v>
      </c>
      <c r="U36" s="69">
        <f>SUM(ES[[#This Row],[26M10]:[26M12]])</f>
        <v>0</v>
      </c>
      <c r="V36" s="256"/>
      <c r="W36" s="256"/>
      <c r="X36" s="256"/>
      <c r="Y36" s="256"/>
      <c r="Z36" s="256"/>
      <c r="AA36" s="256"/>
      <c r="AB36" s="256">
        <f>SUM(ES[[#This Row],[27M01]:[27M03]])</f>
        <v>0</v>
      </c>
      <c r="AC36" s="256">
        <f>SUM(ES[[#This Row],[27M04]:[27M06]])</f>
        <v>0</v>
      </c>
      <c r="AD36" s="256" t="str">
        <f>IF(SUM(ES[[#This Row],[26Q2]:[26Q4]])+SUM(ES[[#This Row],[27Q1]:[27Q2]])=0,"No FSCT",IF(AND(SUM(ES[[#This Row],[26Q2]:[26Q4]])&gt;0,SUM(ES[[#This Row],[27Q1]:[27Q2]])=0),"YES","NO"))</f>
        <v>YES</v>
      </c>
      <c r="AE36" s="85" t="str">
        <f>VLOOKUP(ES[[#This Row],[Product Line]],Prod_T6[],4,0)</f>
        <v>PV</v>
      </c>
      <c r="AH36" s="2" t="str">
        <v>3 - Negotiation</v>
      </c>
    </row>
    <row r="37" spans="1:34" ht="14.25" customHeight="1">
      <c r="A37" s="29" t="s">
        <v>29</v>
      </c>
      <c r="B37" s="1" t="s">
        <v>480</v>
      </c>
      <c r="D37" s="85" t="str">
        <f>VLOOKUP(ES[[#This Row],[Product Line]],Prod_T6[],5,0)</f>
        <v>TCL</v>
      </c>
      <c r="E37" s="2" t="s">
        <v>54</v>
      </c>
      <c r="F37" s="2" t="s">
        <v>166</v>
      </c>
      <c r="G37" s="254" t="s">
        <v>136</v>
      </c>
      <c r="H37" s="2"/>
      <c r="I37" s="183"/>
      <c r="J37" s="13"/>
      <c r="K37" s="13"/>
      <c r="L37" s="13"/>
      <c r="M37" s="13"/>
      <c r="N37" s="13"/>
      <c r="O37" s="67"/>
      <c r="P37" s="67">
        <v>0.4</v>
      </c>
      <c r="Q37" s="67">
        <v>0.8</v>
      </c>
      <c r="R37" s="67">
        <v>0.4</v>
      </c>
      <c r="S37" s="32">
        <f>SUM(ES[[#This Row],[26M04]:[26M06]])</f>
        <v>0</v>
      </c>
      <c r="T37" s="69">
        <f>SUM(ES[[#This Row],[26M07]:[26M09]])</f>
        <v>0</v>
      </c>
      <c r="U37" s="69">
        <f>SUM(ES[[#This Row],[26M10]:[26M12]])</f>
        <v>1.6</v>
      </c>
      <c r="V37" s="256"/>
      <c r="W37" s="256"/>
      <c r="X37" s="256"/>
      <c r="Y37" s="256"/>
      <c r="Z37" s="256"/>
      <c r="AA37" s="256"/>
      <c r="AB37" s="256">
        <f>SUM(ES[[#This Row],[27M01]:[27M03]])</f>
        <v>0</v>
      </c>
      <c r="AC37" s="256">
        <f>SUM(ES[[#This Row],[27M04]:[27M06]])</f>
        <v>0</v>
      </c>
      <c r="AD37" s="256" t="str">
        <f>IF(SUM(ES[[#This Row],[26Q2]:[26Q4]])+SUM(ES[[#This Row],[27Q1]:[27Q2]])=0,"No FSCT",IF(AND(SUM(ES[[#This Row],[26Q2]:[26Q4]])&gt;0,SUM(ES[[#This Row],[27Q1]:[27Q2]])=0),"YES","NO"))</f>
        <v>YES</v>
      </c>
      <c r="AE37" s="85" t="str">
        <f>VLOOKUP(ES[[#This Row],[Product Line]],Prod_T6[],4,0)</f>
        <v>PV</v>
      </c>
      <c r="AH37" s="2" t="str">
        <v>3 - Negotiation</v>
      </c>
    </row>
    <row r="38" spans="1:34" ht="14.25" customHeight="1">
      <c r="A38" s="29" t="s">
        <v>29</v>
      </c>
      <c r="B38" s="1" t="s">
        <v>481</v>
      </c>
      <c r="D38" s="85" t="str">
        <f>VLOOKUP(ES[[#This Row],[Product Line]],Prod_T6[],5,0)</f>
        <v>TCL</v>
      </c>
      <c r="E38" s="2" t="s">
        <v>149</v>
      </c>
      <c r="F38" s="2" t="s">
        <v>150</v>
      </c>
      <c r="H38" s="2"/>
      <c r="I38" s="43"/>
      <c r="J38" s="13"/>
      <c r="K38" s="13"/>
      <c r="L38" s="13"/>
      <c r="M38" s="13"/>
      <c r="N38" s="13"/>
      <c r="O38" s="67"/>
      <c r="P38" s="67">
        <v>0.4</v>
      </c>
      <c r="Q38" s="67"/>
      <c r="R38" s="67"/>
      <c r="S38" s="32">
        <f>SUM(ES[[#This Row],[26M04]:[26M06]])</f>
        <v>0</v>
      </c>
      <c r="T38" s="69">
        <f>SUM(ES[[#This Row],[26M07]:[26M09]])</f>
        <v>0</v>
      </c>
      <c r="U38" s="69">
        <f>SUM(ES[[#This Row],[26M10]:[26M12]])</f>
        <v>0.4</v>
      </c>
      <c r="V38" s="256"/>
      <c r="W38" s="256"/>
      <c r="X38" s="256"/>
      <c r="Y38" s="256"/>
      <c r="Z38" s="256"/>
      <c r="AA38" s="256"/>
      <c r="AB38" s="256">
        <f>SUM(ES[[#This Row],[27M01]:[27M03]])</f>
        <v>0</v>
      </c>
      <c r="AC38" s="256">
        <f>SUM(ES[[#This Row],[27M04]:[27M06]])</f>
        <v>0</v>
      </c>
      <c r="AD38" s="256" t="str">
        <f>IF(SUM(ES[[#This Row],[26Q2]:[26Q4]])+SUM(ES[[#This Row],[27Q1]:[27Q2]])=0,"No FSCT",IF(AND(SUM(ES[[#This Row],[26Q2]:[26Q4]])&gt;0,SUM(ES[[#This Row],[27Q1]:[27Q2]])=0),"YES","NO"))</f>
        <v>YES</v>
      </c>
      <c r="AE38" s="85" t="str">
        <f>VLOOKUP(ES[[#This Row],[Product Line]],Prod_T6[],4,0)</f>
        <v>PV</v>
      </c>
      <c r="AH38" s="2">
        <v>0</v>
      </c>
    </row>
    <row r="39" spans="1:34" ht="14.25" customHeight="1">
      <c r="A39" s="29" t="s">
        <v>29</v>
      </c>
      <c r="B39" s="1" t="s">
        <v>481</v>
      </c>
      <c r="D39" s="85" t="str">
        <f>VLOOKUP(ES[[#This Row],[Product Line]],Prod_T6[],5,0)</f>
        <v>TCL</v>
      </c>
      <c r="E39" s="2" t="s">
        <v>54</v>
      </c>
      <c r="F39" s="2" t="s">
        <v>166</v>
      </c>
      <c r="H39" s="2"/>
      <c r="I39" s="43"/>
      <c r="J39" s="13"/>
      <c r="K39" s="13"/>
      <c r="L39" s="13"/>
      <c r="M39" s="13"/>
      <c r="N39" s="13"/>
      <c r="O39" s="67"/>
      <c r="P39" s="67">
        <v>0.4</v>
      </c>
      <c r="Q39" s="67"/>
      <c r="R39" s="67"/>
      <c r="S39" s="32">
        <f>SUM(ES[[#This Row],[26M04]:[26M06]])</f>
        <v>0</v>
      </c>
      <c r="T39" s="69">
        <f>SUM(ES[[#This Row],[26M07]:[26M09]])</f>
        <v>0</v>
      </c>
      <c r="U39" s="69">
        <f>SUM(ES[[#This Row],[26M10]:[26M12]])</f>
        <v>0.4</v>
      </c>
      <c r="V39" s="256"/>
      <c r="W39" s="256"/>
      <c r="X39" s="256"/>
      <c r="Y39" s="256"/>
      <c r="Z39" s="256"/>
      <c r="AA39" s="256"/>
      <c r="AB39" s="256">
        <f>SUM(ES[[#This Row],[27M01]:[27M03]])</f>
        <v>0</v>
      </c>
      <c r="AC39" s="256">
        <f>SUM(ES[[#This Row],[27M04]:[27M06]])</f>
        <v>0</v>
      </c>
      <c r="AD39" s="256" t="str">
        <f>IF(SUM(ES[[#This Row],[26Q2]:[26Q4]])+SUM(ES[[#This Row],[27Q1]:[27Q2]])=0,"No FSCT",IF(AND(SUM(ES[[#This Row],[26Q2]:[26Q4]])&gt;0,SUM(ES[[#This Row],[27Q1]:[27Q2]])=0),"YES","NO"))</f>
        <v>YES</v>
      </c>
      <c r="AE39" s="85" t="str">
        <f>VLOOKUP(ES[[#This Row],[Product Line]],Prod_T6[],4,0)</f>
        <v>PV</v>
      </c>
      <c r="AH39" s="2">
        <v>0</v>
      </c>
    </row>
    <row r="40" spans="1:34" ht="14.25" customHeight="1">
      <c r="A40" s="29" t="s">
        <v>29</v>
      </c>
      <c r="B40" s="1" t="s">
        <v>482</v>
      </c>
      <c r="D40" s="85" t="str">
        <f>VLOOKUP(ES[[#This Row],[Product Line]],Prod_T6[],5,0)</f>
        <v>TCL</v>
      </c>
      <c r="E40" s="2" t="s">
        <v>149</v>
      </c>
      <c r="F40" s="2" t="s">
        <v>391</v>
      </c>
      <c r="G40" s="2" t="s">
        <v>120</v>
      </c>
      <c r="H40" s="2"/>
      <c r="I40" s="43"/>
      <c r="J40" s="13"/>
      <c r="K40" s="13"/>
      <c r="L40" s="13"/>
      <c r="M40" s="13"/>
      <c r="N40" s="13"/>
      <c r="O40" s="67"/>
      <c r="P40" s="67">
        <v>1.6</v>
      </c>
      <c r="Q40" s="67"/>
      <c r="R40" s="67">
        <v>0.8</v>
      </c>
      <c r="S40" s="32">
        <v>0.15</v>
      </c>
      <c r="T40" s="69">
        <f>SUM(ES[[#This Row],[26M07]:[26M09]])</f>
        <v>0</v>
      </c>
      <c r="U40" s="69">
        <f>SUM(ES[[#This Row],[26M10]:[26M12]])</f>
        <v>2.4000000000000004</v>
      </c>
      <c r="V40" s="256"/>
      <c r="W40" s="256"/>
      <c r="X40" s="256"/>
      <c r="Y40" s="256"/>
      <c r="Z40" s="256"/>
      <c r="AA40" s="256"/>
      <c r="AB40" s="256">
        <f>SUM(ES[[#This Row],[27M01]:[27M03]])</f>
        <v>0</v>
      </c>
      <c r="AC40" s="256">
        <f>SUM(ES[[#This Row],[27M04]:[27M06]])</f>
        <v>0</v>
      </c>
      <c r="AD40" s="256" t="str">
        <f>IF(SUM(ES[[#This Row],[26Q2]:[26Q4]])+SUM(ES[[#This Row],[27Q1]:[27Q2]])=0,"No FSCT",IF(AND(SUM(ES[[#This Row],[26Q2]:[26Q4]])&gt;0,SUM(ES[[#This Row],[27Q1]:[27Q2]])=0),"YES","NO"))</f>
        <v>YES</v>
      </c>
      <c r="AE40" s="85" t="str">
        <f>VLOOKUP(ES[[#This Row],[Product Line]],Prod_T6[],4,0)</f>
        <v>PV</v>
      </c>
      <c r="AH40" s="2" t="str">
        <v>5 - Finalize contract</v>
      </c>
    </row>
    <row r="41" spans="1:34" ht="14.25" customHeight="1">
      <c r="A41" s="29" t="s">
        <v>29</v>
      </c>
      <c r="B41" s="1" t="s">
        <v>483</v>
      </c>
      <c r="D41" s="85" t="str">
        <f>VLOOKUP(ES[[#This Row],[Product Line]],Prod_T6[],5,0)</f>
        <v>TCL</v>
      </c>
      <c r="E41" s="2" t="s">
        <v>149</v>
      </c>
      <c r="F41" s="2" t="s">
        <v>155</v>
      </c>
      <c r="G41" s="2" t="s">
        <v>154</v>
      </c>
      <c r="H41" s="2"/>
      <c r="I41" s="43"/>
      <c r="J41" s="13"/>
      <c r="K41" s="13"/>
      <c r="L41" s="13"/>
      <c r="M41" s="13"/>
      <c r="N41" s="13"/>
      <c r="O41" s="67"/>
      <c r="P41" s="67"/>
      <c r="Q41" s="67">
        <v>0.4</v>
      </c>
      <c r="R41" s="67"/>
      <c r="S41" s="32">
        <f>SUM(ES[[#This Row],[26M04]:[26M06]])</f>
        <v>0</v>
      </c>
      <c r="T41" s="69">
        <f>SUM(ES[[#This Row],[26M07]:[26M09]])</f>
        <v>0</v>
      </c>
      <c r="U41" s="69">
        <f>SUM(ES[[#This Row],[26M10]:[26M12]])</f>
        <v>0.4</v>
      </c>
      <c r="V41" s="256"/>
      <c r="W41" s="256"/>
      <c r="X41" s="256"/>
      <c r="Y41" s="256"/>
      <c r="Z41" s="256"/>
      <c r="AA41" s="256"/>
      <c r="AB41" s="256">
        <f>SUM(ES[[#This Row],[27M01]:[27M03]])</f>
        <v>0</v>
      </c>
      <c r="AC41" s="256">
        <f>SUM(ES[[#This Row],[27M04]:[27M06]])</f>
        <v>0</v>
      </c>
      <c r="AD41" s="256" t="str">
        <f>IF(SUM(ES[[#This Row],[26Q2]:[26Q4]])+SUM(ES[[#This Row],[27Q1]:[27Q2]])=0,"No FSCT",IF(AND(SUM(ES[[#This Row],[26Q2]:[26Q4]])&gt;0,SUM(ES[[#This Row],[27Q1]:[27Q2]])=0),"YES","NO"))</f>
        <v>YES</v>
      </c>
      <c r="AE41" s="85" t="str">
        <f>VLOOKUP(ES[[#This Row],[Product Line]],Prod_T6[],4,0)</f>
        <v>PV</v>
      </c>
      <c r="AH41" s="2" t="str">
        <v>4 - BAFO</v>
      </c>
    </row>
    <row r="42" spans="1:34" ht="14.25" customHeight="1">
      <c r="A42" s="29" t="s">
        <v>29</v>
      </c>
      <c r="B42" s="1" t="s">
        <v>483</v>
      </c>
      <c r="D42" s="85" t="str">
        <f>VLOOKUP(ES[[#This Row],[Product Line]],Prod_T6[],5,0)</f>
        <v>TCL</v>
      </c>
      <c r="E42" s="2" t="s">
        <v>149</v>
      </c>
      <c r="F42" s="2" t="s">
        <v>150</v>
      </c>
      <c r="G42" s="2" t="s">
        <v>136</v>
      </c>
      <c r="H42" s="2"/>
      <c r="I42" s="43"/>
      <c r="J42" s="13"/>
      <c r="K42" s="13"/>
      <c r="L42" s="13"/>
      <c r="M42" s="13"/>
      <c r="N42" s="13"/>
      <c r="O42" s="67">
        <v>0.8</v>
      </c>
      <c r="P42" s="67"/>
      <c r="Q42" s="67">
        <v>0.4</v>
      </c>
      <c r="R42" s="67"/>
      <c r="S42" s="32"/>
      <c r="T42" s="69">
        <f>SUM(ES[[#This Row],[26M07]:[26M09]])</f>
        <v>0.8</v>
      </c>
      <c r="U42" s="69">
        <f>SUM(ES[[#This Row],[26M10]:[26M12]])</f>
        <v>0.4</v>
      </c>
      <c r="V42" s="256"/>
      <c r="W42" s="256"/>
      <c r="X42" s="256"/>
      <c r="Y42" s="256"/>
      <c r="Z42" s="256"/>
      <c r="AA42" s="256"/>
      <c r="AB42" s="256">
        <f>SUM(ES[[#This Row],[27M01]:[27M03]])</f>
        <v>0</v>
      </c>
      <c r="AC42" s="256">
        <f>SUM(ES[[#This Row],[27M04]:[27M06]])</f>
        <v>0</v>
      </c>
      <c r="AD42" s="256" t="str">
        <f>IF(SUM(ES[[#This Row],[26Q2]:[26Q4]])+SUM(ES[[#This Row],[27Q1]:[27Q2]])=0,"No FSCT",IF(AND(SUM(ES[[#This Row],[26Q2]:[26Q4]])&gt;0,SUM(ES[[#This Row],[27Q1]:[27Q2]])=0),"YES","NO"))</f>
        <v>YES</v>
      </c>
      <c r="AE42" s="85" t="str">
        <f>VLOOKUP(ES[[#This Row],[Product Line]],Prod_T6[],4,0)</f>
        <v>PV</v>
      </c>
      <c r="AH42" s="2" t="str">
        <v>3 - Negotiation</v>
      </c>
    </row>
    <row r="43" spans="1:34" ht="14.25" hidden="1" customHeight="1">
      <c r="A43" s="29" t="s">
        <v>29</v>
      </c>
      <c r="B43" s="1" t="s">
        <v>475</v>
      </c>
      <c r="D43" s="85" t="str">
        <f>VLOOKUP(ES[[#This Row],[Product Line]],Prod_T6[],5,0)</f>
        <v>TCL</v>
      </c>
      <c r="E43" s="2" t="s">
        <v>414</v>
      </c>
      <c r="F43" s="266" t="s">
        <v>484</v>
      </c>
      <c r="G43" s="2" t="s">
        <v>115</v>
      </c>
      <c r="H43" s="2"/>
      <c r="I43" s="43" t="s">
        <v>117</v>
      </c>
      <c r="J43" s="13"/>
      <c r="K43" s="13"/>
      <c r="L43" s="13"/>
      <c r="M43" s="13"/>
      <c r="N43" s="13"/>
      <c r="O43" s="67"/>
      <c r="P43" s="67"/>
      <c r="Q43" s="67">
        <v>20</v>
      </c>
      <c r="R43" s="67">
        <v>60</v>
      </c>
      <c r="S43" s="32">
        <f>SUM(ES[[#This Row],[26M04]:[26M06]])</f>
        <v>0</v>
      </c>
      <c r="T43" s="69">
        <f>SUM(ES[[#This Row],[26M07]:[26M09]])</f>
        <v>0</v>
      </c>
      <c r="U43" s="69">
        <f>SUM(ES[[#This Row],[26M10]:[26M12]])</f>
        <v>80</v>
      </c>
      <c r="V43" s="256"/>
      <c r="W43" s="256"/>
      <c r="X43" s="256"/>
      <c r="Y43" s="256"/>
      <c r="Z43" s="256"/>
      <c r="AA43" s="256"/>
      <c r="AB43" s="256">
        <f>SUM(ES[[#This Row],[27M01]:[27M03]])</f>
        <v>0</v>
      </c>
      <c r="AC43" s="256">
        <f>SUM(ES[[#This Row],[27M04]:[27M06]])</f>
        <v>0</v>
      </c>
      <c r="AD43" s="256" t="str">
        <f>IF(SUM(ES[[#This Row],[26Q2]:[26Q4]])+SUM(ES[[#This Row],[27Q1]:[27Q2]])=0,"No FSCT",IF(AND(SUM(ES[[#This Row],[26Q2]:[26Q4]])&gt;0,SUM(ES[[#This Row],[27Q1]:[27Q2]])=0),"YES","NO"))</f>
        <v>YES</v>
      </c>
      <c r="AE43" s="85" t="str">
        <f>VLOOKUP(ES[[#This Row],[Product Line]],Prod_T6[],4,0)</f>
        <v>ESS</v>
      </c>
      <c r="AH43" s="2" t="str">
        <v>2 - Initial offer</v>
      </c>
    </row>
    <row r="44" spans="1:34" ht="14.25" hidden="1" customHeight="1">
      <c r="A44" s="29" t="s">
        <v>29</v>
      </c>
      <c r="B44" s="1" t="s">
        <v>475</v>
      </c>
      <c r="D44" s="85" t="str">
        <f>VLOOKUP(ES[[#This Row],[Product Line]],Prod_T6[],5,0)</f>
        <v>TCL</v>
      </c>
      <c r="E44" s="2" t="s">
        <v>414</v>
      </c>
      <c r="F44" s="266" t="s">
        <v>485</v>
      </c>
      <c r="G44" s="2" t="s">
        <v>115</v>
      </c>
      <c r="H44" s="2"/>
      <c r="I44" s="43" t="s">
        <v>117</v>
      </c>
      <c r="J44" s="13"/>
      <c r="K44" s="13"/>
      <c r="L44" s="13"/>
      <c r="M44" s="13"/>
      <c r="N44" s="13"/>
      <c r="O44" s="67"/>
      <c r="P44" s="67"/>
      <c r="Q44" s="67">
        <v>2</v>
      </c>
      <c r="R44" s="67">
        <v>6</v>
      </c>
      <c r="S44" s="32">
        <f>SUM(ES[[#This Row],[26M04]:[26M06]])</f>
        <v>0</v>
      </c>
      <c r="T44" s="69">
        <f>SUM(ES[[#This Row],[26M07]:[26M09]])</f>
        <v>0</v>
      </c>
      <c r="U44" s="69">
        <f>SUM(ES[[#This Row],[26M10]:[26M12]])</f>
        <v>8</v>
      </c>
      <c r="V44" s="256"/>
      <c r="W44" s="256"/>
      <c r="X44" s="256"/>
      <c r="Y44" s="256"/>
      <c r="Z44" s="256"/>
      <c r="AA44" s="256"/>
      <c r="AB44" s="256">
        <f>SUM(ES[[#This Row],[27M01]:[27M03]])</f>
        <v>0</v>
      </c>
      <c r="AC44" s="256">
        <f>SUM(ES[[#This Row],[27M04]:[27M06]])</f>
        <v>0</v>
      </c>
      <c r="AD44" s="256" t="str">
        <f>IF(SUM(ES[[#This Row],[26Q2]:[26Q4]])+SUM(ES[[#This Row],[27Q1]:[27Q2]])=0,"No FSCT",IF(AND(SUM(ES[[#This Row],[26Q2]:[26Q4]])&gt;0,SUM(ES[[#This Row],[27Q1]:[27Q2]])=0),"YES","NO"))</f>
        <v>YES</v>
      </c>
      <c r="AE44" s="85" t="str">
        <f>VLOOKUP(ES[[#This Row],[Product Line]],Prod_T6[],4,0)</f>
        <v>ESS</v>
      </c>
      <c r="AH44" s="2" t="str">
        <v>2 - Initial offer</v>
      </c>
    </row>
    <row r="45" spans="1:34" ht="14.25" customHeight="1">
      <c r="A45" s="29" t="s">
        <v>29</v>
      </c>
      <c r="B45" s="1" t="s">
        <v>475</v>
      </c>
      <c r="D45" s="85" t="str">
        <f>VLOOKUP(ES[[#This Row],[Product Line]],Prod_T6[],5,0)</f>
        <v>TCL</v>
      </c>
      <c r="E45" s="2" t="s">
        <v>141</v>
      </c>
      <c r="F45" s="2" t="s">
        <v>46</v>
      </c>
      <c r="G45" s="2" t="s">
        <v>154</v>
      </c>
      <c r="H45" s="2"/>
      <c r="I45" s="43" t="s">
        <v>117</v>
      </c>
      <c r="J45" s="13"/>
      <c r="K45" s="13"/>
      <c r="L45" s="13"/>
      <c r="M45" s="13"/>
      <c r="N45" s="13"/>
      <c r="O45" s="67">
        <v>4</v>
      </c>
      <c r="P45" s="67">
        <v>12</v>
      </c>
      <c r="Q45" s="67">
        <v>12</v>
      </c>
      <c r="R45" s="67">
        <v>4</v>
      </c>
      <c r="S45" s="32">
        <f>SUM(ES[[#This Row],[26M04]:[26M06]])</f>
        <v>0</v>
      </c>
      <c r="T45" s="69">
        <f>SUM(ES[[#This Row],[26M07]:[26M09]])</f>
        <v>4</v>
      </c>
      <c r="U45" s="69">
        <f>SUM(ES[[#This Row],[26M10]:[26M12]])</f>
        <v>28</v>
      </c>
      <c r="V45" s="256"/>
      <c r="W45" s="256"/>
      <c r="X45" s="256"/>
      <c r="Y45" s="256"/>
      <c r="Z45" s="256"/>
      <c r="AA45" s="256"/>
      <c r="AB45" s="256">
        <f>SUM(ES[[#This Row],[27M01]:[27M03]])</f>
        <v>0</v>
      </c>
      <c r="AC45" s="256">
        <f>SUM(ES[[#This Row],[27M04]:[27M06]])</f>
        <v>0</v>
      </c>
      <c r="AD45" s="256" t="str">
        <f>IF(SUM(ES[[#This Row],[26Q2]:[26Q4]])+SUM(ES[[#This Row],[27Q1]:[27Q2]])=0,"No FSCT",IF(AND(SUM(ES[[#This Row],[26Q2]:[26Q4]])&gt;0,SUM(ES[[#This Row],[27Q1]:[27Q2]])=0),"YES","NO"))</f>
        <v>YES</v>
      </c>
      <c r="AE45" s="120" t="str">
        <f>VLOOKUP(ES[[#This Row],[Product Line]],Prod_T6[],4,0)</f>
        <v>ESS</v>
      </c>
      <c r="AH45" s="2" t="str">
        <v>4 - BAFO</v>
      </c>
    </row>
    <row r="46" spans="1:34" ht="14.25" customHeight="1">
      <c r="A46" s="29" t="s">
        <v>29</v>
      </c>
      <c r="B46" s="1" t="s">
        <v>475</v>
      </c>
      <c r="D46" s="85" t="str">
        <f>VLOOKUP(ES[[#This Row],[Product Line]],Prod_T6[],5,0)</f>
        <v>TCL</v>
      </c>
      <c r="E46" s="2" t="s">
        <v>141</v>
      </c>
      <c r="F46" s="2" t="s">
        <v>50</v>
      </c>
      <c r="G46" s="2" t="s">
        <v>154</v>
      </c>
      <c r="H46" s="2"/>
      <c r="I46" s="43" t="s">
        <v>117</v>
      </c>
      <c r="J46" s="13"/>
      <c r="K46" s="13"/>
      <c r="L46" s="13"/>
      <c r="M46" s="13"/>
      <c r="N46" s="13"/>
      <c r="O46" s="67"/>
      <c r="P46" s="67">
        <v>2</v>
      </c>
      <c r="Q46" s="67">
        <v>4</v>
      </c>
      <c r="R46" s="67">
        <v>4</v>
      </c>
      <c r="S46" s="32">
        <f>SUM(ES[[#This Row],[26M04]:[26M06]])</f>
        <v>0</v>
      </c>
      <c r="T46" s="69">
        <f>SUM(ES[[#This Row],[26M07]:[26M09]])</f>
        <v>0</v>
      </c>
      <c r="U46" s="69">
        <f>SUM(ES[[#This Row],[26M10]:[26M12]])</f>
        <v>10</v>
      </c>
      <c r="V46" s="256"/>
      <c r="W46" s="256"/>
      <c r="X46" s="256"/>
      <c r="Y46" s="256"/>
      <c r="Z46" s="256"/>
      <c r="AA46" s="256"/>
      <c r="AB46" s="256">
        <f>SUM(ES[[#This Row],[27M01]:[27M03]])</f>
        <v>0</v>
      </c>
      <c r="AC46" s="256">
        <f>SUM(ES[[#This Row],[27M04]:[27M06]])</f>
        <v>0</v>
      </c>
      <c r="AD46" s="256" t="str">
        <f>IF(SUM(ES[[#This Row],[26Q2]:[26Q4]])+SUM(ES[[#This Row],[27Q1]:[27Q2]])=0,"No FSCT",IF(AND(SUM(ES[[#This Row],[26Q2]:[26Q4]])&gt;0,SUM(ES[[#This Row],[27Q1]:[27Q2]])=0),"YES","NO"))</f>
        <v>YES</v>
      </c>
      <c r="AE46" s="120" t="str">
        <f>VLOOKUP(ES[[#This Row],[Product Line]],Prod_T6[],4,0)</f>
        <v>ESS</v>
      </c>
      <c r="AH46" s="2" t="str">
        <v>4 - BAFO</v>
      </c>
    </row>
    <row r="47" spans="1:34" ht="14.25" customHeight="1">
      <c r="A47" s="29"/>
      <c r="D47" s="85"/>
      <c r="H47" s="2"/>
      <c r="I47" s="43"/>
      <c r="J47" s="13"/>
      <c r="K47" s="13"/>
      <c r="L47" s="13"/>
      <c r="M47" s="13"/>
      <c r="N47" s="13"/>
      <c r="O47" s="67"/>
      <c r="P47" s="67"/>
      <c r="Q47" s="67"/>
      <c r="R47" s="67"/>
      <c r="S47" s="32"/>
      <c r="T47" s="69"/>
      <c r="U47" s="69"/>
      <c r="V47" s="256"/>
      <c r="W47" s="256"/>
      <c r="X47" s="256"/>
      <c r="Y47" s="256"/>
      <c r="Z47" s="256"/>
      <c r="AA47" s="256"/>
      <c r="AB47" s="256"/>
      <c r="AC47" s="256"/>
      <c r="AD47" s="256"/>
      <c r="AE47" s="120"/>
    </row>
    <row r="48" spans="1:34" ht="14.25" customHeight="1">
      <c r="A48" s="3"/>
      <c r="B48" s="38"/>
      <c r="E48" s="3"/>
      <c r="F48" s="38"/>
      <c r="G48" s="38"/>
      <c r="H48" s="119" t="s">
        <v>638</v>
      </c>
      <c r="I48" s="118"/>
      <c r="J48" s="196">
        <f>SUBTOTAL(9,ES[26M04])</f>
        <v>69.05</v>
      </c>
      <c r="K48" s="197">
        <f>SUBTOTAL(9,ES[26M05])</f>
        <v>10</v>
      </c>
      <c r="L48" s="198">
        <f>SUBTOTAL(9,ES[26M06])</f>
        <v>71.599999999999994</v>
      </c>
      <c r="M48" s="196">
        <f>SUBTOTAL(9,ES[26M07])</f>
        <v>77.8</v>
      </c>
      <c r="N48" s="197">
        <f>SUBTOTAL(9,ES[26M08])</f>
        <v>36.299999999999997</v>
      </c>
      <c r="O48" s="198">
        <f>SUBTOTAL(9,ES[26M09])</f>
        <v>84.800000000000026</v>
      </c>
      <c r="P48" s="196">
        <f>SUBTOTAL(9,ES[26M10])</f>
        <v>99.600000000000037</v>
      </c>
      <c r="Q48" s="197">
        <f>SUBTOTAL(9,ES[26M11])</f>
        <v>104.80000000000003</v>
      </c>
      <c r="R48" s="198">
        <f>SUBTOTAL(9,ES[26M12])</f>
        <v>44.599999999999987</v>
      </c>
      <c r="S48" s="199">
        <f>SUBTOTAL(9,ES[26Q2])</f>
        <v>102.60000000000001</v>
      </c>
      <c r="T48" s="199">
        <f>SUBTOTAL(9,ES[26Q3])</f>
        <v>198.90000000000009</v>
      </c>
      <c r="U48" s="199">
        <f>SUBTOTAL(9,ES[26Q4])</f>
        <v>249.00000000000003</v>
      </c>
      <c r="V48" s="257"/>
      <c r="W48" s="257"/>
      <c r="X48" s="257"/>
      <c r="Y48" s="257"/>
      <c r="Z48" s="257"/>
      <c r="AA48" s="257"/>
      <c r="AB48" s="257"/>
      <c r="AC48" s="257"/>
      <c r="AD48" s="257"/>
      <c r="AE48" s="3"/>
      <c r="AF48" s="3"/>
      <c r="AG48" s="3"/>
      <c r="AH48" s="3"/>
    </row>
  </sheetData>
  <phoneticPr fontId="45" type="noConversion"/>
  <dataValidations count="4">
    <dataValidation type="list" allowBlank="1" showInputMessage="1" showErrorMessage="1" sqref="A6:A47" xr:uid="{CB9A74AA-B752-48CB-92A1-072C735D9813}">
      <formula1>Country_List</formula1>
    </dataValidation>
    <dataValidation type="list" allowBlank="1" showInputMessage="1" showErrorMessage="1" sqref="E6:E47" xr:uid="{68371E3B-F511-467C-8E41-36015F9D2D50}">
      <formula1>Product_List</formula1>
    </dataValidation>
    <dataValidation type="list" allowBlank="1" showInputMessage="1" showErrorMessage="1" sqref="G6:G47" xr:uid="{DA22CF1B-9164-48B3-9078-C24328C73006}">
      <formula1>Stage_List</formula1>
    </dataValidation>
    <dataValidation type="list" allowBlank="1" showInputMessage="1" showErrorMessage="1" sqref="B6:B17 B22:B28 F6:F47" xr:uid="{2EBA1AEF-0DA7-4511-8A20-0133E3AF96BD}">
      <formula1>INDIRECT(A6)</formula1>
    </dataValidation>
  </dataValidations>
  <pageMargins left="0.70866141732283505" right="0.70866141732283505" top="0.74803149606299202" bottom="0.74803149606299202" header="0.31496062992126" footer="0.31496062992126"/>
  <pageSetup paperSize="9" scale="41" orientation="landscape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74F2C-9DC8-4C09-83F9-B865747F1FF1}">
  <sheetPr codeName="Sheet11">
    <tabColor theme="4" tint="0.39997558519241921"/>
    <pageSetUpPr fitToPage="1"/>
  </sheetPr>
  <dimension ref="A1:XFD121"/>
  <sheetViews>
    <sheetView topLeftCell="B1" zoomScale="80" zoomScaleNormal="80" workbookViewId="0">
      <selection activeCell="B25" sqref="B25"/>
    </sheetView>
  </sheetViews>
  <sheetFormatPr defaultColWidth="8.08984375" defaultRowHeight="14.25" customHeight="1" outlineLevelCol="1"/>
  <cols>
    <col min="1" max="1" width="12" style="2" hidden="1" customWidth="1" outlineLevel="1"/>
    <col min="2" max="2" width="25.6328125" style="1" customWidth="1" collapsed="1"/>
    <col min="3" max="3" width="12" style="3" customWidth="1" outlineLevel="1"/>
    <col min="4" max="4" width="8" style="3" customWidth="1" outlineLevel="1"/>
    <col min="5" max="5" width="15.36328125" style="2" bestFit="1" customWidth="1"/>
    <col min="6" max="6" width="31.36328125" style="2" customWidth="1"/>
    <col min="7" max="7" width="17.36328125" style="1" hidden="1" customWidth="1"/>
    <col min="8" max="8" width="27.36328125" style="1" hidden="1" customWidth="1"/>
    <col min="9" max="9" width="19.08984375" style="46" hidden="1" customWidth="1" outlineLevel="1"/>
    <col min="10" max="10" width="8.08984375" style="2" hidden="1" customWidth="1" collapsed="1"/>
    <col min="11" max="15" width="11.90625" style="2" hidden="1" customWidth="1"/>
    <col min="16" max="18" width="11.90625" style="2" bestFit="1" customWidth="1"/>
    <col min="19" max="19" width="12.36328125" style="5" bestFit="1" customWidth="1" outlineLevel="1" collapsed="1"/>
    <col min="20" max="21" width="12.36328125" style="2" bestFit="1" customWidth="1"/>
    <col min="22" max="27" width="13.90625" style="2" bestFit="1" customWidth="1"/>
    <col min="28" max="29" width="12.36328125" style="2" bestFit="1" customWidth="1"/>
    <col min="30" max="30" width="17.90625" style="2" bestFit="1" customWidth="1"/>
    <col min="31" max="31" width="19.90625" style="2" bestFit="1" customWidth="1"/>
    <col min="32" max="16323" width="8.08984375" style="2" customWidth="1"/>
    <col min="16324" max="16384" width="8.08984375" style="2"/>
  </cols>
  <sheetData>
    <row r="1" spans="1:34" ht="13">
      <c r="A1" s="3"/>
      <c r="B1" s="3"/>
      <c r="E1" s="3"/>
      <c r="F1" s="3"/>
      <c r="G1" s="38" t="s">
        <v>622</v>
      </c>
      <c r="H1" s="38"/>
      <c r="I1" s="34"/>
      <c r="J1" s="2" t="s">
        <v>623</v>
      </c>
      <c r="K1" s="2" t="s">
        <v>623</v>
      </c>
      <c r="L1" s="2" t="s">
        <v>623</v>
      </c>
      <c r="M1" s="2" t="s">
        <v>623</v>
      </c>
      <c r="N1" s="2" t="s">
        <v>623</v>
      </c>
      <c r="O1" s="2" t="s">
        <v>623</v>
      </c>
      <c r="P1" s="2" t="s">
        <v>623</v>
      </c>
      <c r="Q1" s="2" t="s">
        <v>623</v>
      </c>
      <c r="R1" s="2" t="s">
        <v>623</v>
      </c>
      <c r="S1" s="2" t="s">
        <v>623</v>
      </c>
      <c r="T1" s="2" t="s">
        <v>623</v>
      </c>
      <c r="U1" s="2" t="s">
        <v>623</v>
      </c>
      <c r="V1" s="2" t="s">
        <v>623</v>
      </c>
      <c r="W1" s="2" t="s">
        <v>623</v>
      </c>
      <c r="X1" s="2" t="s">
        <v>623</v>
      </c>
      <c r="Y1" s="2" t="s">
        <v>623</v>
      </c>
      <c r="Z1" s="2" t="s">
        <v>623</v>
      </c>
      <c r="AA1" s="2" t="s">
        <v>623</v>
      </c>
      <c r="AB1" s="2" t="s">
        <v>623</v>
      </c>
      <c r="AC1" s="2" t="s">
        <v>623</v>
      </c>
      <c r="AE1" s="3"/>
      <c r="AF1" s="3"/>
      <c r="AG1" s="3"/>
      <c r="AH1" s="3"/>
    </row>
    <row r="2" spans="1:34" ht="13.5">
      <c r="A2" s="3"/>
      <c r="B2" s="3"/>
      <c r="E2" s="3"/>
      <c r="F2" s="3"/>
      <c r="G2" s="38" t="s">
        <v>27</v>
      </c>
      <c r="H2" s="49"/>
      <c r="I2" s="63"/>
      <c r="J2" s="195" cm="1">
        <f t="array" aca="1" ref="J2" ca="1">SUMPRODUCT((FR_CH[Product Category]=$G2)*SUBTOTAL(109,OFFSET(INDEX(FR_CH[26M04],1),ROW(FR_CH[26M04])-MIN(ROW(FR_CH[26M04])),0,1)))</f>
        <v>94</v>
      </c>
      <c r="K2" s="195" cm="1">
        <f t="array" aca="1" ref="K2" ca="1">SUMPRODUCT((FR_CH[Product Category]=$G2)*SUBTOTAL(109,OFFSET(INDEX(FR_CH[26M05],1),ROW(FR_CH[26M05])-MIN(ROW(FR_CH[26M05])),0,1)))</f>
        <v>4</v>
      </c>
      <c r="L2" s="195" cm="1">
        <f t="array" aca="1" ref="L2" ca="1">SUMPRODUCT((FR_CH[Product Category]=$G2)*SUBTOTAL(109,OFFSET(INDEX(FR_CH[26M06],1),ROW(FR_CH[26M06])-MIN(ROW(FR_CH[26M06])),0,1)))</f>
        <v>3</v>
      </c>
      <c r="M2" s="195" cm="1">
        <f t="array" aca="1" ref="M2" ca="1">SUMPRODUCT((FR_CH[Product Category]=$G2)*SUBTOTAL(109,OFFSET(INDEX(FR_CH[26M07],1),ROW(FR_CH[26M07])-MIN(ROW(FR_CH[26M07])),0,1)))</f>
        <v>208</v>
      </c>
      <c r="N2" s="195" cm="1">
        <f t="array" aca="1" ref="N2" ca="1">SUMPRODUCT((FR_CH[Product Category]=$G2)*SUBTOTAL(109,OFFSET(INDEX(FR_CH[26M08],1),ROW(FR_CH[26M08])-MIN(ROW(FR_CH[26M08])),0,1)))</f>
        <v>122</v>
      </c>
      <c r="O2" s="195" cm="1">
        <f t="array" aca="1" ref="O2" ca="1">SUMPRODUCT((FR_CH[Product Category]=$G2)*SUBTOTAL(109,OFFSET(INDEX(FR_CH[26M09],1),ROW(FR_CH[26M09])-MIN(ROW(FR_CH[26M09])),0,1)))</f>
        <v>214</v>
      </c>
      <c r="P2" s="195" cm="1">
        <f t="array" aca="1" ref="P2" ca="1">SUMPRODUCT((FR_CH[Product Category]=$G2)*SUBTOTAL(109,OFFSET(INDEX(FR_CH[26M10],1),ROW(FR_CH[26M10])-MIN(ROW(FR_CH[26M10])),0,1)))</f>
        <v>123</v>
      </c>
      <c r="Q2" s="195" cm="1">
        <f t="array" aca="1" ref="Q2" ca="1">SUMPRODUCT((FR_CH[Product Category]=$G2)*SUBTOTAL(109,OFFSET(INDEX(FR_CH[26M11],1),ROW(FR_CH[26M11])-MIN(ROW(FR_CH[26M11])),0,1)))</f>
        <v>133</v>
      </c>
      <c r="R2" s="195" cm="1">
        <f t="array" aca="1" ref="R2" ca="1">SUMPRODUCT((FR_CH[Product Category]=$G2)*SUBTOTAL(109,OFFSET(INDEX(FR_CH[26M12],1),ROW(FR_CH[26M12])-MIN(ROW(FR_CH[26M12])),0,1)))</f>
        <v>130</v>
      </c>
      <c r="S2" s="195" cm="1">
        <f t="array" aca="1" ref="S2" ca="1">SUMPRODUCT((FR_CH[Product Category]=$G2)*SUBTOTAL(109,OFFSET(INDEX(FR_CH[26Q2],1),ROW(FR_CH[26Q2])-MIN(ROW(FR_CH[26Q2])),0,1)))</f>
        <v>87</v>
      </c>
      <c r="T2" s="195" cm="1">
        <f t="array" aca="1" ref="T2" ca="1">SUMPRODUCT((FR_CH[Product Category]=$G2)*SUBTOTAL(109,OFFSET(INDEX(FR_CH[26Q3],1),ROW(FR_CH[26Q3])-MIN(ROW(FR_CH[26Q3])),0,1)))</f>
        <v>544</v>
      </c>
      <c r="U2" s="195" cm="1">
        <f t="array" aca="1" ref="U2" ca="1">SUMPRODUCT((FR_CH[Product Category]=$G2)*SUBTOTAL(109,OFFSET(INDEX(FR_CH[26Q4],1),ROW(FR_CH[26Q4])-MIN(ROW(FR_CH[26Q4])),0,1)))</f>
        <v>386</v>
      </c>
      <c r="V2" s="195" cm="1">
        <f t="array" aca="1" ref="V2" ca="1">SUMPRODUCT((FR_CH[Product Category]=$G2)*SUBTOTAL(109,OFFSET(INDEX(FR_CH[27M01],1),ROW(FR_CH[27M01])-MIN(ROW(FR_CH[27M01])),0,1)))</f>
        <v>3</v>
      </c>
      <c r="W2" s="195" cm="1">
        <f t="array" aca="1" ref="W2" ca="1">SUMPRODUCT((FR_CH[Product Category]=$G2)*SUBTOTAL(109,OFFSET(INDEX(FR_CH[27M02],1),ROW(FR_CH[27M02])-MIN(ROW(FR_CH[27M02])),0,1)))</f>
        <v>13</v>
      </c>
      <c r="X2" s="195" cm="1">
        <f t="array" aca="1" ref="X2" ca="1">SUMPRODUCT((FR_CH[Product Category]=$G2)*SUBTOTAL(109,OFFSET(INDEX(FR_CH[27M03],1),ROW(FR_CH[27M03])-MIN(ROW(FR_CH[27M03])),0,1)))</f>
        <v>10</v>
      </c>
      <c r="Y2" s="195" cm="1">
        <f t="array" aca="1" ref="Y2" ca="1">SUMPRODUCT((FR_CH[Product Category]=$G2)*SUBTOTAL(109,OFFSET(INDEX(FR_CH[27M04],1),ROW(FR_CH[27M04])-MIN(ROW(FR_CH[27M04])),0,1)))</f>
        <v>10</v>
      </c>
      <c r="Z2" s="195" cm="1">
        <f t="array" aca="1" ref="Z2" ca="1">SUMPRODUCT((FR_CH[Product Category]=$G2)*SUBTOTAL(109,OFFSET(INDEX(FR_CH[27M05],1),ROW(FR_CH[27M05])-MIN(ROW(FR_CH[27M05])),0,1)))</f>
        <v>10</v>
      </c>
      <c r="AA2" s="195" cm="1">
        <f t="array" aca="1" ref="AA2" ca="1">SUMPRODUCT((FR_CH[Product Category]=$G2)*SUBTOTAL(109,OFFSET(INDEX(FR_CH[27M06],1),ROW(FR_CH[27M06])-MIN(ROW(FR_CH[27M06])),0,1)))</f>
        <v>10</v>
      </c>
      <c r="AB2" s="195" cm="1">
        <f t="array" aca="1" ref="AB2" ca="1">SUMPRODUCT((FR_CH[Product Category]=$G2)*SUBTOTAL(109,OFFSET(INDEX(FR_CH[27Q1],1),ROW(FR_CH[27Q1])-MIN(ROW(FR_CH[27Q1])),0,1)))</f>
        <v>26</v>
      </c>
      <c r="AC2" s="195" cm="1">
        <f t="array" aca="1" ref="AC2" ca="1">SUMPRODUCT((FR_CH[Product Category]=$G2)*SUBTOTAL(109,OFFSET(INDEX(FR_CH[27Q2],1),ROW(FR_CH[27Q2])-MIN(ROW(FR_CH[27Q2])),0,1)))</f>
        <v>26</v>
      </c>
      <c r="AD2" s="255"/>
      <c r="AE2" s="3"/>
      <c r="AF2" s="3"/>
      <c r="AG2" s="3"/>
      <c r="AH2" s="3"/>
    </row>
    <row r="3" spans="1:34" ht="13.5">
      <c r="A3" s="3"/>
      <c r="B3" s="3"/>
      <c r="E3" s="3"/>
      <c r="F3" s="3"/>
      <c r="G3" s="38" t="s">
        <v>87</v>
      </c>
      <c r="H3" s="49"/>
      <c r="I3" s="63"/>
      <c r="J3" s="195" cm="1">
        <f t="array" aca="1" ref="J3" ca="1">SUMPRODUCT((FR_CH[Product Category]=$G3)*SUBTOTAL(109,OFFSET(INDEX(FR_CH[26M04],1),ROW(FR_CH[26M04])-MIN(ROW(FR_CH[26M04])),0,1)))</f>
        <v>0</v>
      </c>
      <c r="K3" s="195" cm="1">
        <f t="array" aca="1" ref="K3" ca="1">SUMPRODUCT((FR_CH[Product Category]=$G3)*SUBTOTAL(109,OFFSET(INDEX(FR_CH[26M05],1),ROW(FR_CH[26M05])-MIN(ROW(FR_CH[26M05])),0,1)))</f>
        <v>0</v>
      </c>
      <c r="L3" s="195" cm="1">
        <f t="array" aca="1" ref="L3" ca="1">SUMPRODUCT((FR_CH[Product Category]=$G3)*SUBTOTAL(109,OFFSET(INDEX(FR_CH[26M06],1),ROW(FR_CH[26M06])-MIN(ROW(FR_CH[26M06])),0,1)))</f>
        <v>0</v>
      </c>
      <c r="M3" s="195" cm="1">
        <f t="array" aca="1" ref="M3" ca="1">SUMPRODUCT((FR_CH[Product Category]=$G3)*SUBTOTAL(109,OFFSET(INDEX(FR_CH[26M07],1),ROW(FR_CH[26M07])-MIN(ROW(FR_CH[26M07])),0,1)))</f>
        <v>0</v>
      </c>
      <c r="N3" s="195" cm="1">
        <f t="array" aca="1" ref="N3" ca="1">SUMPRODUCT((FR_CH[Product Category]=$G3)*SUBTOTAL(109,OFFSET(INDEX(FR_CH[26M08],1),ROW(FR_CH[26M08])-MIN(ROW(FR_CH[26M08])),0,1)))</f>
        <v>0</v>
      </c>
      <c r="O3" s="195" cm="1">
        <f t="array" aca="1" ref="O3" ca="1">SUMPRODUCT((FR_CH[Product Category]=$G3)*SUBTOTAL(109,OFFSET(INDEX(FR_CH[26M09],1),ROW(FR_CH[26M09])-MIN(ROW(FR_CH[26M09])),0,1)))</f>
        <v>0</v>
      </c>
      <c r="P3" s="195" cm="1">
        <f t="array" aca="1" ref="P3" ca="1">SUMPRODUCT((FR_CH[Product Category]=$G3)*SUBTOTAL(109,OFFSET(INDEX(FR_CH[26M10],1),ROW(FR_CH[26M10])-MIN(ROW(FR_CH[26M10])),0,1)))</f>
        <v>0</v>
      </c>
      <c r="Q3" s="195" cm="1">
        <f t="array" aca="1" ref="Q3" ca="1">SUMPRODUCT((FR_CH[Product Category]=$G3)*SUBTOTAL(109,OFFSET(INDEX(FR_CH[26M11],1),ROW(FR_CH[26M11])-MIN(ROW(FR_CH[26M11])),0,1)))</f>
        <v>0</v>
      </c>
      <c r="R3" s="195" cm="1">
        <f t="array" aca="1" ref="R3" ca="1">SUMPRODUCT((FR_CH[Product Category]=$G3)*SUBTOTAL(109,OFFSET(INDEX(FR_CH[26M12],1),ROW(FR_CH[26M12])-MIN(ROW(FR_CH[26M12])),0,1)))</f>
        <v>0</v>
      </c>
      <c r="S3" s="195" cm="1">
        <f t="array" aca="1" ref="S3" ca="1">SUMPRODUCT((FR_CH[Product Category]=$G3)*SUBTOTAL(109,OFFSET(INDEX(FR_CH[26Q2],1),ROW(FR_CH[26Q2])-MIN(ROW(FR_CH[26Q2])),0,1)))</f>
        <v>0</v>
      </c>
      <c r="T3" s="195" cm="1">
        <f t="array" aca="1" ref="T3" ca="1">SUMPRODUCT((FR_CH[Product Category]=$G3)*SUBTOTAL(109,OFFSET(INDEX(FR_CH[26Q3],1),ROW(FR_CH[26Q3])-MIN(ROW(FR_CH[26Q3])),0,1)))</f>
        <v>0</v>
      </c>
      <c r="U3" s="195" cm="1">
        <f t="array" aca="1" ref="U3" ca="1">SUMPRODUCT((FR_CH[Product Category]=$G3)*SUBTOTAL(109,OFFSET(INDEX(FR_CH[26Q4],1),ROW(FR_CH[26Q4])-MIN(ROW(FR_CH[26Q4])),0,1)))</f>
        <v>0</v>
      </c>
      <c r="V3" s="195" cm="1">
        <f t="array" aca="1" ref="V3" ca="1">SUMPRODUCT((FR_CH[Product Category]=$G3)*SUBTOTAL(109,OFFSET(INDEX(FR_CH[27M01],1),ROW(FR_CH[27M01])-MIN(ROW(FR_CH[27M01])),0,1)))</f>
        <v>0</v>
      </c>
      <c r="W3" s="195" cm="1">
        <f t="array" aca="1" ref="W3" ca="1">SUMPRODUCT((FR_CH[Product Category]=$G3)*SUBTOTAL(109,OFFSET(INDEX(FR_CH[27M02],1),ROW(FR_CH[27M02])-MIN(ROW(FR_CH[27M02])),0,1)))</f>
        <v>0</v>
      </c>
      <c r="X3" s="195" cm="1">
        <f t="array" aca="1" ref="X3" ca="1">SUMPRODUCT((FR_CH[Product Category]=$G3)*SUBTOTAL(109,OFFSET(INDEX(FR_CH[27M03],1),ROW(FR_CH[27M03])-MIN(ROW(FR_CH[27M03])),0,1)))</f>
        <v>0</v>
      </c>
      <c r="Y3" s="195" cm="1">
        <f t="array" aca="1" ref="Y3" ca="1">SUMPRODUCT((FR_CH[Product Category]=$G3)*SUBTOTAL(109,OFFSET(INDEX(FR_CH[27M04],1),ROW(FR_CH[27M04])-MIN(ROW(FR_CH[27M04])),0,1)))</f>
        <v>0</v>
      </c>
      <c r="Z3" s="195" cm="1">
        <f t="array" aca="1" ref="Z3" ca="1">SUMPRODUCT((FR_CH[Product Category]=$G3)*SUBTOTAL(109,OFFSET(INDEX(FR_CH[27M05],1),ROW(FR_CH[27M05])-MIN(ROW(FR_CH[27M05])),0,1)))</f>
        <v>0</v>
      </c>
      <c r="AA3" s="195" cm="1">
        <f t="array" aca="1" ref="AA3" ca="1">SUMPRODUCT((FR_CH[Product Category]=$G3)*SUBTOTAL(109,OFFSET(INDEX(FR_CH[27M06],1),ROW(FR_CH[27M06])-MIN(ROW(FR_CH[27M06])),0,1)))</f>
        <v>0</v>
      </c>
      <c r="AB3" s="195" cm="1">
        <f t="array" aca="1" ref="AB3" ca="1">SUMPRODUCT((FR_CH[Product Category]=$G3)*SUBTOTAL(109,OFFSET(INDEX(FR_CH[27Q1],1),ROW(FR_CH[27Q1])-MIN(ROW(FR_CH[27Q1])),0,1)))</f>
        <v>0</v>
      </c>
      <c r="AC3" s="195" cm="1">
        <f t="array" aca="1" ref="AC3" ca="1">SUMPRODUCT((FR_CH[Product Category]=$G3)*SUBTOTAL(109,OFFSET(INDEX(FR_CH[27Q2],1),ROW(FR_CH[27Q2])-MIN(ROW(FR_CH[27Q2])),0,1)))</f>
        <v>0</v>
      </c>
      <c r="AD3" s="255"/>
      <c r="AE3" s="3"/>
      <c r="AF3" s="3"/>
      <c r="AG3" s="3"/>
      <c r="AH3" s="3"/>
    </row>
    <row r="4" spans="1:34" ht="13.5">
      <c r="A4" s="3"/>
      <c r="B4" s="3"/>
      <c r="E4" s="3"/>
      <c r="F4" s="3"/>
      <c r="G4" s="38" t="s">
        <v>70</v>
      </c>
      <c r="H4" s="49"/>
      <c r="I4" s="64"/>
      <c r="J4" s="195" cm="1">
        <f t="array" aca="1" ref="J4" ca="1">SUMPRODUCT((FR_CH[Product Category]=$G4)*SUBTOTAL(109,OFFSET(INDEX(FR_CH[26M04],1),ROW(FR_CH[26M04])-MIN(ROW(FR_CH[26M04])),0,1)))</f>
        <v>22.029</v>
      </c>
      <c r="K4" s="195" cm="1">
        <f t="array" aca="1" ref="K4" ca="1">SUMPRODUCT((FR_CH[Product Category]=$G4)*SUBTOTAL(109,OFFSET(INDEX(FR_CH[26M05],1),ROW(FR_CH[26M05])-MIN(ROW(FR_CH[26M05])),0,1)))</f>
        <v>15.900000000000006</v>
      </c>
      <c r="L4" s="195" cm="1">
        <f t="array" aca="1" ref="L4" ca="1">SUMPRODUCT((FR_CH[Product Category]=$G4)*SUBTOTAL(109,OFFSET(INDEX(FR_CH[26M06],1),ROW(FR_CH[26M06])-MIN(ROW(FR_CH[26M06])),0,1)))</f>
        <v>19.350000000000005</v>
      </c>
      <c r="M4" s="195" cm="1">
        <f t="array" aca="1" ref="M4" ca="1">SUMPRODUCT((FR_CH[Product Category]=$G4)*SUBTOTAL(109,OFFSET(INDEX(FR_CH[26M07],1),ROW(FR_CH[26M07])-MIN(ROW(FR_CH[26M07])),0,1)))</f>
        <v>22.757000000000001</v>
      </c>
      <c r="N4" s="195" cm="1">
        <f t="array" aca="1" ref="N4" ca="1">SUMPRODUCT((FR_CH[Product Category]=$G4)*SUBTOTAL(109,OFFSET(INDEX(FR_CH[26M08],1),ROW(FR_CH[26M08])-MIN(ROW(FR_CH[26M08])),0,1)))</f>
        <v>20.122</v>
      </c>
      <c r="O4" s="195" cm="1">
        <f t="array" aca="1" ref="O4" ca="1">SUMPRODUCT((FR_CH[Product Category]=$G4)*SUBTOTAL(109,OFFSET(INDEX(FR_CH[26M09],1),ROW(FR_CH[26M09])-MIN(ROW(FR_CH[26M09])),0,1)))</f>
        <v>44.294999999999987</v>
      </c>
      <c r="P4" s="195" cm="1">
        <f t="array" aca="1" ref="P4" ca="1">SUMPRODUCT((FR_CH[Product Category]=$G4)*SUBTOTAL(109,OFFSET(INDEX(FR_CH[26M10],1),ROW(FR_CH[26M10])-MIN(ROW(FR_CH[26M10])),0,1)))</f>
        <v>20.867000000000008</v>
      </c>
      <c r="Q4" s="195" cm="1">
        <f t="array" aca="1" ref="Q4" ca="1">SUMPRODUCT((FR_CH[Product Category]=$G4)*SUBTOTAL(109,OFFSET(INDEX(FR_CH[26M11],1),ROW(FR_CH[26M11])-MIN(ROW(FR_CH[26M11])),0,1)))</f>
        <v>17.37</v>
      </c>
      <c r="R4" s="195" cm="1">
        <f t="array" aca="1" ref="R4" ca="1">SUMPRODUCT((FR_CH[Product Category]=$G4)*SUBTOTAL(109,OFFSET(INDEX(FR_CH[26M12],1),ROW(FR_CH[26M12])-MIN(ROW(FR_CH[26M12])),0,1)))</f>
        <v>24.02</v>
      </c>
      <c r="S4" s="195" cm="1">
        <f t="array" aca="1" ref="S4" ca="1">SUMPRODUCT((FR_CH[Product Category]=$G4)*SUBTOTAL(109,OFFSET(INDEX(FR_CH[26Q2],1),ROW(FR_CH[26Q2])-MIN(ROW(FR_CH[26Q2])),0,1)))</f>
        <v>47.479000000000006</v>
      </c>
      <c r="T4" s="195" cm="1">
        <f t="array" aca="1" ref="T4" ca="1">SUMPRODUCT((FR_CH[Product Category]=$G4)*SUBTOTAL(109,OFFSET(INDEX(FR_CH[26Q3],1),ROW(FR_CH[26Q3])-MIN(ROW(FR_CH[26Q3])),0,1)))</f>
        <v>87.174000000000021</v>
      </c>
      <c r="U4" s="195" cm="1">
        <f t="array" aca="1" ref="U4" ca="1">SUMPRODUCT((FR_CH[Product Category]=$G4)*SUBTOTAL(109,OFFSET(INDEX(FR_CH[26Q4],1),ROW(FR_CH[26Q4])-MIN(ROW(FR_CH[26Q4])),0,1)))</f>
        <v>62.256999999999998</v>
      </c>
      <c r="V4" s="195" cm="1">
        <f t="array" aca="1" ref="V4" ca="1">SUMPRODUCT((FR_CH[Product Category]=$G4)*SUBTOTAL(109,OFFSET(INDEX(FR_CH[27M01],1),ROW(FR_CH[27M01])-MIN(ROW(FR_CH[27M01])),0,1)))</f>
        <v>42</v>
      </c>
      <c r="W4" s="195" cm="1">
        <f t="array" aca="1" ref="W4" ca="1">SUMPRODUCT((FR_CH[Product Category]=$G4)*SUBTOTAL(109,OFFSET(INDEX(FR_CH[27M02],1),ROW(FR_CH[27M02])-MIN(ROW(FR_CH[27M02])),0,1)))</f>
        <v>40</v>
      </c>
      <c r="X4" s="195" cm="1">
        <f t="array" aca="1" ref="X4" ca="1">SUMPRODUCT((FR_CH[Product Category]=$G4)*SUBTOTAL(109,OFFSET(INDEX(FR_CH[27M03],1),ROW(FR_CH[27M03])-MIN(ROW(FR_CH[27M03])),0,1)))</f>
        <v>36</v>
      </c>
      <c r="Y4" s="195" cm="1">
        <f t="array" aca="1" ref="Y4" ca="1">SUMPRODUCT((FR_CH[Product Category]=$G4)*SUBTOTAL(109,OFFSET(INDEX(FR_CH[27M04],1),ROW(FR_CH[27M04])-MIN(ROW(FR_CH[27M04])),0,1)))</f>
        <v>32</v>
      </c>
      <c r="Z4" s="195" cm="1">
        <f t="array" aca="1" ref="Z4" ca="1">SUMPRODUCT((FR_CH[Product Category]=$G4)*SUBTOTAL(109,OFFSET(INDEX(FR_CH[27M05],1),ROW(FR_CH[27M05])-MIN(ROW(FR_CH[27M05])),0,1)))</f>
        <v>32</v>
      </c>
      <c r="AA4" s="195" cm="1">
        <f t="array" aca="1" ref="AA4" ca="1">SUMPRODUCT((FR_CH[Product Category]=$G4)*SUBTOTAL(109,OFFSET(INDEX(FR_CH[27M06],1),ROW(FR_CH[27M06])-MIN(ROW(FR_CH[27M06])),0,1)))</f>
        <v>32</v>
      </c>
      <c r="AB4" s="195" cm="1">
        <f t="array" aca="1" ref="AB4" ca="1">SUMPRODUCT((FR_CH[Product Category]=$G4)*SUBTOTAL(109,OFFSET(INDEX(FR_CH[27Q1],1),ROW(FR_CH[27Q1])-MIN(ROW(FR_CH[27Q1])),0,1)))</f>
        <v>118</v>
      </c>
      <c r="AC4" s="195" cm="1">
        <f t="array" aca="1" ref="AC4" ca="1">SUMPRODUCT((FR_CH[Product Category]=$G4)*SUBTOTAL(109,OFFSET(INDEX(FR_CH[27Q2],1),ROW(FR_CH[27Q2])-MIN(ROW(FR_CH[27Q2])),0,1)))</f>
        <v>118</v>
      </c>
      <c r="AD4" s="255"/>
      <c r="AE4" s="3"/>
      <c r="AF4" s="3"/>
      <c r="AG4" s="3"/>
      <c r="AH4" s="3"/>
    </row>
    <row r="5" spans="1:34" ht="14">
      <c r="A5" s="10" t="s">
        <v>45</v>
      </c>
      <c r="B5" s="11" t="s">
        <v>1</v>
      </c>
      <c r="C5" s="10" t="s">
        <v>92</v>
      </c>
      <c r="D5" s="10" t="s">
        <v>624</v>
      </c>
      <c r="E5" s="10" t="s">
        <v>3</v>
      </c>
      <c r="F5" s="10" t="s">
        <v>28</v>
      </c>
      <c r="G5" s="11" t="s">
        <v>5</v>
      </c>
      <c r="H5" s="11" t="s">
        <v>93</v>
      </c>
      <c r="I5" s="9" t="s">
        <v>94</v>
      </c>
      <c r="J5" s="12" t="s">
        <v>95</v>
      </c>
      <c r="K5" s="12" t="s">
        <v>96</v>
      </c>
      <c r="L5" s="12" t="s">
        <v>97</v>
      </c>
      <c r="M5" s="12" t="s">
        <v>98</v>
      </c>
      <c r="N5" s="12" t="s">
        <v>99</v>
      </c>
      <c r="O5" s="12" t="s">
        <v>625</v>
      </c>
      <c r="P5" s="12" t="s">
        <v>34</v>
      </c>
      <c r="Q5" s="12" t="s">
        <v>101</v>
      </c>
      <c r="R5" s="12" t="s">
        <v>36</v>
      </c>
      <c r="S5" s="193" t="s">
        <v>626</v>
      </c>
      <c r="T5" s="193" t="s">
        <v>627</v>
      </c>
      <c r="U5" s="107" t="s">
        <v>628</v>
      </c>
      <c r="V5" s="107" t="s">
        <v>629</v>
      </c>
      <c r="W5" s="107" t="s">
        <v>103</v>
      </c>
      <c r="X5" s="107" t="s">
        <v>104</v>
      </c>
      <c r="Y5" s="107" t="s">
        <v>105</v>
      </c>
      <c r="Z5" s="107" t="s">
        <v>106</v>
      </c>
      <c r="AA5" s="107" t="s">
        <v>107</v>
      </c>
      <c r="AB5" s="107" t="s">
        <v>630</v>
      </c>
      <c r="AC5" s="107" t="s">
        <v>631</v>
      </c>
      <c r="AD5" s="107" t="s">
        <v>632</v>
      </c>
      <c r="AE5" s="78" t="s">
        <v>26</v>
      </c>
      <c r="AF5" s="36"/>
      <c r="AG5" s="36"/>
      <c r="AH5" s="36"/>
    </row>
    <row r="6" spans="1:34" ht="14.5">
      <c r="A6" s="14" t="s">
        <v>30</v>
      </c>
      <c r="B6" s="1" t="s">
        <v>199</v>
      </c>
      <c r="C6" s="3" t="s">
        <v>186</v>
      </c>
      <c r="D6" s="3" t="str">
        <f>VLOOKUP(FR_CH[[#This Row],[Product Line]],Prod_T6[],5,0)</f>
        <v>Sunpower</v>
      </c>
      <c r="E6" s="2" t="s">
        <v>197</v>
      </c>
      <c r="F6" s="2" t="s">
        <v>229</v>
      </c>
      <c r="G6" s="1" t="s">
        <v>120</v>
      </c>
      <c r="I6" s="15" t="s">
        <v>117</v>
      </c>
      <c r="J6" s="205">
        <v>8</v>
      </c>
      <c r="K6" s="205">
        <v>0</v>
      </c>
      <c r="L6" s="205">
        <v>0</v>
      </c>
      <c r="M6" s="205">
        <v>16</v>
      </c>
      <c r="N6" s="13">
        <v>12</v>
      </c>
      <c r="O6" s="13">
        <v>8</v>
      </c>
      <c r="P6" s="13">
        <v>8</v>
      </c>
      <c r="Q6" s="13">
        <v>8</v>
      </c>
      <c r="R6" s="13">
        <v>8</v>
      </c>
      <c r="S6" s="32"/>
      <c r="T6" s="69">
        <f>SUM(FR_CH[[#This Row],[26M07]:[26M09]])</f>
        <v>36</v>
      </c>
      <c r="U6" s="69">
        <f>SUM(FR_CH[[#This Row],[26M10]:[26M12]])</f>
        <v>24</v>
      </c>
      <c r="V6" s="256"/>
      <c r="W6" s="256"/>
      <c r="X6" s="256"/>
      <c r="Y6" s="256"/>
      <c r="Z6" s="256"/>
      <c r="AA6" s="256"/>
      <c r="AB6" s="256">
        <f>SUM(FR_CH[[#This Row],[27M01]:[27M03]])</f>
        <v>0</v>
      </c>
      <c r="AC6" s="256">
        <f>SUM(FR_CH[[#This Row],[27M01]:[27M03]])</f>
        <v>0</v>
      </c>
      <c r="AD6" s="256" t="str">
        <f>IF(SUM(FR_CH[[#This Row],[26Q2]:[26Q4]])+SUM(FR_CH[[#This Row],[27Q1]:[27Q2]])=0,"No FSCT",IF(AND(SUM(FR_CH[[#This Row],[26Q2]:[26Q4]])&gt;0,SUM(FR_CH[[#This Row],[27Q1]:[27Q2]])=0),"YES","NO"))</f>
        <v>YES</v>
      </c>
      <c r="AE6" s="85" t="str">
        <f>VLOOKUP(FR_CH[[#This Row],[Product Line]],Prod_T6[],4,0)</f>
        <v>ESS</v>
      </c>
      <c r="AH6" s="2" t="e" cm="1" vm="1">
        <f t="array" aca="1" ref="AH6" ca="1">FR_CH[Stage]</f>
        <v>#VALUE!</v>
      </c>
    </row>
    <row r="7" spans="1:34" ht="14.5">
      <c r="A7" s="14" t="s">
        <v>30</v>
      </c>
      <c r="B7" s="1" t="s">
        <v>199</v>
      </c>
      <c r="C7" s="3" t="s">
        <v>186</v>
      </c>
      <c r="D7" s="3" t="str">
        <f>VLOOKUP(FR_CH[[#This Row],[Product Line]],Prod_T6[],5,0)</f>
        <v>Sunpower</v>
      </c>
      <c r="E7" s="2" t="s">
        <v>197</v>
      </c>
      <c r="F7" s="2" t="s">
        <v>236</v>
      </c>
      <c r="G7" s="1" t="s">
        <v>120</v>
      </c>
      <c r="I7" s="15" t="s">
        <v>117</v>
      </c>
      <c r="J7" s="13">
        <v>4</v>
      </c>
      <c r="K7" s="13">
        <v>0</v>
      </c>
      <c r="L7" s="13">
        <v>0</v>
      </c>
      <c r="M7" s="13">
        <v>4</v>
      </c>
      <c r="N7" s="13">
        <v>4</v>
      </c>
      <c r="O7" s="13">
        <v>4</v>
      </c>
      <c r="P7" s="13">
        <v>4</v>
      </c>
      <c r="Q7" s="13">
        <v>4</v>
      </c>
      <c r="R7" s="13">
        <v>4</v>
      </c>
      <c r="S7" s="32">
        <f>SUM(FR_CH[[#This Row],[26M04]:[26M06]])</f>
        <v>4</v>
      </c>
      <c r="T7" s="69">
        <f>SUM(FR_CH[[#This Row],[26M07]:[26M09]])</f>
        <v>12</v>
      </c>
      <c r="U7" s="69">
        <f>SUM(FR_CH[[#This Row],[26M10]:[26M12]])</f>
        <v>12</v>
      </c>
      <c r="V7" s="256"/>
      <c r="W7" s="256"/>
      <c r="X7" s="256"/>
      <c r="Y7" s="256"/>
      <c r="Z7" s="256"/>
      <c r="AA7" s="256"/>
      <c r="AB7" s="256">
        <f>SUM(FR_CH[[#This Row],[27M01]:[27M03]])</f>
        <v>0</v>
      </c>
      <c r="AC7" s="256">
        <f>SUM(FR_CH[[#This Row],[27M01]:[27M03]])</f>
        <v>0</v>
      </c>
      <c r="AD7" s="256" t="str">
        <f>IF(SUM(FR_CH[[#This Row],[26Q2]:[26Q4]])+SUM(FR_CH[[#This Row],[27Q1]:[27Q2]])=0,"No FSCT",IF(AND(SUM(FR_CH[[#This Row],[26Q2]:[26Q4]])&gt;0,SUM(FR_CH[[#This Row],[27Q1]:[27Q2]])=0),"YES","NO"))</f>
        <v>YES</v>
      </c>
      <c r="AE7" s="85" t="str">
        <f>VLOOKUP(FR_CH[[#This Row],[Product Line]],Prod_T6[],4,0)</f>
        <v>ESS</v>
      </c>
    </row>
    <row r="8" spans="1:34" ht="14.5">
      <c r="A8" s="14" t="s">
        <v>30</v>
      </c>
      <c r="B8" s="1" t="s">
        <v>199</v>
      </c>
      <c r="C8" s="3" t="s">
        <v>186</v>
      </c>
      <c r="D8" s="3" t="str">
        <f>VLOOKUP(FR_CH[[#This Row],[Product Line]],Prod_T6[],5,0)</f>
        <v>Sunpower</v>
      </c>
      <c r="E8" s="2" t="s">
        <v>197</v>
      </c>
      <c r="F8" s="2" t="s">
        <v>235</v>
      </c>
      <c r="G8" s="1" t="s">
        <v>120</v>
      </c>
      <c r="I8" s="15" t="s">
        <v>117</v>
      </c>
      <c r="J8" s="13">
        <v>4</v>
      </c>
      <c r="K8" s="13">
        <v>0</v>
      </c>
      <c r="L8" s="13">
        <v>0</v>
      </c>
      <c r="M8" s="13">
        <v>0</v>
      </c>
      <c r="N8" s="13">
        <v>0</v>
      </c>
      <c r="O8" s="13">
        <v>4</v>
      </c>
      <c r="P8" s="13">
        <v>0</v>
      </c>
      <c r="Q8" s="13">
        <v>4</v>
      </c>
      <c r="R8" s="13">
        <v>4</v>
      </c>
      <c r="S8" s="32">
        <f>SUM(FR_CH[[#This Row],[26M04]:[26M06]])</f>
        <v>4</v>
      </c>
      <c r="T8" s="69">
        <f>SUM(FR_CH[[#This Row],[26M07]:[26M09]])</f>
        <v>4</v>
      </c>
      <c r="U8" s="69">
        <f>SUM(FR_CH[[#This Row],[26M10]:[26M12]])</f>
        <v>8</v>
      </c>
      <c r="V8" s="256"/>
      <c r="W8" s="256"/>
      <c r="X8" s="256"/>
      <c r="Y8" s="256"/>
      <c r="Z8" s="256"/>
      <c r="AA8" s="256"/>
      <c r="AB8" s="256">
        <f>SUM(FR_CH[[#This Row],[27M01]:[27M03]])</f>
        <v>0</v>
      </c>
      <c r="AC8" s="256">
        <f>SUM(FR_CH[[#This Row],[27M01]:[27M03]])</f>
        <v>0</v>
      </c>
      <c r="AD8" s="256" t="str">
        <f>IF(SUM(FR_CH[[#This Row],[26Q2]:[26Q4]])+SUM(FR_CH[[#This Row],[27Q1]:[27Q2]])=0,"No FSCT",IF(AND(SUM(FR_CH[[#This Row],[26Q2]:[26Q4]])&gt;0,SUM(FR_CH[[#This Row],[27Q1]:[27Q2]])=0),"YES","NO"))</f>
        <v>YES</v>
      </c>
      <c r="AE8" s="85" t="str">
        <f>VLOOKUP(FR_CH[[#This Row],[Product Line]],Prod_T6[],4,0)</f>
        <v>ESS</v>
      </c>
    </row>
    <row r="9" spans="1:34" ht="14.5">
      <c r="A9" s="14" t="s">
        <v>30</v>
      </c>
      <c r="B9" s="1" t="s">
        <v>199</v>
      </c>
      <c r="C9" s="2" t="s">
        <v>186</v>
      </c>
      <c r="D9" s="2" t="str">
        <f>VLOOKUP(FR_CH[[#This Row],[Product Line]],Prod_T6[],5,0)</f>
        <v>Sunpower</v>
      </c>
      <c r="E9" s="2" t="s">
        <v>197</v>
      </c>
      <c r="F9" s="2" t="s">
        <v>234</v>
      </c>
      <c r="G9" s="1" t="s">
        <v>120</v>
      </c>
      <c r="I9" s="15" t="s">
        <v>117</v>
      </c>
      <c r="J9" s="13">
        <v>4</v>
      </c>
      <c r="K9" s="13">
        <v>0</v>
      </c>
      <c r="L9" s="13">
        <v>0</v>
      </c>
      <c r="M9" s="13">
        <v>0</v>
      </c>
      <c r="N9" s="13">
        <v>2</v>
      </c>
      <c r="O9" s="13">
        <v>2</v>
      </c>
      <c r="P9" s="13">
        <v>2</v>
      </c>
      <c r="Q9" s="13">
        <v>2</v>
      </c>
      <c r="R9" s="13">
        <v>2</v>
      </c>
      <c r="S9" s="32">
        <f>SUM(FR_CH[[#This Row],[26M04]:[26M06]])</f>
        <v>4</v>
      </c>
      <c r="T9" s="69">
        <f>SUM(FR_CH[[#This Row],[26M07]:[26M09]])</f>
        <v>4</v>
      </c>
      <c r="U9" s="69">
        <f>SUM(FR_CH[[#This Row],[26M10]:[26M12]])</f>
        <v>6</v>
      </c>
      <c r="V9" s="256"/>
      <c r="W9" s="256"/>
      <c r="X9" s="256"/>
      <c r="Y9" s="256"/>
      <c r="Z9" s="256"/>
      <c r="AA9" s="256"/>
      <c r="AB9" s="256">
        <f>SUM(FR_CH[[#This Row],[27M01]:[27M03]])</f>
        <v>0</v>
      </c>
      <c r="AC9" s="256">
        <f>SUM(FR_CH[[#This Row],[27M01]:[27M03]])</f>
        <v>0</v>
      </c>
      <c r="AD9" s="256" t="str">
        <f>IF(SUM(FR_CH[[#This Row],[26Q2]:[26Q4]])+SUM(FR_CH[[#This Row],[27Q1]:[27Q2]])=0,"No FSCT",IF(AND(SUM(FR_CH[[#This Row],[26Q2]:[26Q4]])&gt;0,SUM(FR_CH[[#This Row],[27Q1]:[27Q2]])=0),"YES","NO"))</f>
        <v>YES</v>
      </c>
      <c r="AE9" s="85" t="str">
        <f>VLOOKUP(FR_CH[[#This Row],[Product Line]],Prod_T6[],4,0)</f>
        <v>ESS</v>
      </c>
    </row>
    <row r="10" spans="1:34" ht="14.5">
      <c r="A10" s="14" t="s">
        <v>30</v>
      </c>
      <c r="B10" s="1" t="s">
        <v>199</v>
      </c>
      <c r="C10" s="3" t="s">
        <v>186</v>
      </c>
      <c r="D10" s="3" t="str">
        <f>VLOOKUP(FR_CH[[#This Row],[Product Line]],Prod_T6[],5,0)</f>
        <v>Sunpower</v>
      </c>
      <c r="E10" s="2" t="s">
        <v>118</v>
      </c>
      <c r="F10" s="2" t="s">
        <v>231</v>
      </c>
      <c r="G10" s="1" t="s">
        <v>120</v>
      </c>
      <c r="I10" s="15" t="s">
        <v>117</v>
      </c>
      <c r="J10" s="13">
        <v>0.2</v>
      </c>
      <c r="K10" s="13">
        <v>0.2</v>
      </c>
      <c r="L10" s="13">
        <v>0.2</v>
      </c>
      <c r="M10" s="13">
        <v>0.2</v>
      </c>
      <c r="N10" s="13">
        <v>0.2</v>
      </c>
      <c r="O10" s="13">
        <v>0</v>
      </c>
      <c r="P10" s="13">
        <v>0</v>
      </c>
      <c r="Q10" s="13">
        <v>0</v>
      </c>
      <c r="R10" s="13">
        <v>0</v>
      </c>
      <c r="S10" s="32">
        <f>SUM(FR_CH[[#This Row],[26M04]:[26M06]])</f>
        <v>0.60000000000000009</v>
      </c>
      <c r="T10" s="69">
        <f>SUM(FR_CH[[#This Row],[26M07]:[26M09]])</f>
        <v>0.4</v>
      </c>
      <c r="U10" s="69">
        <f>SUM(FR_CH[[#This Row],[26M10]:[26M12]])</f>
        <v>0</v>
      </c>
      <c r="V10" s="256"/>
      <c r="W10" s="256"/>
      <c r="X10" s="256"/>
      <c r="Y10" s="256"/>
      <c r="Z10" s="256"/>
      <c r="AA10" s="256"/>
      <c r="AB10" s="256">
        <f>SUM(FR_CH[[#This Row],[27M01]:[27M03]])</f>
        <v>0</v>
      </c>
      <c r="AC10" s="256">
        <f>SUM(FR_CH[[#This Row],[27M01]:[27M03]])</f>
        <v>0</v>
      </c>
      <c r="AD10" s="256" t="str">
        <f>IF(SUM(FR_CH[[#This Row],[26Q2]:[26Q4]])+SUM(FR_CH[[#This Row],[27Q1]:[27Q2]])=0,"No FSCT",IF(AND(SUM(FR_CH[[#This Row],[26Q2]:[26Q4]])&gt;0,SUM(FR_CH[[#This Row],[27Q1]:[27Q2]])=0),"YES","NO"))</f>
        <v>YES</v>
      </c>
      <c r="AE10" s="85" t="str">
        <f>VLOOKUP(FR_CH[[#This Row],[Product Line]],Prod_T6[],4,0)</f>
        <v>PV</v>
      </c>
    </row>
    <row r="11" spans="1:34" ht="14.5">
      <c r="A11" s="14" t="s">
        <v>30</v>
      </c>
      <c r="B11" s="1" t="s">
        <v>199</v>
      </c>
      <c r="C11" s="3" t="s">
        <v>186</v>
      </c>
      <c r="D11" s="3" t="str">
        <f>VLOOKUP(FR_CH[[#This Row],[Product Line]],Prod_T6[],5,0)</f>
        <v>Sunpower</v>
      </c>
      <c r="E11" s="2" t="s">
        <v>118</v>
      </c>
      <c r="F11" s="2" t="s">
        <v>123</v>
      </c>
      <c r="G11" s="1" t="s">
        <v>120</v>
      </c>
      <c r="I11" s="15" t="s">
        <v>117</v>
      </c>
      <c r="J11" s="13">
        <v>0.4</v>
      </c>
      <c r="K11" s="13">
        <v>0</v>
      </c>
      <c r="L11" s="13">
        <v>0.4</v>
      </c>
      <c r="M11" s="13">
        <v>0.4</v>
      </c>
      <c r="N11" s="13">
        <v>0.4</v>
      </c>
      <c r="O11" s="13">
        <v>0.4</v>
      </c>
      <c r="P11" s="13">
        <v>0.4</v>
      </c>
      <c r="Q11" s="13">
        <v>0.4</v>
      </c>
      <c r="R11" s="13">
        <v>0.4</v>
      </c>
      <c r="S11" s="32">
        <f>SUM(FR_CH[[#This Row],[26M04]:[26M06]])</f>
        <v>0.8</v>
      </c>
      <c r="T11" s="69">
        <f>SUM(FR_CH[[#This Row],[26M07]:[26M09]])</f>
        <v>1.2000000000000002</v>
      </c>
      <c r="U11" s="69">
        <f>SUM(FR_CH[[#This Row],[26M10]:[26M12]])</f>
        <v>1.2000000000000002</v>
      </c>
      <c r="V11" s="256"/>
      <c r="W11" s="256"/>
      <c r="X11" s="256"/>
      <c r="Y11" s="256"/>
      <c r="Z11" s="256"/>
      <c r="AA11" s="256"/>
      <c r="AB11" s="256">
        <f>SUM(FR_CH[[#This Row],[27M01]:[27M03]])</f>
        <v>0</v>
      </c>
      <c r="AC11" s="256">
        <f>SUM(FR_CH[[#This Row],[27M01]:[27M03]])</f>
        <v>0</v>
      </c>
      <c r="AD11" s="256" t="str">
        <f>IF(SUM(FR_CH[[#This Row],[26Q2]:[26Q4]])+SUM(FR_CH[[#This Row],[27Q1]:[27Q2]])=0,"No FSCT",IF(AND(SUM(FR_CH[[#This Row],[26Q2]:[26Q4]])&gt;0,SUM(FR_CH[[#This Row],[27Q1]:[27Q2]])=0),"YES","NO"))</f>
        <v>YES</v>
      </c>
      <c r="AE11" s="85" t="str">
        <f>VLOOKUP(FR_CH[[#This Row],[Product Line]],Prod_T6[],4,0)</f>
        <v>PV</v>
      </c>
    </row>
    <row r="12" spans="1:34" ht="14.5">
      <c r="A12" s="14" t="s">
        <v>30</v>
      </c>
      <c r="B12" s="1" t="s">
        <v>217</v>
      </c>
      <c r="C12" s="3" t="s">
        <v>192</v>
      </c>
      <c r="D12" s="3" t="str">
        <f>VLOOKUP(FR_CH[[#This Row],[Product Line]],Prod_T6[],5,0)</f>
        <v>Sunpower</v>
      </c>
      <c r="E12" s="2" t="s">
        <v>118</v>
      </c>
      <c r="F12" s="2" t="s">
        <v>231</v>
      </c>
      <c r="G12" s="1" t="s">
        <v>120</v>
      </c>
      <c r="I12" s="15" t="s">
        <v>117</v>
      </c>
      <c r="J12" s="13"/>
      <c r="K12" s="13">
        <v>0.4</v>
      </c>
      <c r="L12" s="13">
        <v>0.75</v>
      </c>
      <c r="M12" s="13">
        <v>0.51300000000000001</v>
      </c>
      <c r="N12" s="13"/>
      <c r="O12" s="67">
        <v>1.135</v>
      </c>
      <c r="P12" s="67">
        <v>0.89700000000000002</v>
      </c>
      <c r="Q12" s="67">
        <v>0.4</v>
      </c>
      <c r="R12" s="67">
        <v>1.25</v>
      </c>
      <c r="S12" s="32"/>
      <c r="T12" s="69">
        <f>SUM(FR_CH[[#This Row],[26M07]:[26M09]])</f>
        <v>1.6480000000000001</v>
      </c>
      <c r="U12" s="69">
        <f>SUM(FR_CH[[#This Row],[26M10]:[26M12]])</f>
        <v>2.5470000000000002</v>
      </c>
      <c r="V12" s="256"/>
      <c r="W12" s="256"/>
      <c r="X12" s="256"/>
      <c r="Y12" s="256"/>
      <c r="Z12" s="256"/>
      <c r="AA12" s="256"/>
      <c r="AB12" s="256">
        <f>SUM(FR_CH[[#This Row],[27M01]:[27M03]])</f>
        <v>0</v>
      </c>
      <c r="AC12" s="256">
        <f>SUM(FR_CH[[#This Row],[27M01]:[27M03]])</f>
        <v>0</v>
      </c>
      <c r="AD12" s="256" t="str">
        <f>IF(SUM(FR_CH[[#This Row],[26Q2]:[26Q4]])+SUM(FR_CH[[#This Row],[27Q1]:[27Q2]])=0,"No FSCT",IF(AND(SUM(FR_CH[[#This Row],[26Q2]:[26Q4]])&gt;0,SUM(FR_CH[[#This Row],[27Q1]:[27Q2]])=0),"YES","NO"))</f>
        <v>YES</v>
      </c>
      <c r="AE12" s="85" t="str">
        <f>VLOOKUP(FR_CH[[#This Row],[Product Line]],Prod_T6[],4,0)</f>
        <v>PV</v>
      </c>
    </row>
    <row r="13" spans="1:34" ht="14.5">
      <c r="A13" s="14" t="s">
        <v>30</v>
      </c>
      <c r="B13" s="1" t="s">
        <v>198</v>
      </c>
      <c r="C13" s="3" t="s">
        <v>186</v>
      </c>
      <c r="D13" s="3" t="str">
        <f>VLOOKUP(FR_CH[[#This Row],[Product Line]],Prod_T6[],5,0)</f>
        <v>Sunpower</v>
      </c>
      <c r="E13" s="2" t="s">
        <v>118</v>
      </c>
      <c r="F13" s="2" t="s">
        <v>123</v>
      </c>
      <c r="G13" s="1" t="s">
        <v>120</v>
      </c>
      <c r="I13" s="15" t="s">
        <v>117</v>
      </c>
      <c r="J13" s="13">
        <v>0.2</v>
      </c>
      <c r="K13" s="13">
        <v>0</v>
      </c>
      <c r="L13" s="13">
        <v>0.2</v>
      </c>
      <c r="M13" s="13">
        <v>0.2</v>
      </c>
      <c r="N13" s="13">
        <v>0.2</v>
      </c>
      <c r="O13" s="13">
        <v>0.2</v>
      </c>
      <c r="P13" s="13">
        <v>0.2</v>
      </c>
      <c r="Q13" s="13">
        <v>0.2</v>
      </c>
      <c r="R13" s="13">
        <v>0.2</v>
      </c>
      <c r="S13" s="32">
        <f>SUM(FR_CH[[#This Row],[26M04]:[26M06]])</f>
        <v>0.4</v>
      </c>
      <c r="T13" s="69">
        <f>SUM(FR_CH[[#This Row],[26M07]:[26M09]])</f>
        <v>0.60000000000000009</v>
      </c>
      <c r="U13" s="69">
        <f>SUM(FR_CH[[#This Row],[26M10]:[26M12]])</f>
        <v>0.60000000000000009</v>
      </c>
      <c r="V13" s="256"/>
      <c r="W13" s="256"/>
      <c r="X13" s="256"/>
      <c r="Y13" s="256"/>
      <c r="Z13" s="256"/>
      <c r="AA13" s="256"/>
      <c r="AB13" s="256">
        <f>SUM(FR_CH[[#This Row],[27M01]:[27M03]])</f>
        <v>0</v>
      </c>
      <c r="AC13" s="256">
        <f>SUM(FR_CH[[#This Row],[27M01]:[27M03]])</f>
        <v>0</v>
      </c>
      <c r="AD13" s="256" t="str">
        <f>IF(SUM(FR_CH[[#This Row],[26Q2]:[26Q4]])+SUM(FR_CH[[#This Row],[27Q1]:[27Q2]])=0,"No FSCT",IF(AND(SUM(FR_CH[[#This Row],[26Q2]:[26Q4]])&gt;0,SUM(FR_CH[[#This Row],[27Q1]:[27Q2]])=0),"YES","NO"))</f>
        <v>YES</v>
      </c>
      <c r="AE13" s="85" t="str">
        <f>VLOOKUP(FR_CH[[#This Row],[Product Line]],Prod_T6[],4,0)</f>
        <v>PV</v>
      </c>
      <c r="AH13" s="3"/>
    </row>
    <row r="14" spans="1:34" ht="14.5">
      <c r="A14" s="14" t="s">
        <v>30</v>
      </c>
      <c r="B14" s="1" t="s">
        <v>190</v>
      </c>
      <c r="C14" s="3" t="s">
        <v>186</v>
      </c>
      <c r="D14" s="3" t="str">
        <f>VLOOKUP(FR_CH[[#This Row],[Product Line]],Prod_T6[],5,0)</f>
        <v>Sunpower</v>
      </c>
      <c r="E14" s="2" t="s">
        <v>118</v>
      </c>
      <c r="F14" s="2" t="s">
        <v>123</v>
      </c>
      <c r="G14" s="1" t="s">
        <v>120</v>
      </c>
      <c r="I14" s="15" t="s">
        <v>117</v>
      </c>
      <c r="J14" s="13">
        <v>0.2</v>
      </c>
      <c r="K14" s="13">
        <v>0</v>
      </c>
      <c r="L14" s="13">
        <v>0.2</v>
      </c>
      <c r="M14" s="13">
        <v>0.2</v>
      </c>
      <c r="N14" s="13">
        <v>0.2</v>
      </c>
      <c r="O14" s="13">
        <v>0.2</v>
      </c>
      <c r="P14" s="13">
        <v>0.1</v>
      </c>
      <c r="Q14" s="13">
        <v>0.1</v>
      </c>
      <c r="R14" s="13">
        <v>0.1</v>
      </c>
      <c r="S14" s="32">
        <f>SUM(FR_CH[[#This Row],[26M04]:[26M06]])</f>
        <v>0.4</v>
      </c>
      <c r="T14" s="69">
        <f>SUM(FR_CH[[#This Row],[26M07]:[26M09]])</f>
        <v>0.60000000000000009</v>
      </c>
      <c r="U14" s="69">
        <f>SUM(FR_CH[[#This Row],[26M10]:[26M12]])</f>
        <v>0.30000000000000004</v>
      </c>
      <c r="V14" s="256"/>
      <c r="W14" s="256"/>
      <c r="X14" s="256"/>
      <c r="Y14" s="256"/>
      <c r="Z14" s="256"/>
      <c r="AA14" s="256"/>
      <c r="AB14" s="256">
        <f>SUM(FR_CH[[#This Row],[27M01]:[27M03]])</f>
        <v>0</v>
      </c>
      <c r="AC14" s="256">
        <f>SUM(FR_CH[[#This Row],[27M01]:[27M03]])</f>
        <v>0</v>
      </c>
      <c r="AD14" s="256" t="str">
        <f>IF(SUM(FR_CH[[#This Row],[26Q2]:[26Q4]])+SUM(FR_CH[[#This Row],[27Q1]:[27Q2]])=0,"No FSCT",IF(AND(SUM(FR_CH[[#This Row],[26Q2]:[26Q4]])&gt;0,SUM(FR_CH[[#This Row],[27Q1]:[27Q2]])=0),"YES","NO"))</f>
        <v>YES</v>
      </c>
      <c r="AE14" s="85" t="str">
        <f>VLOOKUP(FR_CH[[#This Row],[Product Line]],Prod_T6[],4,0)</f>
        <v>PV</v>
      </c>
      <c r="AF14" s="3"/>
      <c r="AG14" s="3"/>
      <c r="AH14" s="3"/>
    </row>
    <row r="15" spans="1:34" ht="14.5">
      <c r="A15" s="14" t="s">
        <v>30</v>
      </c>
      <c r="B15" s="1" t="s">
        <v>189</v>
      </c>
      <c r="C15" s="3" t="s">
        <v>186</v>
      </c>
      <c r="D15" s="3" t="str">
        <f>VLOOKUP(FR_CH[[#This Row],[Product Line]],Prod_T6[],5,0)</f>
        <v>Sunpower</v>
      </c>
      <c r="E15" s="2" t="s">
        <v>118</v>
      </c>
      <c r="F15" s="2" t="s">
        <v>123</v>
      </c>
      <c r="G15" s="1" t="s">
        <v>120</v>
      </c>
      <c r="I15" s="15" t="s">
        <v>117</v>
      </c>
      <c r="J15" s="13">
        <v>0.2</v>
      </c>
      <c r="K15" s="13">
        <v>0</v>
      </c>
      <c r="L15" s="13">
        <v>0.2</v>
      </c>
      <c r="M15" s="13">
        <v>0.4</v>
      </c>
      <c r="N15" s="13">
        <v>0.4</v>
      </c>
      <c r="O15" s="13">
        <v>0.4</v>
      </c>
      <c r="P15" s="13"/>
      <c r="Q15" s="13"/>
      <c r="R15" s="13"/>
      <c r="S15" s="32">
        <f>SUM(FR_CH[[#This Row],[26M04]:[26M06]])</f>
        <v>0.4</v>
      </c>
      <c r="T15" s="69">
        <f>SUM(FR_CH[[#This Row],[26M07]:[26M09]])</f>
        <v>1.2000000000000002</v>
      </c>
      <c r="U15" s="69">
        <f>SUM(FR_CH[[#This Row],[26M10]:[26M12]])</f>
        <v>0</v>
      </c>
      <c r="V15" s="256"/>
      <c r="W15" s="256"/>
      <c r="X15" s="256"/>
      <c r="Y15" s="256"/>
      <c r="Z15" s="256"/>
      <c r="AA15" s="256"/>
      <c r="AB15" s="256">
        <f>SUM(FR_CH[[#This Row],[27M01]:[27M03]])</f>
        <v>0</v>
      </c>
      <c r="AC15" s="256">
        <f>SUM(FR_CH[[#This Row],[27M01]:[27M03]])</f>
        <v>0</v>
      </c>
      <c r="AD15" s="256" t="str">
        <f>IF(SUM(FR_CH[[#This Row],[26Q2]:[26Q4]])+SUM(FR_CH[[#This Row],[27Q1]:[27Q2]])=0,"No FSCT",IF(AND(SUM(FR_CH[[#This Row],[26Q2]:[26Q4]])&gt;0,SUM(FR_CH[[#This Row],[27Q1]:[27Q2]])=0),"YES","NO"))</f>
        <v>YES</v>
      </c>
      <c r="AE15" s="85" t="str">
        <f>VLOOKUP(FR_CH[[#This Row],[Product Line]],Prod_T6[],4,0)</f>
        <v>PV</v>
      </c>
      <c r="AF15" s="3"/>
      <c r="AG15" s="3"/>
    </row>
    <row r="16" spans="1:34" ht="14.5">
      <c r="A16" s="14" t="s">
        <v>30</v>
      </c>
      <c r="B16" s="1" t="s">
        <v>203</v>
      </c>
      <c r="D16" s="3" t="str">
        <f>VLOOKUP(FR_CH[[#This Row],[Product Line]],Prod_T6[],5,0)</f>
        <v>Sunpower</v>
      </c>
      <c r="E16" s="2" t="s">
        <v>118</v>
      </c>
      <c r="F16" s="2" t="s">
        <v>123</v>
      </c>
      <c r="G16" s="1" t="s">
        <v>120</v>
      </c>
      <c r="I16" s="15" t="s">
        <v>117</v>
      </c>
      <c r="J16" s="13"/>
      <c r="K16" s="13">
        <v>0</v>
      </c>
      <c r="L16" s="13"/>
      <c r="M16" s="13"/>
      <c r="N16" s="13">
        <v>1</v>
      </c>
      <c r="O16" s="13"/>
      <c r="P16" s="13"/>
      <c r="Q16" s="13"/>
      <c r="R16" s="13"/>
      <c r="S16" s="32"/>
      <c r="T16" s="69">
        <f>SUM(FR_CH[[#This Row],[26M07]:[26M09]])</f>
        <v>1</v>
      </c>
      <c r="U16" s="69">
        <f>SUM(FR_CH[[#This Row],[26M10]:[26M12]])</f>
        <v>0</v>
      </c>
      <c r="V16" s="256"/>
      <c r="W16" s="256"/>
      <c r="X16" s="256"/>
      <c r="Y16" s="256"/>
      <c r="Z16" s="256"/>
      <c r="AA16" s="256"/>
      <c r="AB16" s="256">
        <f>SUM(FR_CH[[#This Row],[27M01]:[27M03]])</f>
        <v>0</v>
      </c>
      <c r="AC16" s="256">
        <f>SUM(FR_CH[[#This Row],[27M01]:[27M03]])</f>
        <v>0</v>
      </c>
      <c r="AD16" s="256" t="str">
        <f>IF(SUM(FR_CH[[#This Row],[26Q2]:[26Q4]])+SUM(FR_CH[[#This Row],[27Q1]:[27Q2]])=0,"No FSCT",IF(AND(SUM(FR_CH[[#This Row],[26Q2]:[26Q4]])&gt;0,SUM(FR_CH[[#This Row],[27Q1]:[27Q2]])=0),"YES","NO"))</f>
        <v>YES</v>
      </c>
      <c r="AE16" s="85" t="str">
        <f>VLOOKUP(FR_CH[[#This Row],[Product Line]],Prod_T6[],4,0)</f>
        <v>PV</v>
      </c>
    </row>
    <row r="17" spans="1:31" ht="14.5">
      <c r="A17" s="14" t="s">
        <v>30</v>
      </c>
      <c r="B17" s="1" t="s">
        <v>198</v>
      </c>
      <c r="C17" s="3" t="s">
        <v>186</v>
      </c>
      <c r="D17" s="3" t="str">
        <f>VLOOKUP(FR_CH[[#This Row],[Product Line]],Prod_T6[],5,0)</f>
        <v>Sunpower</v>
      </c>
      <c r="E17" s="2" t="s">
        <v>197</v>
      </c>
      <c r="F17" s="2" t="s">
        <v>59</v>
      </c>
      <c r="G17" s="1" t="s">
        <v>120</v>
      </c>
      <c r="I17" s="15" t="s">
        <v>117</v>
      </c>
      <c r="J17" s="13">
        <v>8</v>
      </c>
      <c r="K17" s="13">
        <v>0</v>
      </c>
      <c r="L17" s="13">
        <v>0</v>
      </c>
      <c r="M17" s="13">
        <v>8</v>
      </c>
      <c r="N17" s="13">
        <v>3</v>
      </c>
      <c r="O17" s="13">
        <v>8</v>
      </c>
      <c r="P17" s="13">
        <v>8</v>
      </c>
      <c r="Q17" s="13">
        <v>8</v>
      </c>
      <c r="R17" s="13">
        <v>8</v>
      </c>
      <c r="S17" s="32">
        <f>SUM(FR_CH[[#This Row],[26M04]:[26M06]])</f>
        <v>8</v>
      </c>
      <c r="T17" s="69">
        <f>SUM(FR_CH[[#This Row],[26M07]:[26M09]])</f>
        <v>19</v>
      </c>
      <c r="U17" s="69">
        <f>SUM(FR_CH[[#This Row],[26M10]:[26M12]])</f>
        <v>24</v>
      </c>
      <c r="V17" s="256"/>
      <c r="W17" s="256"/>
      <c r="X17" s="256"/>
      <c r="Y17" s="256"/>
      <c r="Z17" s="256"/>
      <c r="AA17" s="256"/>
      <c r="AB17" s="256">
        <f>SUM(FR_CH[[#This Row],[27M01]:[27M03]])</f>
        <v>0</v>
      </c>
      <c r="AC17" s="256">
        <f>SUM(FR_CH[[#This Row],[27M01]:[27M03]])</f>
        <v>0</v>
      </c>
      <c r="AD17" s="256" t="str">
        <f>IF(SUM(FR_CH[[#This Row],[26Q2]:[26Q4]])+SUM(FR_CH[[#This Row],[27Q1]:[27Q2]])=0,"No FSCT",IF(AND(SUM(FR_CH[[#This Row],[26Q2]:[26Q4]])&gt;0,SUM(FR_CH[[#This Row],[27Q1]:[27Q2]])=0),"YES","NO"))</f>
        <v>YES</v>
      </c>
      <c r="AE17" s="85" t="str">
        <f>VLOOKUP(FR_CH[[#This Row],[Product Line]],Prod_T6[],4,0)</f>
        <v>ESS</v>
      </c>
    </row>
    <row r="18" spans="1:31" ht="14.5">
      <c r="A18" s="14" t="s">
        <v>30</v>
      </c>
      <c r="B18" s="1" t="s">
        <v>198</v>
      </c>
      <c r="C18" s="3" t="s">
        <v>186</v>
      </c>
      <c r="D18" s="3" t="str">
        <f>VLOOKUP(FR_CH[[#This Row],[Product Line]],Prod_T6[],5,0)</f>
        <v>Sunpower</v>
      </c>
      <c r="E18" s="2" t="s">
        <v>197</v>
      </c>
      <c r="F18" s="2" t="s">
        <v>58</v>
      </c>
      <c r="G18" s="1" t="s">
        <v>120</v>
      </c>
      <c r="I18" s="15" t="s">
        <v>117</v>
      </c>
      <c r="J18" s="13">
        <v>8</v>
      </c>
      <c r="K18" s="13">
        <v>0</v>
      </c>
      <c r="L18" s="13">
        <v>0</v>
      </c>
      <c r="M18" s="13">
        <v>8</v>
      </c>
      <c r="N18" s="13">
        <v>8</v>
      </c>
      <c r="O18" s="13">
        <v>4</v>
      </c>
      <c r="P18" s="13">
        <v>4</v>
      </c>
      <c r="Q18" s="13">
        <v>4</v>
      </c>
      <c r="R18" s="13">
        <v>4</v>
      </c>
      <c r="S18" s="32">
        <f>SUM(FR_CH[[#This Row],[26M04]:[26M06]])</f>
        <v>8</v>
      </c>
      <c r="T18" s="69">
        <f>SUM(FR_CH[[#This Row],[26M07]:[26M09]])</f>
        <v>20</v>
      </c>
      <c r="U18" s="69">
        <f>SUM(FR_CH[[#This Row],[26M10]:[26M12]])</f>
        <v>12</v>
      </c>
      <c r="V18" s="256"/>
      <c r="W18" s="256"/>
      <c r="X18" s="256"/>
      <c r="Y18" s="256"/>
      <c r="Z18" s="256"/>
      <c r="AA18" s="256"/>
      <c r="AB18" s="256">
        <f>SUM(FR_CH[[#This Row],[27M01]:[27M03]])</f>
        <v>0</v>
      </c>
      <c r="AC18" s="256">
        <f>SUM(FR_CH[[#This Row],[27M01]:[27M03]])</f>
        <v>0</v>
      </c>
      <c r="AD18" s="256" t="str">
        <f>IF(SUM(FR_CH[[#This Row],[26Q2]:[26Q4]])+SUM(FR_CH[[#This Row],[27Q1]:[27Q2]])=0,"No FSCT",IF(AND(SUM(FR_CH[[#This Row],[26Q2]:[26Q4]])&gt;0,SUM(FR_CH[[#This Row],[27Q1]:[27Q2]])=0),"YES","NO"))</f>
        <v>YES</v>
      </c>
      <c r="AE18" s="85" t="str">
        <f>VLOOKUP(FR_CH[[#This Row],[Product Line]],Prod_T6[],4,0)</f>
        <v>ESS</v>
      </c>
    </row>
    <row r="19" spans="1:31" ht="14.5">
      <c r="A19" s="29" t="s">
        <v>30</v>
      </c>
      <c r="B19" s="1" t="s">
        <v>198</v>
      </c>
      <c r="C19" s="3" t="s">
        <v>186</v>
      </c>
      <c r="D19" s="3" t="str">
        <f>VLOOKUP(FR_CH[[#This Row],[Product Line]],Prod_T6[],5,0)</f>
        <v>Sunpower</v>
      </c>
      <c r="E19" s="2" t="s">
        <v>197</v>
      </c>
      <c r="F19" s="2" t="s">
        <v>61</v>
      </c>
      <c r="G19" s="1" t="s">
        <v>120</v>
      </c>
      <c r="I19" s="15" t="s">
        <v>117</v>
      </c>
      <c r="J19" s="13">
        <v>4</v>
      </c>
      <c r="K19" s="13">
        <v>0</v>
      </c>
      <c r="L19" s="13">
        <v>0</v>
      </c>
      <c r="M19" s="13">
        <v>8</v>
      </c>
      <c r="N19" s="13">
        <v>0</v>
      </c>
      <c r="O19" s="13">
        <v>4</v>
      </c>
      <c r="P19" s="13">
        <v>2</v>
      </c>
      <c r="Q19" s="13">
        <v>8</v>
      </c>
      <c r="R19" s="13">
        <v>2</v>
      </c>
      <c r="S19" s="32">
        <f>SUM(FR_CH[[#This Row],[26M04]:[26M06]])</f>
        <v>4</v>
      </c>
      <c r="T19" s="69">
        <f>SUM(FR_CH[[#This Row],[26M07]:[26M09]])</f>
        <v>12</v>
      </c>
      <c r="U19" s="69">
        <f>SUM(FR_CH[[#This Row],[26M10]:[26M12]])</f>
        <v>12</v>
      </c>
      <c r="V19" s="256"/>
      <c r="W19" s="256"/>
      <c r="X19" s="256"/>
      <c r="Y19" s="256"/>
      <c r="Z19" s="256"/>
      <c r="AA19" s="256"/>
      <c r="AB19" s="256">
        <f>SUM(FR_CH[[#This Row],[27M01]:[27M03]])</f>
        <v>0</v>
      </c>
      <c r="AC19" s="256">
        <f>SUM(FR_CH[[#This Row],[27M01]:[27M03]])</f>
        <v>0</v>
      </c>
      <c r="AD19" s="256" t="str">
        <f>IF(SUM(FR_CH[[#This Row],[26Q2]:[26Q4]])+SUM(FR_CH[[#This Row],[27Q1]:[27Q2]])=0,"No FSCT",IF(AND(SUM(FR_CH[[#This Row],[26Q2]:[26Q4]])&gt;0,SUM(FR_CH[[#This Row],[27Q1]:[27Q2]])=0),"YES","NO"))</f>
        <v>YES</v>
      </c>
      <c r="AE19" s="85" t="str">
        <f>VLOOKUP(FR_CH[[#This Row],[Product Line]],Prod_T6[],4,0)</f>
        <v>ESS</v>
      </c>
    </row>
    <row r="20" spans="1:31" ht="14.5">
      <c r="A20" s="29" t="s">
        <v>30</v>
      </c>
      <c r="B20" s="1" t="s">
        <v>198</v>
      </c>
      <c r="C20" s="3" t="s">
        <v>186</v>
      </c>
      <c r="D20" s="3" t="str">
        <f>VLOOKUP(FR_CH[[#This Row],[Product Line]],Prod_T6[],5,0)</f>
        <v>Sunpower</v>
      </c>
      <c r="E20" s="2" t="s">
        <v>197</v>
      </c>
      <c r="F20" s="2" t="s">
        <v>62</v>
      </c>
      <c r="G20" s="1" t="s">
        <v>120</v>
      </c>
      <c r="I20" s="15" t="s">
        <v>117</v>
      </c>
      <c r="J20" s="13">
        <v>4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8</v>
      </c>
      <c r="Q20" s="13">
        <v>8</v>
      </c>
      <c r="R20" s="13">
        <v>2</v>
      </c>
      <c r="S20" s="32">
        <f>SUM(FR_CH[[#This Row],[26M04]:[26M06]])</f>
        <v>4</v>
      </c>
      <c r="T20" s="69">
        <f>SUM(FR_CH[[#This Row],[26M07]:[26M09]])</f>
        <v>0</v>
      </c>
      <c r="U20" s="69">
        <f>SUM(FR_CH[[#This Row],[26M10]:[26M12]])</f>
        <v>18</v>
      </c>
      <c r="V20" s="256"/>
      <c r="W20" s="256"/>
      <c r="X20" s="256"/>
      <c r="Y20" s="256"/>
      <c r="Z20" s="256"/>
      <c r="AA20" s="256"/>
      <c r="AB20" s="256">
        <f>SUM(FR_CH[[#This Row],[27M01]:[27M03]])</f>
        <v>0</v>
      </c>
      <c r="AC20" s="256">
        <f>SUM(FR_CH[[#This Row],[27M01]:[27M03]])</f>
        <v>0</v>
      </c>
      <c r="AD20" s="256" t="str">
        <f>IF(SUM(FR_CH[[#This Row],[26Q2]:[26Q4]])+SUM(FR_CH[[#This Row],[27Q1]:[27Q2]])=0,"No FSCT",IF(AND(SUM(FR_CH[[#This Row],[26Q2]:[26Q4]])&gt;0,SUM(FR_CH[[#This Row],[27Q1]:[27Q2]])=0),"YES","NO"))</f>
        <v>YES</v>
      </c>
      <c r="AE20" s="85" t="str">
        <f>VLOOKUP(FR_CH[[#This Row],[Product Line]],Prod_T6[],4,0)</f>
        <v>ESS</v>
      </c>
    </row>
    <row r="21" spans="1:31" ht="14.5">
      <c r="A21" s="14" t="s">
        <v>30</v>
      </c>
      <c r="B21" s="1" t="s">
        <v>233</v>
      </c>
      <c r="D21" s="3" t="str">
        <f>VLOOKUP(FR_CH[[#This Row],[Product Line]],Prod_T6[],5,0)</f>
        <v>Sunpower</v>
      </c>
      <c r="E21" s="2" t="s">
        <v>118</v>
      </c>
      <c r="F21" s="2" t="s">
        <v>231</v>
      </c>
      <c r="G21" s="1" t="s">
        <v>120</v>
      </c>
      <c r="I21" s="15" t="s">
        <v>117</v>
      </c>
      <c r="J21" s="13">
        <v>0.3</v>
      </c>
      <c r="K21" s="13">
        <v>0.3</v>
      </c>
      <c r="L21" s="13">
        <v>0.3</v>
      </c>
      <c r="M21" s="13"/>
      <c r="N21" s="13"/>
      <c r="O21" s="13"/>
      <c r="P21" s="13"/>
      <c r="Q21" s="13"/>
      <c r="R21" s="13"/>
      <c r="S21" s="32">
        <f>SUM(FR_CH[[#This Row],[26M04]:[26M06]])</f>
        <v>0.89999999999999991</v>
      </c>
      <c r="T21" s="69">
        <f>SUM(FR_CH[[#This Row],[26M07]:[26M09]])</f>
        <v>0</v>
      </c>
      <c r="U21" s="69">
        <f>SUM(FR_CH[[#This Row],[26M10]:[26M12]])</f>
        <v>0</v>
      </c>
      <c r="V21" s="256"/>
      <c r="W21" s="256"/>
      <c r="X21" s="256"/>
      <c r="Y21" s="256"/>
      <c r="Z21" s="256"/>
      <c r="AA21" s="256"/>
      <c r="AB21" s="256">
        <f>SUM(FR_CH[[#This Row],[27M01]:[27M03]])</f>
        <v>0</v>
      </c>
      <c r="AC21" s="256">
        <f>SUM(FR_CH[[#This Row],[27M01]:[27M03]])</f>
        <v>0</v>
      </c>
      <c r="AD21" s="256" t="str">
        <f>IF(SUM(FR_CH[[#This Row],[26Q2]:[26Q4]])+SUM(FR_CH[[#This Row],[27Q1]:[27Q2]])=0,"No FSCT",IF(AND(SUM(FR_CH[[#This Row],[26Q2]:[26Q4]])&gt;0,SUM(FR_CH[[#This Row],[27Q1]:[27Q2]])=0),"YES","NO"))</f>
        <v>YES</v>
      </c>
      <c r="AE21" s="85" t="str">
        <f>VLOOKUP(FR_CH[[#This Row],[Product Line]],Prod_T6[],4,0)</f>
        <v>PV</v>
      </c>
    </row>
    <row r="22" spans="1:31" ht="14.5">
      <c r="A22" s="14" t="s">
        <v>30</v>
      </c>
      <c r="B22" s="1" t="s">
        <v>232</v>
      </c>
      <c r="D22" s="3" t="str">
        <f>VLOOKUP(FR_CH[[#This Row],[Product Line]],Prod_T6[],5,0)</f>
        <v>Sunpower</v>
      </c>
      <c r="E22" s="2" t="s">
        <v>118</v>
      </c>
      <c r="F22" s="2" t="s">
        <v>231</v>
      </c>
      <c r="G22" s="1" t="s">
        <v>120</v>
      </c>
      <c r="I22" s="15" t="s">
        <v>117</v>
      </c>
      <c r="J22" s="13"/>
      <c r="K22" s="13">
        <v>0.3</v>
      </c>
      <c r="L22" s="13"/>
      <c r="M22" s="13"/>
      <c r="N22" s="13"/>
      <c r="O22" s="13"/>
      <c r="P22" s="13"/>
      <c r="Q22" s="13"/>
      <c r="R22" s="13"/>
      <c r="S22" s="32">
        <f>SUM(FR_CH[[#This Row],[26M04]:[26M06]])</f>
        <v>0.3</v>
      </c>
      <c r="T22" s="69">
        <f>SUM(FR_CH[[#This Row],[26M07]:[26M09]])</f>
        <v>0</v>
      </c>
      <c r="U22" s="69">
        <f>SUM(FR_CH[[#This Row],[26M10]:[26M12]])</f>
        <v>0</v>
      </c>
      <c r="V22" s="256"/>
      <c r="W22" s="256"/>
      <c r="X22" s="256"/>
      <c r="Y22" s="256"/>
      <c r="Z22" s="256"/>
      <c r="AA22" s="256"/>
      <c r="AB22" s="256">
        <f>SUM(FR_CH[[#This Row],[27M01]:[27M03]])</f>
        <v>0</v>
      </c>
      <c r="AC22" s="256">
        <f>SUM(FR_CH[[#This Row],[27M01]:[27M03]])</f>
        <v>0</v>
      </c>
      <c r="AD22" s="256" t="str">
        <f>IF(SUM(FR_CH[[#This Row],[26Q2]:[26Q4]])+SUM(FR_CH[[#This Row],[27Q1]:[27Q2]])=0,"No FSCT",IF(AND(SUM(FR_CH[[#This Row],[26Q2]:[26Q4]])&gt;0,SUM(FR_CH[[#This Row],[27Q1]:[27Q2]])=0),"YES","NO"))</f>
        <v>YES</v>
      </c>
      <c r="AE22" s="85" t="str">
        <f>VLOOKUP(FR_CH[[#This Row],[Product Line]],Prod_T6[],4,0)</f>
        <v>PV</v>
      </c>
    </row>
    <row r="23" spans="1:31" ht="14.5">
      <c r="A23" s="14" t="s">
        <v>30</v>
      </c>
      <c r="B23" s="1" t="s">
        <v>188</v>
      </c>
      <c r="C23" s="3" t="s">
        <v>186</v>
      </c>
      <c r="D23" s="3" t="str">
        <f>VLOOKUP(FR_CH[[#This Row],[Product Line]],Prod_T6[],5,0)</f>
        <v>Sunpower</v>
      </c>
      <c r="E23" s="2" t="s">
        <v>118</v>
      </c>
      <c r="F23" s="2" t="s">
        <v>231</v>
      </c>
      <c r="G23" s="1" t="s">
        <v>120</v>
      </c>
      <c r="I23" s="15" t="s">
        <v>117</v>
      </c>
      <c r="J23" s="13">
        <v>0.3</v>
      </c>
      <c r="K23" s="13">
        <v>0.3</v>
      </c>
      <c r="L23" s="13">
        <v>0.5</v>
      </c>
      <c r="M23" s="13"/>
      <c r="N23" s="13"/>
      <c r="O23" s="13"/>
      <c r="P23" s="13">
        <v>0</v>
      </c>
      <c r="Q23" s="13">
        <v>0</v>
      </c>
      <c r="R23" s="13">
        <v>0</v>
      </c>
      <c r="S23" s="32">
        <f>SUM(FR_CH[[#This Row],[26M04]:[26M06]])</f>
        <v>1.1000000000000001</v>
      </c>
      <c r="T23" s="69">
        <f>SUM(FR_CH[[#This Row],[26M07]:[26M09]])</f>
        <v>0</v>
      </c>
      <c r="U23" s="69">
        <f>SUM(FR_CH[[#This Row],[26M10]:[26M12]])</f>
        <v>0</v>
      </c>
      <c r="V23" s="256"/>
      <c r="W23" s="256"/>
      <c r="X23" s="256"/>
      <c r="Y23" s="256"/>
      <c r="Z23" s="256"/>
      <c r="AA23" s="256"/>
      <c r="AB23" s="256">
        <f>SUM(FR_CH[[#This Row],[27M01]:[27M03]])</f>
        <v>0</v>
      </c>
      <c r="AC23" s="256">
        <f>SUM(FR_CH[[#This Row],[27M01]:[27M03]])</f>
        <v>0</v>
      </c>
      <c r="AD23" s="256" t="str">
        <f>IF(SUM(FR_CH[[#This Row],[26Q2]:[26Q4]])+SUM(FR_CH[[#This Row],[27Q1]:[27Q2]])=0,"No FSCT",IF(AND(SUM(FR_CH[[#This Row],[26Q2]:[26Q4]])&gt;0,SUM(FR_CH[[#This Row],[27Q1]:[27Q2]])=0),"YES","NO"))</f>
        <v>YES</v>
      </c>
      <c r="AE23" s="85" t="str">
        <f>VLOOKUP(FR_CH[[#This Row],[Product Line]],Prod_T6[],4,0)</f>
        <v>PV</v>
      </c>
    </row>
    <row r="24" spans="1:31" ht="14.5">
      <c r="A24" s="14" t="s">
        <v>30</v>
      </c>
      <c r="B24" s="1" t="s">
        <v>188</v>
      </c>
      <c r="C24" s="3" t="s">
        <v>186</v>
      </c>
      <c r="D24" s="3" t="str">
        <f>VLOOKUP(FR_CH[[#This Row],[Product Line]],Prod_T6[],5,0)</f>
        <v>Sunpower</v>
      </c>
      <c r="E24" s="2" t="s">
        <v>118</v>
      </c>
      <c r="F24" s="2" t="s">
        <v>123</v>
      </c>
      <c r="G24" s="1" t="s">
        <v>120</v>
      </c>
      <c r="I24" s="15" t="s">
        <v>117</v>
      </c>
      <c r="J24" s="13">
        <v>0.6</v>
      </c>
      <c r="K24" s="13">
        <v>0</v>
      </c>
      <c r="L24" s="13">
        <v>0.6</v>
      </c>
      <c r="M24" s="13">
        <v>0.6</v>
      </c>
      <c r="N24" s="13">
        <v>0.6</v>
      </c>
      <c r="O24" s="13">
        <v>0.6</v>
      </c>
      <c r="P24" s="13">
        <v>0.4</v>
      </c>
      <c r="Q24" s="13">
        <v>0.4</v>
      </c>
      <c r="R24" s="13">
        <v>0.4</v>
      </c>
      <c r="S24" s="32">
        <f>SUM(FR_CH[[#This Row],[26M04]:[26M06]])</f>
        <v>1.2</v>
      </c>
      <c r="T24" s="69">
        <f>SUM(FR_CH[[#This Row],[26M07]:[26M09]])</f>
        <v>1.7999999999999998</v>
      </c>
      <c r="U24" s="69">
        <f>SUM(FR_CH[[#This Row],[26M10]:[26M12]])</f>
        <v>1.2000000000000002</v>
      </c>
      <c r="V24" s="256"/>
      <c r="W24" s="256"/>
      <c r="X24" s="256"/>
      <c r="Y24" s="256"/>
      <c r="Z24" s="256"/>
      <c r="AA24" s="256"/>
      <c r="AB24" s="256">
        <f>SUM(FR_CH[[#This Row],[27M01]:[27M03]])</f>
        <v>0</v>
      </c>
      <c r="AC24" s="256">
        <f>SUM(FR_CH[[#This Row],[27M01]:[27M03]])</f>
        <v>0</v>
      </c>
      <c r="AD24" s="256" t="str">
        <f>IF(SUM(FR_CH[[#This Row],[26Q2]:[26Q4]])+SUM(FR_CH[[#This Row],[27Q1]:[27Q2]])=0,"No FSCT",IF(AND(SUM(FR_CH[[#This Row],[26Q2]:[26Q4]])&gt;0,SUM(FR_CH[[#This Row],[27Q1]:[27Q2]])=0),"YES","NO"))</f>
        <v>YES</v>
      </c>
      <c r="AE24" s="85" t="str">
        <f>VLOOKUP(FR_CH[[#This Row],[Product Line]],Prod_T6[],4,0)</f>
        <v>PV</v>
      </c>
    </row>
    <row r="25" spans="1:31" ht="14.5">
      <c r="A25" s="14" t="s">
        <v>30</v>
      </c>
      <c r="B25" s="1" t="s">
        <v>198</v>
      </c>
      <c r="C25" s="3" t="s">
        <v>186</v>
      </c>
      <c r="D25" s="3" t="str">
        <f>VLOOKUP(FR_CH[[#This Row],[Product Line]],Prod_T6[],5,0)</f>
        <v>TCL</v>
      </c>
      <c r="E25" s="2" t="s">
        <v>54</v>
      </c>
      <c r="F25" s="2" t="s">
        <v>160</v>
      </c>
      <c r="G25" s="1" t="s">
        <v>230</v>
      </c>
      <c r="I25" s="40" t="s">
        <v>117</v>
      </c>
      <c r="J25" s="13"/>
      <c r="K25" s="13"/>
      <c r="L25" s="13"/>
      <c r="M25" s="13"/>
      <c r="N25" s="13"/>
      <c r="O25" s="13">
        <v>0.87</v>
      </c>
      <c r="P25" s="13">
        <v>0.87</v>
      </c>
      <c r="Q25" s="13">
        <v>0.87</v>
      </c>
      <c r="R25" s="13">
        <v>0.87</v>
      </c>
      <c r="S25" s="32">
        <f>SUM(FR_CH[[#This Row],[26M04]:[26M06]])</f>
        <v>0</v>
      </c>
      <c r="T25" s="69">
        <f>SUM(FR_CH[[#This Row],[26M07]:[26M09]])</f>
        <v>0.87</v>
      </c>
      <c r="U25" s="69">
        <f>SUM(FR_CH[[#This Row],[26M10]:[26M12]])</f>
        <v>2.61</v>
      </c>
      <c r="V25" s="256"/>
      <c r="W25" s="256"/>
      <c r="X25" s="256"/>
      <c r="Y25" s="256"/>
      <c r="Z25" s="256"/>
      <c r="AA25" s="256"/>
      <c r="AB25" s="256">
        <f>SUM(FR_CH[[#This Row],[27M01]:[27M03]])</f>
        <v>0</v>
      </c>
      <c r="AC25" s="256">
        <f>SUM(FR_CH[[#This Row],[27M01]:[27M03]])</f>
        <v>0</v>
      </c>
      <c r="AD25" s="256" t="str">
        <f>IF(SUM(FR_CH[[#This Row],[26Q2]:[26Q4]])+SUM(FR_CH[[#This Row],[27Q1]:[27Q2]])=0,"No FSCT",IF(AND(SUM(FR_CH[[#This Row],[26Q2]:[26Q4]])&gt;0,SUM(FR_CH[[#This Row],[27Q1]:[27Q2]])=0),"YES","NO"))</f>
        <v>YES</v>
      </c>
      <c r="AE25" s="85" t="str">
        <f>VLOOKUP(FR_CH[[#This Row],[Product Line]],Prod_T6[],4,0)</f>
        <v>PV</v>
      </c>
    </row>
    <row r="26" spans="1:31" ht="14.5">
      <c r="A26" s="14" t="s">
        <v>30</v>
      </c>
      <c r="B26" s="1" t="s">
        <v>185</v>
      </c>
      <c r="C26" s="3" t="s">
        <v>186</v>
      </c>
      <c r="D26" s="3" t="str">
        <f>VLOOKUP(FR_CH[[#This Row],[Product Line]],Prod_T6[],5,0)</f>
        <v>Sunpower</v>
      </c>
      <c r="E26" s="2" t="s">
        <v>118</v>
      </c>
      <c r="F26" s="2" t="s">
        <v>123</v>
      </c>
      <c r="G26" s="1" t="s">
        <v>120</v>
      </c>
      <c r="I26" s="15" t="s">
        <v>117</v>
      </c>
      <c r="J26" s="13">
        <v>0.4</v>
      </c>
      <c r="K26" s="13">
        <v>0</v>
      </c>
      <c r="L26" s="13">
        <v>0.4</v>
      </c>
      <c r="M26" s="13">
        <v>0.4</v>
      </c>
      <c r="N26" s="13">
        <v>0.2</v>
      </c>
      <c r="O26" s="13">
        <v>0.2</v>
      </c>
      <c r="P26" s="13">
        <v>0.1</v>
      </c>
      <c r="Q26" s="13">
        <v>0.1</v>
      </c>
      <c r="R26" s="13">
        <v>0.1</v>
      </c>
      <c r="S26" s="32">
        <f>SUM(FR_CH[[#This Row],[26M04]:[26M06]])</f>
        <v>0.8</v>
      </c>
      <c r="T26" s="69">
        <f>SUM(FR_CH[[#This Row],[26M07]:[26M09]])</f>
        <v>0.8</v>
      </c>
      <c r="U26" s="69">
        <f>SUM(FR_CH[[#This Row],[26M10]:[26M12]])</f>
        <v>0.30000000000000004</v>
      </c>
      <c r="V26" s="256"/>
      <c r="W26" s="256"/>
      <c r="X26" s="256"/>
      <c r="Y26" s="256"/>
      <c r="Z26" s="256"/>
      <c r="AA26" s="256"/>
      <c r="AB26" s="256">
        <f>SUM(FR_CH[[#This Row],[27M01]:[27M03]])</f>
        <v>0</v>
      </c>
      <c r="AC26" s="256">
        <f>SUM(FR_CH[[#This Row],[27M01]:[27M03]])</f>
        <v>0</v>
      </c>
      <c r="AD26" s="256" t="str">
        <f>IF(SUM(FR_CH[[#This Row],[26Q2]:[26Q4]])+SUM(FR_CH[[#This Row],[27Q1]:[27Q2]])=0,"No FSCT",IF(AND(SUM(FR_CH[[#This Row],[26Q2]:[26Q4]])&gt;0,SUM(FR_CH[[#This Row],[27Q1]:[27Q2]])=0),"YES","NO"))</f>
        <v>YES</v>
      </c>
      <c r="AE26" s="85" t="str">
        <f>VLOOKUP(FR_CH[[#This Row],[Product Line]],Prod_T6[],4,0)</f>
        <v>PV</v>
      </c>
    </row>
    <row r="27" spans="1:31" ht="14.5">
      <c r="A27" s="14" t="s">
        <v>30</v>
      </c>
      <c r="B27" s="1" t="s">
        <v>200</v>
      </c>
      <c r="C27" s="3" t="s">
        <v>186</v>
      </c>
      <c r="D27" s="3" t="str">
        <f>VLOOKUP(FR_CH[[#This Row],[Product Line]],Prod_T6[],5,0)</f>
        <v>Sunpower</v>
      </c>
      <c r="E27" s="2" t="s">
        <v>118</v>
      </c>
      <c r="F27" s="2" t="s">
        <v>123</v>
      </c>
      <c r="G27" s="1" t="s">
        <v>120</v>
      </c>
      <c r="I27" s="15" t="s">
        <v>117</v>
      </c>
      <c r="J27" s="13"/>
      <c r="K27" s="13"/>
      <c r="L27" s="13"/>
      <c r="M27" s="13"/>
      <c r="N27" s="13"/>
      <c r="O27" s="13">
        <v>0.2</v>
      </c>
      <c r="P27" s="13">
        <v>0.1</v>
      </c>
      <c r="Q27" s="13">
        <v>0.1</v>
      </c>
      <c r="R27" s="13">
        <v>0.1</v>
      </c>
      <c r="S27" s="32">
        <f>SUM(FR_CH[[#This Row],[26M04]:[26M06]])</f>
        <v>0</v>
      </c>
      <c r="T27" s="69">
        <f>SUM(FR_CH[[#This Row],[26M07]:[26M09]])</f>
        <v>0.2</v>
      </c>
      <c r="U27" s="69">
        <f>SUM(FR_CH[[#This Row],[26M10]:[26M12]])</f>
        <v>0.30000000000000004</v>
      </c>
      <c r="V27" s="256"/>
      <c r="W27" s="256"/>
      <c r="X27" s="256"/>
      <c r="Y27" s="256"/>
      <c r="Z27" s="256"/>
      <c r="AA27" s="256"/>
      <c r="AB27" s="256">
        <f>SUM(FR_CH[[#This Row],[27M01]:[27M03]])</f>
        <v>0</v>
      </c>
      <c r="AC27" s="256">
        <f>SUM(FR_CH[[#This Row],[27M01]:[27M03]])</f>
        <v>0</v>
      </c>
      <c r="AD27" s="256" t="str">
        <f>IF(SUM(FR_CH[[#This Row],[26Q2]:[26Q4]])+SUM(FR_CH[[#This Row],[27Q1]:[27Q2]])=0,"No FSCT",IF(AND(SUM(FR_CH[[#This Row],[26Q2]:[26Q4]])&gt;0,SUM(FR_CH[[#This Row],[27Q1]:[27Q2]])=0),"YES","NO"))</f>
        <v>YES</v>
      </c>
      <c r="AE27" s="85" t="str">
        <f>VLOOKUP(FR_CH[[#This Row],[Product Line]],Prod_T6[],4,0)</f>
        <v>PV</v>
      </c>
    </row>
    <row r="28" spans="1:31" ht="13">
      <c r="A28" s="14" t="s">
        <v>30</v>
      </c>
      <c r="B28" s="1" t="s">
        <v>190</v>
      </c>
      <c r="C28" s="3" t="s">
        <v>186</v>
      </c>
      <c r="D28" s="3" t="str">
        <f>VLOOKUP(FR_CH[[#This Row],[Product Line]],Prod_T6[],5,0)</f>
        <v>Sunpower</v>
      </c>
      <c r="E28" s="2" t="s">
        <v>197</v>
      </c>
      <c r="F28" s="2" t="s">
        <v>59</v>
      </c>
      <c r="G28" s="1" t="s">
        <v>120</v>
      </c>
      <c r="I28" s="15" t="s">
        <v>117</v>
      </c>
      <c r="J28" s="13">
        <v>4</v>
      </c>
      <c r="K28" s="13">
        <v>0</v>
      </c>
      <c r="L28" s="13">
        <v>0</v>
      </c>
      <c r="M28" s="13"/>
      <c r="N28" s="13"/>
      <c r="O28" s="13"/>
      <c r="P28" s="13"/>
      <c r="Q28" s="13"/>
      <c r="R28" s="13"/>
      <c r="S28" s="32">
        <f>SUM(FR_CH[[#This Row],[26M04]:[26M06]])</f>
        <v>4</v>
      </c>
      <c r="T28" s="69">
        <f>SUM(FR_CH[[#This Row],[26M07]:[26M09]])</f>
        <v>0</v>
      </c>
      <c r="U28" s="69">
        <f>SUM(FR_CH[[#This Row],[26M10]:[26M12]])</f>
        <v>0</v>
      </c>
      <c r="V28" s="256"/>
      <c r="W28" s="256"/>
      <c r="X28" s="256"/>
      <c r="Y28" s="256"/>
      <c r="Z28" s="256"/>
      <c r="AA28" s="256"/>
      <c r="AB28" s="256">
        <f>SUM(FR_CH[[#This Row],[27M01]:[27M03]])</f>
        <v>0</v>
      </c>
      <c r="AC28" s="256">
        <f>SUM(FR_CH[[#This Row],[27M01]:[27M03]])</f>
        <v>0</v>
      </c>
      <c r="AD28" s="256" t="str">
        <f>IF(SUM(FR_CH[[#This Row],[26Q2]:[26Q4]])+SUM(FR_CH[[#This Row],[27Q1]:[27Q2]])=0,"No FSCT",IF(AND(SUM(FR_CH[[#This Row],[26Q2]:[26Q4]])&gt;0,SUM(FR_CH[[#This Row],[27Q1]:[27Q2]])=0),"YES","NO"))</f>
        <v>YES</v>
      </c>
      <c r="AE28" s="120" t="str">
        <f>VLOOKUP(FR_CH[[#This Row],[Product Line]],Prod_T6[],4,0)</f>
        <v>ESS</v>
      </c>
    </row>
    <row r="29" spans="1:31" ht="13">
      <c r="A29" s="14" t="s">
        <v>30</v>
      </c>
      <c r="B29" s="1" t="s">
        <v>237</v>
      </c>
      <c r="C29" s="3" t="s">
        <v>192</v>
      </c>
      <c r="D29" s="3" t="str">
        <f>VLOOKUP(FR_CH[[#This Row],[Product Line]],Prod_T6[],5,0)</f>
        <v>Sunpower</v>
      </c>
      <c r="E29" s="2" t="s">
        <v>118</v>
      </c>
      <c r="F29" s="2" t="s">
        <v>123</v>
      </c>
      <c r="G29" s="1" t="s">
        <v>120</v>
      </c>
      <c r="I29" s="40" t="s">
        <v>117</v>
      </c>
      <c r="J29" s="13"/>
      <c r="K29" s="13"/>
      <c r="L29" s="13"/>
      <c r="M29" s="13">
        <v>0.14399999999999999</v>
      </c>
      <c r="N29" s="13"/>
      <c r="O29" s="13">
        <v>0.14399999999999999</v>
      </c>
      <c r="P29" s="13"/>
      <c r="Q29" s="13"/>
      <c r="R29" s="13"/>
      <c r="S29" s="32">
        <f>SUM(FR_CH[[#This Row],[26M04]:[26M06]])</f>
        <v>0</v>
      </c>
      <c r="T29" s="69">
        <f>SUM(FR_CH[[#This Row],[26M07]:[26M09]])</f>
        <v>0.28799999999999998</v>
      </c>
      <c r="U29" s="69">
        <f>SUM(FR_CH[[#This Row],[26M10]:[26M12]])</f>
        <v>0</v>
      </c>
      <c r="V29" s="256"/>
      <c r="W29" s="256"/>
      <c r="X29" s="256"/>
      <c r="Y29" s="256"/>
      <c r="Z29" s="256"/>
      <c r="AA29" s="256"/>
      <c r="AB29" s="256">
        <f>SUM(FR_CH[[#This Row],[27M01]:[27M03]])</f>
        <v>0</v>
      </c>
      <c r="AC29" s="256">
        <f>SUM(FR_CH[[#This Row],[27M01]:[27M03]])</f>
        <v>0</v>
      </c>
      <c r="AD29" s="256" t="str">
        <f>IF(SUM(FR_CH[[#This Row],[26Q2]:[26Q4]])+SUM(FR_CH[[#This Row],[27Q1]:[27Q2]])=0,"No FSCT",IF(AND(SUM(FR_CH[[#This Row],[26Q2]:[26Q4]])&gt;0,SUM(FR_CH[[#This Row],[27Q1]:[27Q2]])=0),"YES","NO"))</f>
        <v>YES</v>
      </c>
      <c r="AE29" s="120" t="str">
        <f>VLOOKUP(FR_CH[[#This Row],[Product Line]],Prod_T6[],4,0)</f>
        <v>PV</v>
      </c>
    </row>
    <row r="30" spans="1:31" ht="14.5">
      <c r="A30" s="14" t="s">
        <v>30</v>
      </c>
      <c r="B30" s="1" t="s">
        <v>199</v>
      </c>
      <c r="C30" s="3" t="s">
        <v>186</v>
      </c>
      <c r="D30" s="3" t="str">
        <f>VLOOKUP(FR_CH[[#This Row],[Product Line]],Prod_T6[],5,0)</f>
        <v>TCL</v>
      </c>
      <c r="E30" s="2" t="s">
        <v>54</v>
      </c>
      <c r="F30" s="2" t="s">
        <v>201</v>
      </c>
      <c r="G30" s="1" t="s">
        <v>120</v>
      </c>
      <c r="I30" s="15" t="s">
        <v>117</v>
      </c>
      <c r="J30" s="13">
        <v>0.4</v>
      </c>
      <c r="K30" s="13">
        <v>0.4</v>
      </c>
      <c r="L30" s="13">
        <v>0.4</v>
      </c>
      <c r="M30" s="13">
        <v>0.4</v>
      </c>
      <c r="N30" s="13">
        <v>0</v>
      </c>
      <c r="O30" s="13">
        <v>0.4</v>
      </c>
      <c r="P30" s="13">
        <v>0</v>
      </c>
      <c r="Q30" s="13">
        <v>0</v>
      </c>
      <c r="R30" s="13">
        <v>0</v>
      </c>
      <c r="S30" s="32">
        <f>SUM(FR_CH[[#This Row],[26M04]:[26M06]])</f>
        <v>1.2000000000000002</v>
      </c>
      <c r="T30" s="69">
        <f>SUM(FR_CH[[#This Row],[26M07]:[26M09]])</f>
        <v>0.8</v>
      </c>
      <c r="U30" s="69">
        <f>SUM(FR_CH[[#This Row],[26M10]:[26M12]])</f>
        <v>0</v>
      </c>
      <c r="V30" s="256"/>
      <c r="W30" s="256"/>
      <c r="X30" s="256"/>
      <c r="Y30" s="256"/>
      <c r="Z30" s="256"/>
      <c r="AA30" s="256"/>
      <c r="AB30" s="256">
        <f>SUM(FR_CH[[#This Row],[27M01]:[27M03]])</f>
        <v>0</v>
      </c>
      <c r="AC30" s="256">
        <f>SUM(FR_CH[[#This Row],[27M01]:[27M03]])</f>
        <v>0</v>
      </c>
      <c r="AD30" s="256" t="str">
        <f>IF(SUM(FR_CH[[#This Row],[26Q2]:[26Q4]])+SUM(FR_CH[[#This Row],[27Q1]:[27Q2]])=0,"No FSCT",IF(AND(SUM(FR_CH[[#This Row],[26Q2]:[26Q4]])&gt;0,SUM(FR_CH[[#This Row],[27Q1]:[27Q2]])=0),"YES","NO"))</f>
        <v>YES</v>
      </c>
      <c r="AE30" s="85" t="str">
        <f>VLOOKUP(FR_CH[[#This Row],[Product Line]],Prod_T6[],4,0)</f>
        <v>PV</v>
      </c>
    </row>
    <row r="31" spans="1:31" ht="14.5">
      <c r="A31" s="14" t="s">
        <v>30</v>
      </c>
      <c r="B31" s="1" t="s">
        <v>199</v>
      </c>
      <c r="C31" s="3" t="s">
        <v>186</v>
      </c>
      <c r="D31" s="3" t="str">
        <f>VLOOKUP(FR_CH[[#This Row],[Product Line]],Prod_T6[],5,0)</f>
        <v>TCL</v>
      </c>
      <c r="E31" s="2" t="s">
        <v>54</v>
      </c>
      <c r="F31" s="2" t="s">
        <v>202</v>
      </c>
      <c r="G31" s="1" t="s">
        <v>120</v>
      </c>
      <c r="I31" s="15" t="s">
        <v>117</v>
      </c>
      <c r="J31" s="13">
        <v>0.8</v>
      </c>
      <c r="K31" s="13">
        <v>0.8</v>
      </c>
      <c r="L31" s="13">
        <v>0.8</v>
      </c>
      <c r="M31" s="13">
        <v>0.8</v>
      </c>
      <c r="N31" s="13">
        <v>2.16</v>
      </c>
      <c r="O31" s="13">
        <v>1.296</v>
      </c>
      <c r="P31" s="13">
        <v>0.8</v>
      </c>
      <c r="Q31" s="13">
        <v>0.8</v>
      </c>
      <c r="R31" s="13">
        <v>0.8</v>
      </c>
      <c r="S31" s="32"/>
      <c r="T31" s="69">
        <f>SUM(FR_CH[[#This Row],[26M07]:[26M09]])</f>
        <v>4.2560000000000002</v>
      </c>
      <c r="U31" s="69">
        <f>SUM(FR_CH[[#This Row],[26M10]:[26M12]])</f>
        <v>2.4000000000000004</v>
      </c>
      <c r="V31" s="256"/>
      <c r="W31" s="256"/>
      <c r="X31" s="256"/>
      <c r="Y31" s="256"/>
      <c r="Z31" s="256"/>
      <c r="AA31" s="256"/>
      <c r="AB31" s="256">
        <f>SUM(FR_CH[[#This Row],[27M01]:[27M03]])</f>
        <v>0</v>
      </c>
      <c r="AC31" s="256">
        <f>SUM(FR_CH[[#This Row],[27M01]:[27M03]])</f>
        <v>0</v>
      </c>
      <c r="AD31" s="256" t="str">
        <f>IF(SUM(FR_CH[[#This Row],[26Q2]:[26Q4]])+SUM(FR_CH[[#This Row],[27Q1]:[27Q2]])=0,"No FSCT",IF(AND(SUM(FR_CH[[#This Row],[26Q2]:[26Q4]])&gt;0,SUM(FR_CH[[#This Row],[27Q1]:[27Q2]])=0),"YES","NO"))</f>
        <v>YES</v>
      </c>
      <c r="AE31" s="85" t="str">
        <f>VLOOKUP(FR_CH[[#This Row],[Product Line]],Prod_T6[],4,0)</f>
        <v>PV</v>
      </c>
    </row>
    <row r="32" spans="1:31" ht="14.5">
      <c r="A32" s="14" t="s">
        <v>30</v>
      </c>
      <c r="B32" s="1" t="s">
        <v>199</v>
      </c>
      <c r="C32" s="3" t="s">
        <v>186</v>
      </c>
      <c r="D32" s="3" t="str">
        <f>VLOOKUP(FR_CH[[#This Row],[Product Line]],Prod_T6[],5,0)</f>
        <v>TCL</v>
      </c>
      <c r="E32" s="2" t="s">
        <v>54</v>
      </c>
      <c r="F32" s="2" t="s">
        <v>121</v>
      </c>
      <c r="G32" s="1" t="s">
        <v>120</v>
      </c>
      <c r="I32" s="15" t="s">
        <v>117</v>
      </c>
      <c r="J32" s="2">
        <v>0.4</v>
      </c>
      <c r="K32" s="13">
        <v>1</v>
      </c>
      <c r="L32" s="13">
        <v>1</v>
      </c>
      <c r="M32" s="13">
        <v>1</v>
      </c>
      <c r="N32" s="13">
        <v>0</v>
      </c>
      <c r="O32" s="13">
        <v>0.4</v>
      </c>
      <c r="P32" s="13">
        <v>0.4</v>
      </c>
      <c r="Q32" s="13">
        <v>0.4</v>
      </c>
      <c r="R32" s="13">
        <v>0.4</v>
      </c>
      <c r="S32" s="32">
        <f>SUM(FR_CH[[#This Row],[26M04]:[26M06]])</f>
        <v>2.4</v>
      </c>
      <c r="T32" s="69">
        <f>SUM(FR_CH[[#This Row],[26M07]:[26M09]])</f>
        <v>1.4</v>
      </c>
      <c r="U32" s="69">
        <f>SUM(FR_CH[[#This Row],[26M10]:[26M12]])</f>
        <v>1.2000000000000002</v>
      </c>
      <c r="V32" s="256"/>
      <c r="W32" s="256"/>
      <c r="X32" s="256"/>
      <c r="Y32" s="256"/>
      <c r="Z32" s="256"/>
      <c r="AA32" s="256"/>
      <c r="AB32" s="256">
        <f>SUM(FR_CH[[#This Row],[27M01]:[27M03]])</f>
        <v>0</v>
      </c>
      <c r="AC32" s="256">
        <f>SUM(FR_CH[[#This Row],[27M01]:[27M03]])</f>
        <v>0</v>
      </c>
      <c r="AD32" s="256" t="str">
        <f>IF(SUM(FR_CH[[#This Row],[26Q2]:[26Q4]])+SUM(FR_CH[[#This Row],[27Q1]:[27Q2]])=0,"No FSCT",IF(AND(SUM(FR_CH[[#This Row],[26Q2]:[26Q4]])&gt;0,SUM(FR_CH[[#This Row],[27Q1]:[27Q2]])=0),"YES","NO"))</f>
        <v>YES</v>
      </c>
      <c r="AE32" s="85" t="str">
        <f>VLOOKUP(FR_CH[[#This Row],[Product Line]],Prod_T6[],4,0)</f>
        <v>PV</v>
      </c>
    </row>
    <row r="33" spans="1:31" ht="14.5">
      <c r="A33" s="14" t="s">
        <v>30</v>
      </c>
      <c r="B33" s="1" t="s">
        <v>250</v>
      </c>
      <c r="D33" s="3" t="str">
        <f>VLOOKUP(FR_CH[[#This Row],[Product Line]],Prod_T6[],5,0)</f>
        <v>TCL</v>
      </c>
      <c r="E33" s="2" t="s">
        <v>54</v>
      </c>
      <c r="F33" s="2" t="s">
        <v>201</v>
      </c>
      <c r="G33" s="1" t="s">
        <v>136</v>
      </c>
      <c r="I33" s="15" t="s">
        <v>117</v>
      </c>
      <c r="J33" s="13">
        <v>0.4</v>
      </c>
      <c r="K33" s="13">
        <v>0.2</v>
      </c>
      <c r="L33" s="13">
        <v>0.2</v>
      </c>
      <c r="M33" s="13"/>
      <c r="N33" s="13"/>
      <c r="O33" s="13"/>
      <c r="P33" s="13"/>
      <c r="Q33" s="13"/>
      <c r="R33" s="13"/>
      <c r="S33" s="32">
        <f>SUM(FR_CH[[#This Row],[26M04]:[26M06]])</f>
        <v>0.8</v>
      </c>
      <c r="T33" s="69">
        <f>SUM(FR_CH[[#This Row],[26M07]:[26M09]])</f>
        <v>0</v>
      </c>
      <c r="U33" s="69">
        <f>SUM(FR_CH[[#This Row],[26M10]:[26M12]])</f>
        <v>0</v>
      </c>
      <c r="V33" s="256"/>
      <c r="W33" s="256"/>
      <c r="X33" s="256"/>
      <c r="Y33" s="256"/>
      <c r="Z33" s="256"/>
      <c r="AA33" s="256"/>
      <c r="AB33" s="256">
        <f>SUM(FR_CH[[#This Row],[27M01]:[27M03]])</f>
        <v>0</v>
      </c>
      <c r="AC33" s="256">
        <f>SUM(FR_CH[[#This Row],[27M01]:[27M03]])</f>
        <v>0</v>
      </c>
      <c r="AD33" s="256" t="str">
        <f>IF(SUM(FR_CH[[#This Row],[26Q2]:[26Q4]])+SUM(FR_CH[[#This Row],[27Q1]:[27Q2]])=0,"No FSCT",IF(AND(SUM(FR_CH[[#This Row],[26Q2]:[26Q4]])&gt;0,SUM(FR_CH[[#This Row],[27Q1]:[27Q2]])=0),"YES","NO"))</f>
        <v>YES</v>
      </c>
      <c r="AE33" s="85" t="str">
        <f>VLOOKUP(FR_CH[[#This Row],[Product Line]],Prod_T6[],4,0)</f>
        <v>PV</v>
      </c>
    </row>
    <row r="34" spans="1:31" ht="14.5">
      <c r="A34" s="14" t="s">
        <v>30</v>
      </c>
      <c r="B34" s="1" t="s">
        <v>250</v>
      </c>
      <c r="D34" s="3" t="str">
        <f>VLOOKUP(FR_CH[[#This Row],[Product Line]],Prod_T6[],5,0)</f>
        <v>Sunpower</v>
      </c>
      <c r="E34" s="2" t="s">
        <v>118</v>
      </c>
      <c r="F34" s="2" t="s">
        <v>231</v>
      </c>
      <c r="G34" s="2" t="s">
        <v>130</v>
      </c>
      <c r="I34" s="15" t="s">
        <v>117</v>
      </c>
      <c r="J34" s="13">
        <v>0.4</v>
      </c>
      <c r="K34" s="13">
        <v>0.4</v>
      </c>
      <c r="L34" s="13">
        <v>0.4</v>
      </c>
      <c r="M34" s="13"/>
      <c r="N34" s="13"/>
      <c r="O34" s="13"/>
      <c r="P34" s="13"/>
      <c r="Q34" s="13"/>
      <c r="R34" s="13"/>
      <c r="S34" s="32">
        <f>SUM(FR_CH[[#This Row],[26M04]:[26M06]])</f>
        <v>1.2000000000000002</v>
      </c>
      <c r="T34" s="69">
        <f>SUM(FR_CH[[#This Row],[26M07]:[26M09]])</f>
        <v>0</v>
      </c>
      <c r="U34" s="69">
        <f>SUM(FR_CH[[#This Row],[26M10]:[26M12]])</f>
        <v>0</v>
      </c>
      <c r="V34" s="256"/>
      <c r="W34" s="256"/>
      <c r="X34" s="256"/>
      <c r="Y34" s="256"/>
      <c r="Z34" s="256"/>
      <c r="AA34" s="256"/>
      <c r="AB34" s="256">
        <f>SUM(FR_CH[[#This Row],[27M01]:[27M03]])</f>
        <v>0</v>
      </c>
      <c r="AC34" s="256">
        <f>SUM(FR_CH[[#This Row],[27M01]:[27M03]])</f>
        <v>0</v>
      </c>
      <c r="AD34" s="256" t="str">
        <f>IF(SUM(FR_CH[[#This Row],[26Q2]:[26Q4]])+SUM(FR_CH[[#This Row],[27Q1]:[27Q2]])=0,"No FSCT",IF(AND(SUM(FR_CH[[#This Row],[26Q2]:[26Q4]])&gt;0,SUM(FR_CH[[#This Row],[27Q1]:[27Q2]])=0),"YES","NO"))</f>
        <v>YES</v>
      </c>
      <c r="AE34" s="85" t="str">
        <f>VLOOKUP(FR_CH[[#This Row],[Product Line]],Prod_T6[],4,0)</f>
        <v>PV</v>
      </c>
    </row>
    <row r="35" spans="1:31" ht="14.5">
      <c r="A35" s="14" t="s">
        <v>30</v>
      </c>
      <c r="B35" s="1" t="s">
        <v>189</v>
      </c>
      <c r="C35" s="3" t="s">
        <v>186</v>
      </c>
      <c r="D35" s="3" t="str">
        <f>VLOOKUP(FR_CH[[#This Row],[Product Line]],Prod_T6[],5,0)</f>
        <v>Sunpower</v>
      </c>
      <c r="E35" s="2" t="s">
        <v>197</v>
      </c>
      <c r="F35" s="2" t="s">
        <v>59</v>
      </c>
      <c r="G35" s="1" t="s">
        <v>120</v>
      </c>
      <c r="I35" s="15" t="s">
        <v>117</v>
      </c>
      <c r="J35" s="13">
        <v>6</v>
      </c>
      <c r="K35" s="13">
        <v>0</v>
      </c>
      <c r="L35" s="13">
        <v>0</v>
      </c>
      <c r="M35" s="13">
        <v>16</v>
      </c>
      <c r="N35" s="13">
        <v>12</v>
      </c>
      <c r="O35" s="13">
        <v>12</v>
      </c>
      <c r="P35" s="13">
        <v>8</v>
      </c>
      <c r="Q35" s="13">
        <v>8</v>
      </c>
      <c r="R35" s="13">
        <v>8</v>
      </c>
      <c r="S35" s="32"/>
      <c r="T35" s="69">
        <f>SUM(FR_CH[[#This Row],[26M07]:[26M09]])</f>
        <v>40</v>
      </c>
      <c r="U35" s="69">
        <f>SUM(FR_CH[[#This Row],[26M10]:[26M12]])</f>
        <v>24</v>
      </c>
      <c r="V35" s="256"/>
      <c r="W35" s="256"/>
      <c r="X35" s="256"/>
      <c r="Y35" s="256"/>
      <c r="Z35" s="256"/>
      <c r="AA35" s="256"/>
      <c r="AB35" s="256">
        <f>SUM(FR_CH[[#This Row],[27M01]:[27M03]])</f>
        <v>0</v>
      </c>
      <c r="AC35" s="256">
        <f>SUM(FR_CH[[#This Row],[27M01]:[27M03]])</f>
        <v>0</v>
      </c>
      <c r="AD35" s="256" t="str">
        <f>IF(SUM(FR_CH[[#This Row],[26Q2]:[26Q4]])+SUM(FR_CH[[#This Row],[27Q1]:[27Q2]])=0,"No FSCT",IF(AND(SUM(FR_CH[[#This Row],[26Q2]:[26Q4]])&gt;0,SUM(FR_CH[[#This Row],[27Q1]:[27Q2]])=0),"YES","NO"))</f>
        <v>YES</v>
      </c>
      <c r="AE35" s="85" t="str">
        <f>VLOOKUP(FR_CH[[#This Row],[Product Line]],Prod_T6[],4,0)</f>
        <v>ESS</v>
      </c>
    </row>
    <row r="36" spans="1:31" ht="14.5">
      <c r="A36" s="14" t="s">
        <v>30</v>
      </c>
      <c r="B36" s="1" t="s">
        <v>189</v>
      </c>
      <c r="C36" s="3" t="s">
        <v>186</v>
      </c>
      <c r="D36" s="3" t="str">
        <f>VLOOKUP(FR_CH[[#This Row],[Product Line]],Prod_T6[],5,0)</f>
        <v>Sunpower</v>
      </c>
      <c r="E36" s="2" t="s">
        <v>197</v>
      </c>
      <c r="F36" s="2" t="s">
        <v>58</v>
      </c>
      <c r="G36" s="1" t="s">
        <v>120</v>
      </c>
      <c r="I36" s="15" t="s">
        <v>117</v>
      </c>
      <c r="J36" s="13">
        <v>4</v>
      </c>
      <c r="K36" s="13">
        <v>0</v>
      </c>
      <c r="L36" s="13">
        <v>0</v>
      </c>
      <c r="M36" s="13">
        <v>4</v>
      </c>
      <c r="N36" s="13">
        <v>4</v>
      </c>
      <c r="O36" s="13">
        <v>4</v>
      </c>
      <c r="P36" s="13">
        <v>4</v>
      </c>
      <c r="Q36" s="13">
        <v>4</v>
      </c>
      <c r="R36" s="13">
        <v>4</v>
      </c>
      <c r="S36" s="32">
        <f>SUM(FR_CH[[#This Row],[26M04]:[26M06]])</f>
        <v>4</v>
      </c>
      <c r="T36" s="69">
        <f>SUM(FR_CH[[#This Row],[26M07]:[26M09]])</f>
        <v>12</v>
      </c>
      <c r="U36" s="69">
        <f>SUM(FR_CH[[#This Row],[26M10]:[26M12]])</f>
        <v>12</v>
      </c>
      <c r="V36" s="256"/>
      <c r="W36" s="256"/>
      <c r="X36" s="256"/>
      <c r="Y36" s="256"/>
      <c r="Z36" s="256"/>
      <c r="AA36" s="256"/>
      <c r="AB36" s="256">
        <f>SUM(FR_CH[[#This Row],[27M01]:[27M03]])</f>
        <v>0</v>
      </c>
      <c r="AC36" s="256">
        <f>SUM(FR_CH[[#This Row],[27M01]:[27M03]])</f>
        <v>0</v>
      </c>
      <c r="AD36" s="256" t="str">
        <f>IF(SUM(FR_CH[[#This Row],[26Q2]:[26Q4]])+SUM(FR_CH[[#This Row],[27Q1]:[27Q2]])=0,"No FSCT",IF(AND(SUM(FR_CH[[#This Row],[26Q2]:[26Q4]])&gt;0,SUM(FR_CH[[#This Row],[27Q1]:[27Q2]])=0),"YES","NO"))</f>
        <v>YES</v>
      </c>
      <c r="AE36" s="85" t="str">
        <f>VLOOKUP(FR_CH[[#This Row],[Product Line]],Prod_T6[],4,0)</f>
        <v>ESS</v>
      </c>
    </row>
    <row r="37" spans="1:31" ht="14.5">
      <c r="A37" s="14" t="s">
        <v>30</v>
      </c>
      <c r="B37" s="1" t="s">
        <v>189</v>
      </c>
      <c r="C37" s="2" t="s">
        <v>249</v>
      </c>
      <c r="D37" s="2" t="str">
        <f>VLOOKUP(FR_CH[[#This Row],[Product Line]],Prod_T6[],5,0)</f>
        <v>Sunpower</v>
      </c>
      <c r="E37" s="2" t="s">
        <v>197</v>
      </c>
      <c r="F37" s="2" t="s">
        <v>61</v>
      </c>
      <c r="G37" s="1" t="s">
        <v>120</v>
      </c>
      <c r="I37" s="15" t="s">
        <v>117</v>
      </c>
      <c r="J37" s="13">
        <v>4</v>
      </c>
      <c r="K37" s="13">
        <v>0</v>
      </c>
      <c r="L37" s="13">
        <v>0</v>
      </c>
      <c r="M37" s="13">
        <v>8</v>
      </c>
      <c r="N37" s="13">
        <v>0</v>
      </c>
      <c r="O37" s="13">
        <v>4</v>
      </c>
      <c r="P37" s="13">
        <v>0</v>
      </c>
      <c r="Q37" s="13">
        <v>4</v>
      </c>
      <c r="R37" s="13">
        <v>4</v>
      </c>
      <c r="S37" s="32">
        <f>SUM(FR_CH[[#This Row],[26M04]:[26M06]])</f>
        <v>4</v>
      </c>
      <c r="T37" s="69">
        <f>SUM(FR_CH[[#This Row],[26M07]:[26M09]])</f>
        <v>12</v>
      </c>
      <c r="U37" s="69">
        <f>SUM(FR_CH[[#This Row],[26M10]:[26M12]])</f>
        <v>8</v>
      </c>
      <c r="V37" s="256"/>
      <c r="W37" s="256"/>
      <c r="X37" s="256"/>
      <c r="Y37" s="256"/>
      <c r="Z37" s="256"/>
      <c r="AA37" s="256"/>
      <c r="AB37" s="256">
        <f>SUM(FR_CH[[#This Row],[27M01]:[27M03]])</f>
        <v>0</v>
      </c>
      <c r="AC37" s="256">
        <f>SUM(FR_CH[[#This Row],[27M01]:[27M03]])</f>
        <v>0</v>
      </c>
      <c r="AD37" s="256" t="str">
        <f>IF(SUM(FR_CH[[#This Row],[26Q2]:[26Q4]])+SUM(FR_CH[[#This Row],[27Q1]:[27Q2]])=0,"No FSCT",IF(AND(SUM(FR_CH[[#This Row],[26Q2]:[26Q4]])&gt;0,SUM(FR_CH[[#This Row],[27Q1]:[27Q2]])=0),"YES","NO"))</f>
        <v>YES</v>
      </c>
      <c r="AE37" s="85" t="str">
        <f>VLOOKUP(FR_CH[[#This Row],[Product Line]],Prod_T6[],4,0)</f>
        <v>ESS</v>
      </c>
    </row>
    <row r="38" spans="1:31" ht="14.5">
      <c r="A38" s="14" t="s">
        <v>30</v>
      </c>
      <c r="B38" s="1" t="s">
        <v>189</v>
      </c>
      <c r="C38" s="2" t="s">
        <v>249</v>
      </c>
      <c r="D38" s="2" t="str">
        <f>VLOOKUP(FR_CH[[#This Row],[Product Line]],Prod_T6[],5,0)</f>
        <v>Sunpower</v>
      </c>
      <c r="E38" s="2" t="s">
        <v>197</v>
      </c>
      <c r="F38" s="2" t="s">
        <v>62</v>
      </c>
      <c r="G38" s="1" t="s">
        <v>120</v>
      </c>
      <c r="I38" s="15" t="s">
        <v>117</v>
      </c>
      <c r="J38" s="13">
        <v>4</v>
      </c>
      <c r="K38" s="13">
        <v>0</v>
      </c>
      <c r="L38" s="13">
        <v>0</v>
      </c>
      <c r="M38" s="13">
        <v>0</v>
      </c>
      <c r="N38" s="13">
        <v>2</v>
      </c>
      <c r="O38" s="13">
        <v>2</v>
      </c>
      <c r="P38" s="13">
        <v>2</v>
      </c>
      <c r="Q38" s="13">
        <v>2</v>
      </c>
      <c r="R38" s="13">
        <v>2</v>
      </c>
      <c r="S38" s="32">
        <f>SUM(FR_CH[[#This Row],[26M04]:[26M06]])</f>
        <v>4</v>
      </c>
      <c r="T38" s="69">
        <f>SUM(FR_CH[[#This Row],[26M07]:[26M09]])</f>
        <v>4</v>
      </c>
      <c r="U38" s="69">
        <f>SUM(FR_CH[[#This Row],[26M10]:[26M12]])</f>
        <v>6</v>
      </c>
      <c r="V38" s="256"/>
      <c r="W38" s="256"/>
      <c r="X38" s="256"/>
      <c r="Y38" s="256"/>
      <c r="Z38" s="256"/>
      <c r="AA38" s="256"/>
      <c r="AB38" s="256">
        <f>SUM(FR_CH[[#This Row],[27M01]:[27M03]])</f>
        <v>0</v>
      </c>
      <c r="AC38" s="256">
        <f>SUM(FR_CH[[#This Row],[27M01]:[27M03]])</f>
        <v>0</v>
      </c>
      <c r="AD38" s="256" t="str">
        <f>IF(SUM(FR_CH[[#This Row],[26Q2]:[26Q4]])+SUM(FR_CH[[#This Row],[27Q1]:[27Q2]])=0,"No FSCT",IF(AND(SUM(FR_CH[[#This Row],[26Q2]:[26Q4]])&gt;0,SUM(FR_CH[[#This Row],[27Q1]:[27Q2]])=0),"YES","NO"))</f>
        <v>YES</v>
      </c>
      <c r="AE38" s="85" t="str">
        <f>VLOOKUP(FR_CH[[#This Row],[Product Line]],Prod_T6[],4,0)</f>
        <v>ESS</v>
      </c>
    </row>
    <row r="39" spans="1:31" ht="14.5">
      <c r="A39" s="14" t="s">
        <v>30</v>
      </c>
      <c r="B39" s="1" t="s">
        <v>198</v>
      </c>
      <c r="C39" s="3" t="s">
        <v>186</v>
      </c>
      <c r="D39" s="3" t="str">
        <f>VLOOKUP(FR_CH[[#This Row],[Product Line]],Prod_T6[],5,0)</f>
        <v>TCL</v>
      </c>
      <c r="E39" s="2" t="s">
        <v>54</v>
      </c>
      <c r="F39" s="2" t="s">
        <v>201</v>
      </c>
      <c r="G39" s="1" t="s">
        <v>120</v>
      </c>
      <c r="I39" s="15" t="s">
        <v>132</v>
      </c>
      <c r="J39" s="13">
        <v>2</v>
      </c>
      <c r="K39" s="13">
        <v>1</v>
      </c>
      <c r="L39" s="13">
        <v>1</v>
      </c>
      <c r="M39" s="13">
        <v>2</v>
      </c>
      <c r="N39" s="13">
        <v>3.37</v>
      </c>
      <c r="O39" s="13">
        <v>0</v>
      </c>
      <c r="P39" s="13">
        <v>0</v>
      </c>
      <c r="Q39" s="13">
        <v>0</v>
      </c>
      <c r="R39" s="13">
        <v>0</v>
      </c>
      <c r="S39" s="32">
        <v>0.15</v>
      </c>
      <c r="T39" s="69">
        <f>SUM(FR_CH[[#This Row],[26M07]:[26M09]])</f>
        <v>5.37</v>
      </c>
      <c r="U39" s="69">
        <f>SUM(FR_CH[[#This Row],[26M10]:[26M12]])</f>
        <v>0</v>
      </c>
      <c r="V39" s="256"/>
      <c r="W39" s="256"/>
      <c r="X39" s="256"/>
      <c r="Y39" s="256"/>
      <c r="Z39" s="256"/>
      <c r="AA39" s="256"/>
      <c r="AB39" s="256">
        <f>SUM(FR_CH[[#This Row],[27M01]:[27M03]])</f>
        <v>0</v>
      </c>
      <c r="AC39" s="256">
        <f>SUM(FR_CH[[#This Row],[27M01]:[27M03]])</f>
        <v>0</v>
      </c>
      <c r="AD39" s="256" t="str">
        <f>IF(SUM(FR_CH[[#This Row],[26Q2]:[26Q4]])+SUM(FR_CH[[#This Row],[27Q1]:[27Q2]])=0,"No FSCT",IF(AND(SUM(FR_CH[[#This Row],[26Q2]:[26Q4]])&gt;0,SUM(FR_CH[[#This Row],[27Q1]:[27Q2]])=0),"YES","NO"))</f>
        <v>YES</v>
      </c>
      <c r="AE39" s="85" t="str">
        <f>VLOOKUP(FR_CH[[#This Row],[Product Line]],Prod_T6[],4,0)</f>
        <v>PV</v>
      </c>
    </row>
    <row r="40" spans="1:31" ht="14.5">
      <c r="A40" s="14" t="s">
        <v>30</v>
      </c>
      <c r="B40" s="1" t="s">
        <v>198</v>
      </c>
      <c r="C40" s="3" t="s">
        <v>186</v>
      </c>
      <c r="D40" s="3" t="str">
        <f>VLOOKUP(FR_CH[[#This Row],[Product Line]],Prod_T6[],5,0)</f>
        <v>TCL</v>
      </c>
      <c r="E40" s="2" t="s">
        <v>54</v>
      </c>
      <c r="F40" s="2" t="s">
        <v>193</v>
      </c>
      <c r="G40" s="1" t="s">
        <v>120</v>
      </c>
      <c r="I40" s="15" t="s">
        <v>132</v>
      </c>
      <c r="J40" s="13"/>
      <c r="K40" s="13"/>
      <c r="L40" s="13"/>
      <c r="M40" s="13"/>
      <c r="N40" s="13">
        <v>0.85</v>
      </c>
      <c r="O40" s="13">
        <v>0.85</v>
      </c>
      <c r="P40" s="13">
        <v>0</v>
      </c>
      <c r="Q40" s="13">
        <v>0</v>
      </c>
      <c r="R40" s="13">
        <v>0</v>
      </c>
      <c r="S40" s="32">
        <f>SUM(FR_CH[[#This Row],[26M04]:[26M06]])</f>
        <v>0</v>
      </c>
      <c r="T40" s="69">
        <f>SUM(FR_CH[[#This Row],[26M07]:[26M09]])</f>
        <v>1.7</v>
      </c>
      <c r="U40" s="69">
        <f>SUM(FR_CH[[#This Row],[26M10]:[26M12]])</f>
        <v>0</v>
      </c>
      <c r="V40" s="256"/>
      <c r="W40" s="256"/>
      <c r="X40" s="256"/>
      <c r="Y40" s="256"/>
      <c r="Z40" s="256"/>
      <c r="AA40" s="256"/>
      <c r="AB40" s="256">
        <f>SUM(FR_CH[[#This Row],[27M01]:[27M03]])</f>
        <v>0</v>
      </c>
      <c r="AC40" s="256">
        <f>SUM(FR_CH[[#This Row],[27M01]:[27M03]])</f>
        <v>0</v>
      </c>
      <c r="AD40" s="256" t="str">
        <f>IF(SUM(FR_CH[[#This Row],[26Q2]:[26Q4]])+SUM(FR_CH[[#This Row],[27Q1]:[27Q2]])=0,"No FSCT",IF(AND(SUM(FR_CH[[#This Row],[26Q2]:[26Q4]])&gt;0,SUM(FR_CH[[#This Row],[27Q1]:[27Q2]])=0),"YES","NO"))</f>
        <v>YES</v>
      </c>
      <c r="AE40" s="85" t="str">
        <f>VLOOKUP(FR_CH[[#This Row],[Product Line]],Prod_T6[],4,0)</f>
        <v>PV</v>
      </c>
    </row>
    <row r="41" spans="1:31" ht="14.5">
      <c r="A41" s="14" t="s">
        <v>30</v>
      </c>
      <c r="B41" s="1" t="s">
        <v>198</v>
      </c>
      <c r="C41" s="3" t="s">
        <v>186</v>
      </c>
      <c r="D41" s="3" t="str">
        <f>VLOOKUP(FR_CH[[#This Row],[Product Line]],Prod_T6[],5,0)</f>
        <v>TCL</v>
      </c>
      <c r="E41" s="2" t="s">
        <v>54</v>
      </c>
      <c r="F41" s="2" t="s">
        <v>121</v>
      </c>
      <c r="G41" s="1" t="s">
        <v>120</v>
      </c>
      <c r="I41" s="15" t="s">
        <v>117</v>
      </c>
      <c r="J41" s="2">
        <v>0.8</v>
      </c>
      <c r="K41" s="2">
        <v>0.8</v>
      </c>
      <c r="L41" s="2">
        <v>0.8</v>
      </c>
      <c r="M41" s="13">
        <v>0.6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32"/>
      <c r="T41" s="69">
        <f>SUM(FR_CH[[#This Row],[26M07]:[26M09]])</f>
        <v>0.6</v>
      </c>
      <c r="U41" s="69">
        <f>SUM(FR_CH[[#This Row],[26M10]:[26M12]])</f>
        <v>0</v>
      </c>
      <c r="V41" s="256"/>
      <c r="W41" s="256"/>
      <c r="X41" s="256"/>
      <c r="Y41" s="256"/>
      <c r="Z41" s="256"/>
      <c r="AA41" s="256"/>
      <c r="AB41" s="256">
        <f>SUM(FR_CH[[#This Row],[27M01]:[27M03]])</f>
        <v>0</v>
      </c>
      <c r="AC41" s="256">
        <f>SUM(FR_CH[[#This Row],[27M01]:[27M03]])</f>
        <v>0</v>
      </c>
      <c r="AD41" s="256" t="str">
        <f>IF(SUM(FR_CH[[#This Row],[26Q2]:[26Q4]])+SUM(FR_CH[[#This Row],[27Q1]:[27Q2]])=0,"No FSCT",IF(AND(SUM(FR_CH[[#This Row],[26Q2]:[26Q4]])&gt;0,SUM(FR_CH[[#This Row],[27Q1]:[27Q2]])=0),"YES","NO"))</f>
        <v>YES</v>
      </c>
      <c r="AE41" s="85" t="str">
        <f>VLOOKUP(FR_CH[[#This Row],[Product Line]],Prod_T6[],4,0)</f>
        <v>PV</v>
      </c>
    </row>
    <row r="42" spans="1:31" ht="14.5">
      <c r="A42" s="14" t="s">
        <v>30</v>
      </c>
      <c r="B42" s="1" t="s">
        <v>198</v>
      </c>
      <c r="C42" s="3" t="s">
        <v>186</v>
      </c>
      <c r="D42" s="3" t="str">
        <f>VLOOKUP(FR_CH[[#This Row],[Product Line]],Prod_T6[],5,0)</f>
        <v>TCL</v>
      </c>
      <c r="E42" s="2" t="s">
        <v>54</v>
      </c>
      <c r="F42" s="2" t="s">
        <v>650</v>
      </c>
      <c r="G42" s="1" t="s">
        <v>120</v>
      </c>
      <c r="I42" s="40" t="s">
        <v>117</v>
      </c>
      <c r="J42" s="13"/>
      <c r="K42" s="13"/>
      <c r="L42" s="13"/>
      <c r="M42" s="13">
        <v>1.3</v>
      </c>
      <c r="N42" s="13">
        <v>1.3</v>
      </c>
      <c r="O42" s="13">
        <v>1.3</v>
      </c>
      <c r="P42" s="13">
        <v>0.2</v>
      </c>
      <c r="Q42" s="13">
        <v>0.2</v>
      </c>
      <c r="R42" s="13">
        <v>0.2</v>
      </c>
      <c r="S42" s="32">
        <f>SUM(FR_CH[[#This Row],[26M04]:[26M06]])</f>
        <v>0</v>
      </c>
      <c r="T42" s="69">
        <f>SUM(FR_CH[[#This Row],[26M07]:[26M09]])</f>
        <v>3.9000000000000004</v>
      </c>
      <c r="U42" s="69">
        <f>SUM(FR_CH[[#This Row],[26M10]:[26M12]])</f>
        <v>0.60000000000000009</v>
      </c>
      <c r="V42" s="256"/>
      <c r="W42" s="256"/>
      <c r="X42" s="256"/>
      <c r="Y42" s="256"/>
      <c r="Z42" s="256"/>
      <c r="AA42" s="256"/>
      <c r="AB42" s="256">
        <f>SUM(FR_CH[[#This Row],[27M01]:[27M03]])</f>
        <v>0</v>
      </c>
      <c r="AC42" s="256">
        <f>SUM(FR_CH[[#This Row],[27M01]:[27M03]])</f>
        <v>0</v>
      </c>
      <c r="AD42" s="256" t="str">
        <f>IF(SUM(FR_CH[[#This Row],[26Q2]:[26Q4]])+SUM(FR_CH[[#This Row],[27Q1]:[27Q2]])=0,"No FSCT",IF(AND(SUM(FR_CH[[#This Row],[26Q2]:[26Q4]])&gt;0,SUM(FR_CH[[#This Row],[27Q1]:[27Q2]])=0),"YES","NO"))</f>
        <v>YES</v>
      </c>
      <c r="AE42" s="85" t="str">
        <f>VLOOKUP(FR_CH[[#This Row],[Product Line]],Prod_T6[],4,0)</f>
        <v>PV</v>
      </c>
    </row>
    <row r="43" spans="1:31" ht="14.5">
      <c r="A43" s="14" t="s">
        <v>30</v>
      </c>
      <c r="B43" s="1" t="s">
        <v>190</v>
      </c>
      <c r="C43" s="3" t="s">
        <v>186</v>
      </c>
      <c r="D43" s="3" t="str">
        <f>VLOOKUP(FR_CH[[#This Row],[Product Line]],Prod_T6[],5,0)</f>
        <v>TCL</v>
      </c>
      <c r="E43" s="2" t="s">
        <v>54</v>
      </c>
      <c r="F43" s="2" t="s">
        <v>201</v>
      </c>
      <c r="G43" s="1" t="s">
        <v>120</v>
      </c>
      <c r="I43" s="15" t="s">
        <v>117</v>
      </c>
      <c r="J43" s="13">
        <v>0.4</v>
      </c>
      <c r="K43" s="13">
        <v>1</v>
      </c>
      <c r="L43" s="13">
        <v>1</v>
      </c>
      <c r="M43" s="13">
        <v>0.4</v>
      </c>
      <c r="N43" s="13">
        <v>0.4</v>
      </c>
      <c r="O43" s="13">
        <v>0</v>
      </c>
      <c r="P43" s="13">
        <v>0</v>
      </c>
      <c r="Q43" s="13">
        <v>0</v>
      </c>
      <c r="R43" s="13">
        <v>0</v>
      </c>
      <c r="S43" s="32">
        <f>SUM(FR_CH[[#This Row],[26M04]:[26M06]])</f>
        <v>2.4</v>
      </c>
      <c r="T43" s="69">
        <f>SUM(FR_CH[[#This Row],[26M07]:[26M09]])</f>
        <v>0.8</v>
      </c>
      <c r="U43" s="69">
        <f>SUM(FR_CH[[#This Row],[26M10]:[26M12]])</f>
        <v>0</v>
      </c>
      <c r="V43" s="256"/>
      <c r="W43" s="256"/>
      <c r="X43" s="256"/>
      <c r="Y43" s="256"/>
      <c r="Z43" s="256"/>
      <c r="AA43" s="256"/>
      <c r="AB43" s="256">
        <f>SUM(FR_CH[[#This Row],[27M01]:[27M03]])</f>
        <v>0</v>
      </c>
      <c r="AC43" s="256">
        <f>SUM(FR_CH[[#This Row],[27M01]:[27M03]])</f>
        <v>0</v>
      </c>
      <c r="AD43" s="256" t="str">
        <f>IF(SUM(FR_CH[[#This Row],[26Q2]:[26Q4]])+SUM(FR_CH[[#This Row],[27Q1]:[27Q2]])=0,"No FSCT",IF(AND(SUM(FR_CH[[#This Row],[26Q2]:[26Q4]])&gt;0,SUM(FR_CH[[#This Row],[27Q1]:[27Q2]])=0),"YES","NO"))</f>
        <v>YES</v>
      </c>
      <c r="AE43" s="85" t="str">
        <f>VLOOKUP(FR_CH[[#This Row],[Product Line]],Prod_T6[],4,0)</f>
        <v>PV</v>
      </c>
    </row>
    <row r="44" spans="1:31" ht="13">
      <c r="A44" s="14" t="s">
        <v>30</v>
      </c>
      <c r="B44" s="1" t="s">
        <v>203</v>
      </c>
      <c r="C44" s="3" t="s">
        <v>240</v>
      </c>
      <c r="D44" s="3" t="str">
        <f>VLOOKUP(FR_CH[[#This Row],[Product Line]],Prod_T6[],5,0)</f>
        <v>TCL</v>
      </c>
      <c r="E44" s="2" t="s">
        <v>113</v>
      </c>
      <c r="F44" s="2" t="s">
        <v>208</v>
      </c>
      <c r="G44" s="1" t="s">
        <v>115</v>
      </c>
      <c r="H44" s="1" t="s">
        <v>116</v>
      </c>
      <c r="I44" s="15" t="s">
        <v>117</v>
      </c>
      <c r="J44" s="13"/>
      <c r="K44" s="13"/>
      <c r="L44" s="13"/>
      <c r="M44" s="13"/>
      <c r="N44" s="13"/>
      <c r="O44" s="13"/>
      <c r="P44" s="13"/>
      <c r="Q44" s="13"/>
      <c r="R44" s="13"/>
      <c r="S44" s="32">
        <f>SUM(FR_CH[[#This Row],[26M04]:[26M06]])</f>
        <v>0</v>
      </c>
      <c r="T44" s="69">
        <f>SUM(FR_CH[[#This Row],[26M07]:[26M09]])</f>
        <v>0</v>
      </c>
      <c r="U44" s="69">
        <f>SUM(FR_CH[[#This Row],[26M10]:[26M12]])</f>
        <v>0</v>
      </c>
      <c r="V44" s="256"/>
      <c r="W44" s="256">
        <v>4</v>
      </c>
      <c r="X44" s="256">
        <v>4</v>
      </c>
      <c r="Y44" s="256">
        <v>4</v>
      </c>
      <c r="Z44" s="256">
        <v>4</v>
      </c>
      <c r="AA44" s="256">
        <v>4</v>
      </c>
      <c r="AB44" s="256">
        <f>SUM(FR_CH[[#This Row],[27M01]:[27M03]])</f>
        <v>8</v>
      </c>
      <c r="AC44" s="256">
        <f>SUM(FR_CH[[#This Row],[27M01]:[27M03]])</f>
        <v>8</v>
      </c>
      <c r="AD44" s="256" t="str">
        <f>IF(SUM(FR_CH[[#This Row],[26Q2]:[26Q4]])+SUM(FR_CH[[#This Row],[27Q1]:[27Q2]])=0,"No FSCT",IF(AND(SUM(FR_CH[[#This Row],[26Q2]:[26Q4]])&gt;0,SUM(FR_CH[[#This Row],[27Q1]:[27Q2]])=0),"YES","NO"))</f>
        <v>NO</v>
      </c>
      <c r="AE44" s="120" t="str">
        <f>VLOOKUP(FR_CH[[#This Row],[Product Line]],Prod_T6[],4,0)</f>
        <v>PV</v>
      </c>
    </row>
    <row r="45" spans="1:31" ht="13">
      <c r="A45" s="14" t="s">
        <v>30</v>
      </c>
      <c r="B45" s="1" t="s">
        <v>203</v>
      </c>
      <c r="C45" s="3" t="s">
        <v>240</v>
      </c>
      <c r="D45" s="3" t="str">
        <f>VLOOKUP(FR_CH[[#This Row],[Product Line]],Prod_T6[],5,0)</f>
        <v>TCL</v>
      </c>
      <c r="E45" s="2" t="s">
        <v>54</v>
      </c>
      <c r="F45" s="2" t="s">
        <v>201</v>
      </c>
      <c r="G45" s="1" t="s">
        <v>156</v>
      </c>
      <c r="H45" s="1" t="s">
        <v>248</v>
      </c>
      <c r="I45" s="15" t="s">
        <v>117</v>
      </c>
      <c r="J45" s="13"/>
      <c r="K45" s="13"/>
      <c r="L45" s="13"/>
      <c r="M45" s="13"/>
      <c r="N45" s="13">
        <v>0.84199999999999997</v>
      </c>
      <c r="O45" s="13">
        <v>2.1</v>
      </c>
      <c r="P45" s="13"/>
      <c r="Q45" s="13"/>
      <c r="R45" s="13"/>
      <c r="S45" s="32">
        <f>SUM(FR_CH[[#This Row],[26M04]:[26M06]])</f>
        <v>0</v>
      </c>
      <c r="T45" s="69">
        <f>SUM(FR_CH[[#This Row],[26M07]:[26M09]])</f>
        <v>2.9420000000000002</v>
      </c>
      <c r="U45" s="69">
        <f>SUM(FR_CH[[#This Row],[26M10]:[26M12]])</f>
        <v>0</v>
      </c>
      <c r="V45" s="256"/>
      <c r="W45" s="256"/>
      <c r="X45" s="256"/>
      <c r="Y45" s="256"/>
      <c r="Z45" s="256"/>
      <c r="AA45" s="256"/>
      <c r="AB45" s="256">
        <f>SUM(FR_CH[[#This Row],[27M01]:[27M03]])</f>
        <v>0</v>
      </c>
      <c r="AC45" s="256">
        <f>SUM(FR_CH[[#This Row],[27M01]:[27M03]])</f>
        <v>0</v>
      </c>
      <c r="AD45" s="256" t="str">
        <f>IF(SUM(FR_CH[[#This Row],[26Q2]:[26Q4]])+SUM(FR_CH[[#This Row],[27Q1]:[27Q2]])=0,"No FSCT",IF(AND(SUM(FR_CH[[#This Row],[26Q2]:[26Q4]])&gt;0,SUM(FR_CH[[#This Row],[27Q1]:[27Q2]])=0),"YES","NO"))</f>
        <v>YES</v>
      </c>
      <c r="AE45" s="120" t="str">
        <f>VLOOKUP(FR_CH[[#This Row],[Product Line]],Prod_T6[],4,0)</f>
        <v>PV</v>
      </c>
    </row>
    <row r="46" spans="1:31" ht="14.5">
      <c r="A46" s="14" t="s">
        <v>30</v>
      </c>
      <c r="B46" s="1" t="s">
        <v>203</v>
      </c>
      <c r="C46" s="3" t="s">
        <v>240</v>
      </c>
      <c r="D46" s="3" t="str">
        <f>VLOOKUP(FR_CH[[#This Row],[Product Line]],Prod_T6[],5,0)</f>
        <v>TCL</v>
      </c>
      <c r="E46" s="2" t="s">
        <v>54</v>
      </c>
      <c r="F46" s="2" t="s">
        <v>201</v>
      </c>
      <c r="G46" s="1" t="s">
        <v>156</v>
      </c>
      <c r="H46" s="1" t="s">
        <v>248</v>
      </c>
      <c r="I46" s="15" t="s">
        <v>117</v>
      </c>
      <c r="J46" s="13">
        <v>2.1</v>
      </c>
      <c r="K46" s="13"/>
      <c r="L46" s="13"/>
      <c r="M46" s="13"/>
      <c r="N46" s="13"/>
      <c r="O46" s="13"/>
      <c r="P46" s="13"/>
      <c r="Q46" s="13"/>
      <c r="R46" s="13"/>
      <c r="S46" s="32">
        <f>SUM(FR_CH[[#This Row],[26M04]:[26M06]])</f>
        <v>2.1</v>
      </c>
      <c r="T46" s="69">
        <f>SUM(FR_CH[[#This Row],[26M07]:[26M09]])</f>
        <v>0</v>
      </c>
      <c r="U46" s="69">
        <f>SUM(FR_CH[[#This Row],[26M10]:[26M12]])</f>
        <v>0</v>
      </c>
      <c r="V46" s="256"/>
      <c r="W46" s="256"/>
      <c r="X46" s="256"/>
      <c r="Y46" s="256"/>
      <c r="Z46" s="256"/>
      <c r="AA46" s="256"/>
      <c r="AB46" s="256">
        <f>SUM(FR_CH[[#This Row],[27M01]:[27M03]])</f>
        <v>0</v>
      </c>
      <c r="AC46" s="256">
        <f>SUM(FR_CH[[#This Row],[27M01]:[27M03]])</f>
        <v>0</v>
      </c>
      <c r="AD46" s="256" t="str">
        <f>IF(SUM(FR_CH[[#This Row],[26Q2]:[26Q4]])+SUM(FR_CH[[#This Row],[27Q1]:[27Q2]])=0,"No FSCT",IF(AND(SUM(FR_CH[[#This Row],[26Q2]:[26Q4]])&gt;0,SUM(FR_CH[[#This Row],[27Q1]:[27Q2]])=0),"YES","NO"))</f>
        <v>YES</v>
      </c>
      <c r="AE46" s="85" t="str">
        <f>VLOOKUP(FR_CH[[#This Row],[Product Line]],Prod_T6[],4,0)</f>
        <v>PV</v>
      </c>
    </row>
    <row r="47" spans="1:31" ht="14.5">
      <c r="A47" s="14" t="s">
        <v>30</v>
      </c>
      <c r="B47" s="1" t="s">
        <v>203</v>
      </c>
      <c r="C47" s="3" t="s">
        <v>240</v>
      </c>
      <c r="D47" s="3" t="str">
        <f>VLOOKUP(FR_CH[[#This Row],[Product Line]],Prod_T6[],5,0)</f>
        <v>TCL</v>
      </c>
      <c r="E47" s="2" t="s">
        <v>54</v>
      </c>
      <c r="F47" s="2" t="s">
        <v>193</v>
      </c>
      <c r="G47" s="1" t="s">
        <v>156</v>
      </c>
      <c r="H47" s="1" t="s">
        <v>248</v>
      </c>
      <c r="I47" s="15" t="s">
        <v>117</v>
      </c>
      <c r="J47" s="72">
        <v>2.129</v>
      </c>
      <c r="K47" s="13"/>
      <c r="L47" s="13"/>
      <c r="M47" s="13"/>
      <c r="N47" s="13"/>
      <c r="O47" s="13"/>
      <c r="P47" s="13"/>
      <c r="Q47" s="13"/>
      <c r="R47" s="13"/>
      <c r="S47" s="32">
        <f>SUM(FR_CH[[#This Row],[26M04]:[26M06]])</f>
        <v>2.129</v>
      </c>
      <c r="T47" s="69">
        <f>SUM(FR_CH[[#This Row],[26M07]:[26M09]])</f>
        <v>0</v>
      </c>
      <c r="U47" s="69">
        <f>SUM(FR_CH[[#This Row],[26M10]:[26M12]])</f>
        <v>0</v>
      </c>
      <c r="V47" s="256"/>
      <c r="W47" s="256"/>
      <c r="X47" s="256"/>
      <c r="Y47" s="256"/>
      <c r="Z47" s="256"/>
      <c r="AA47" s="256"/>
      <c r="AB47" s="256">
        <f>SUM(FR_CH[[#This Row],[27M01]:[27M03]])</f>
        <v>0</v>
      </c>
      <c r="AC47" s="256">
        <f>SUM(FR_CH[[#This Row],[27M01]:[27M03]])</f>
        <v>0</v>
      </c>
      <c r="AD47" s="256" t="str">
        <f>IF(SUM(FR_CH[[#This Row],[26Q2]:[26Q4]])+SUM(FR_CH[[#This Row],[27Q1]:[27Q2]])=0,"No FSCT",IF(AND(SUM(FR_CH[[#This Row],[26Q2]:[26Q4]])&gt;0,SUM(FR_CH[[#This Row],[27Q1]:[27Q2]])=0),"YES","NO"))</f>
        <v>YES</v>
      </c>
      <c r="AE47" s="85" t="str">
        <f>VLOOKUP(FR_CH[[#This Row],[Product Line]],Prod_T6[],4,0)</f>
        <v>PV</v>
      </c>
    </row>
    <row r="48" spans="1:31" ht="14.5">
      <c r="A48" s="14" t="s">
        <v>30</v>
      </c>
      <c r="B48" s="1" t="s">
        <v>203</v>
      </c>
      <c r="C48" s="3" t="s">
        <v>246</v>
      </c>
      <c r="D48" s="3" t="str">
        <f>VLOOKUP(FR_CH[[#This Row],[Product Line]],Prod_T6[],5,0)</f>
        <v>TCL</v>
      </c>
      <c r="E48" s="2" t="s">
        <v>149</v>
      </c>
      <c r="F48" s="2" t="s">
        <v>187</v>
      </c>
      <c r="G48" s="1" t="s">
        <v>115</v>
      </c>
      <c r="H48" s="1" t="s">
        <v>247</v>
      </c>
      <c r="I48" s="15" t="s">
        <v>117</v>
      </c>
      <c r="J48" s="13"/>
      <c r="K48" s="13"/>
      <c r="L48" s="13"/>
      <c r="M48" s="13"/>
      <c r="N48" s="13"/>
      <c r="O48" s="13"/>
      <c r="P48" s="13"/>
      <c r="Q48" s="13"/>
      <c r="R48" s="13"/>
      <c r="S48" s="32">
        <f>SUM(FR_CH[[#This Row],[26M04]:[26M06]])</f>
        <v>0</v>
      </c>
      <c r="T48" s="69">
        <f>SUM(FR_CH[[#This Row],[26M07]:[26M09]])</f>
        <v>0</v>
      </c>
      <c r="U48" s="69">
        <f>SUM(FR_CH[[#This Row],[26M10]:[26M12]])</f>
        <v>0</v>
      </c>
      <c r="V48" s="256"/>
      <c r="W48" s="256">
        <v>4</v>
      </c>
      <c r="X48" s="256">
        <v>4</v>
      </c>
      <c r="Y48" s="256"/>
      <c r="Z48" s="256"/>
      <c r="AA48" s="256"/>
      <c r="AB48" s="256">
        <f>SUM(FR_CH[[#This Row],[27M01]:[27M03]])</f>
        <v>8</v>
      </c>
      <c r="AC48" s="256">
        <f>SUM(FR_CH[[#This Row],[27M01]:[27M03]])</f>
        <v>8</v>
      </c>
      <c r="AD48" s="256" t="str">
        <f>IF(SUM(FR_CH[[#This Row],[26Q2]:[26Q4]])+SUM(FR_CH[[#This Row],[27Q1]:[27Q2]])=0,"No FSCT",IF(AND(SUM(FR_CH[[#This Row],[26Q2]:[26Q4]])&gt;0,SUM(FR_CH[[#This Row],[27Q1]:[27Q2]])=0),"YES","NO"))</f>
        <v>NO</v>
      </c>
      <c r="AE48" s="85" t="str">
        <f>VLOOKUP(FR_CH[[#This Row],[Product Line]],Prod_T6[],4,0)</f>
        <v>PV</v>
      </c>
    </row>
    <row r="49" spans="1:34" ht="14.5">
      <c r="A49" s="14" t="s">
        <v>30</v>
      </c>
      <c r="B49" s="1" t="s">
        <v>203</v>
      </c>
      <c r="C49" s="3" t="s">
        <v>244</v>
      </c>
      <c r="D49" s="3" t="str">
        <f>VLOOKUP(FR_CH[[#This Row],[Product Line]],Prod_T6[],5,0)</f>
        <v>TCL</v>
      </c>
      <c r="E49" s="2" t="s">
        <v>149</v>
      </c>
      <c r="F49" s="2" t="s">
        <v>187</v>
      </c>
      <c r="G49" s="1" t="s">
        <v>115</v>
      </c>
      <c r="H49" s="1" t="s">
        <v>245</v>
      </c>
      <c r="I49" s="15" t="s">
        <v>117</v>
      </c>
      <c r="J49" s="13"/>
      <c r="K49" s="13"/>
      <c r="L49" s="13"/>
      <c r="M49" s="13"/>
      <c r="N49" s="13"/>
      <c r="O49" s="13"/>
      <c r="P49" s="13"/>
      <c r="Q49" s="13"/>
      <c r="R49" s="13"/>
      <c r="S49" s="32">
        <f>SUM(FR_CH[[#This Row],[26M04]:[26M06]])</f>
        <v>0</v>
      </c>
      <c r="T49" s="69">
        <f>SUM(FR_CH[[#This Row],[26M07]:[26M09]])</f>
        <v>0</v>
      </c>
      <c r="U49" s="69">
        <f>SUM(FR_CH[[#This Row],[26M10]:[26M12]])</f>
        <v>0</v>
      </c>
      <c r="V49" s="256">
        <v>5</v>
      </c>
      <c r="W49" s="256">
        <v>5</v>
      </c>
      <c r="X49" s="256">
        <v>5</v>
      </c>
      <c r="Y49" s="256">
        <v>5</v>
      </c>
      <c r="Z49" s="256">
        <v>5</v>
      </c>
      <c r="AA49" s="256">
        <v>5</v>
      </c>
      <c r="AB49" s="256">
        <f>SUM(FR_CH[[#This Row],[27M01]:[27M03]])</f>
        <v>15</v>
      </c>
      <c r="AC49" s="256">
        <f>SUM(FR_CH[[#This Row],[27M01]:[27M03]])</f>
        <v>15</v>
      </c>
      <c r="AD49" s="256" t="str">
        <f>IF(SUM(FR_CH[[#This Row],[26Q2]:[26Q4]])+SUM(FR_CH[[#This Row],[27Q1]:[27Q2]])=0,"No FSCT",IF(AND(SUM(FR_CH[[#This Row],[26Q2]:[26Q4]])&gt;0,SUM(FR_CH[[#This Row],[27Q1]:[27Q2]])=0),"YES","NO"))</f>
        <v>NO</v>
      </c>
      <c r="AE49" s="85" t="str">
        <f>VLOOKUP(FR_CH[[#This Row],[Product Line]],Prod_T6[],4,0)</f>
        <v>PV</v>
      </c>
    </row>
    <row r="50" spans="1:34" ht="13">
      <c r="A50" s="14" t="s">
        <v>30</v>
      </c>
      <c r="B50" s="1" t="s">
        <v>203</v>
      </c>
      <c r="C50" s="3" t="s">
        <v>242</v>
      </c>
      <c r="D50" s="3" t="str">
        <f>VLOOKUP(FR_CH[[#This Row],[Product Line]],Prod_T6[],5,0)</f>
        <v>TCL</v>
      </c>
      <c r="E50" s="2" t="s">
        <v>149</v>
      </c>
      <c r="F50" s="2" t="s">
        <v>187</v>
      </c>
      <c r="G50" s="1" t="s">
        <v>115</v>
      </c>
      <c r="H50" s="1" t="s">
        <v>243</v>
      </c>
      <c r="I50" s="15" t="s">
        <v>117</v>
      </c>
      <c r="J50" s="13"/>
      <c r="K50" s="13"/>
      <c r="L50" s="13"/>
      <c r="M50" s="13"/>
      <c r="N50" s="13"/>
      <c r="O50" s="13"/>
      <c r="P50" s="13"/>
      <c r="Q50" s="13"/>
      <c r="R50" s="13"/>
      <c r="S50" s="32">
        <f>SUM(FR_CH[[#This Row],[26M04]:[26M06]])</f>
        <v>0</v>
      </c>
      <c r="T50" s="69">
        <f>SUM(FR_CH[[#This Row],[26M07]:[26M09]])</f>
        <v>0</v>
      </c>
      <c r="U50" s="69">
        <f>SUM(FR_CH[[#This Row],[26M10]:[26M12]])</f>
        <v>0</v>
      </c>
      <c r="V50" s="256">
        <v>4</v>
      </c>
      <c r="W50" s="256">
        <v>4</v>
      </c>
      <c r="X50" s="256">
        <v>4</v>
      </c>
      <c r="Y50" s="256">
        <v>4</v>
      </c>
      <c r="Z50" s="256">
        <v>4</v>
      </c>
      <c r="AA50" s="256">
        <v>4</v>
      </c>
      <c r="AB50" s="256">
        <f>SUM(FR_CH[[#This Row],[27M01]:[27M03]])</f>
        <v>12</v>
      </c>
      <c r="AC50" s="256">
        <f>SUM(FR_CH[[#This Row],[27M01]:[27M03]])</f>
        <v>12</v>
      </c>
      <c r="AD50" s="256" t="str">
        <f>IF(SUM(FR_CH[[#This Row],[26Q2]:[26Q4]])+SUM(FR_CH[[#This Row],[27Q1]:[27Q2]])=0,"No FSCT",IF(AND(SUM(FR_CH[[#This Row],[26Q2]:[26Q4]])&gt;0,SUM(FR_CH[[#This Row],[27Q1]:[27Q2]])=0),"YES","NO"))</f>
        <v>NO</v>
      </c>
      <c r="AE50" s="120" t="str">
        <f>VLOOKUP(FR_CH[[#This Row],[Product Line]],Prod_T6[],4,0)</f>
        <v>PV</v>
      </c>
    </row>
    <row r="51" spans="1:34" ht="14.5">
      <c r="A51" s="14" t="s">
        <v>30</v>
      </c>
      <c r="B51" s="1" t="s">
        <v>203</v>
      </c>
      <c r="C51" s="276" t="s">
        <v>240</v>
      </c>
      <c r="D51" s="3" t="str">
        <f>VLOOKUP(FR_CH[[#This Row],[Product Line]],Prod_T6[],5,0)</f>
        <v>TCL</v>
      </c>
      <c r="E51" s="2" t="s">
        <v>149</v>
      </c>
      <c r="F51" s="2" t="s">
        <v>187</v>
      </c>
      <c r="G51" s="1" t="s">
        <v>115</v>
      </c>
      <c r="H51" s="1" t="s">
        <v>241</v>
      </c>
      <c r="I51" s="15" t="s">
        <v>117</v>
      </c>
      <c r="J51" s="13"/>
      <c r="K51" s="13"/>
      <c r="L51" s="13"/>
      <c r="M51" s="13"/>
      <c r="N51" s="13"/>
      <c r="O51" s="13"/>
      <c r="P51" s="13"/>
      <c r="Q51" s="13">
        <v>4</v>
      </c>
      <c r="R51" s="13">
        <v>4</v>
      </c>
      <c r="S51" s="32">
        <f>SUM(FR_CH[[#This Row],[26M04]:[26M06]])</f>
        <v>0</v>
      </c>
      <c r="T51" s="69">
        <f>SUM(FR_CH[[#This Row],[26M07]:[26M09]])</f>
        <v>0</v>
      </c>
      <c r="U51" s="69">
        <f>SUM(FR_CH[[#This Row],[26M10]:[26M12]])</f>
        <v>8</v>
      </c>
      <c r="V51" s="256">
        <v>5</v>
      </c>
      <c r="W51" s="256">
        <v>5</v>
      </c>
      <c r="X51" s="256">
        <v>5</v>
      </c>
      <c r="Y51" s="256">
        <v>5</v>
      </c>
      <c r="Z51" s="256">
        <v>5</v>
      </c>
      <c r="AA51" s="256">
        <v>5</v>
      </c>
      <c r="AB51" s="256">
        <f>SUM(FR_CH[[#This Row],[27M01]:[27M03]])</f>
        <v>15</v>
      </c>
      <c r="AC51" s="256">
        <f>SUM(FR_CH[[#This Row],[27M01]:[27M03]])</f>
        <v>15</v>
      </c>
      <c r="AD51" s="256" t="str">
        <f>IF(SUM(FR_CH[[#This Row],[26Q2]:[26Q4]])+SUM(FR_CH[[#This Row],[27Q1]:[27Q2]])=0,"No FSCT",IF(AND(SUM(FR_CH[[#This Row],[26Q2]:[26Q4]])&gt;0,SUM(FR_CH[[#This Row],[27Q1]:[27Q2]])=0),"YES","NO"))</f>
        <v>NO</v>
      </c>
      <c r="AE51" s="85" t="str">
        <f>VLOOKUP(FR_CH[[#This Row],[Product Line]],Prod_T6[],4,0)</f>
        <v>PV</v>
      </c>
    </row>
    <row r="52" spans="1:34" ht="14.5">
      <c r="A52" s="14" t="s">
        <v>30</v>
      </c>
      <c r="B52" s="1" t="s">
        <v>203</v>
      </c>
      <c r="C52" s="3" t="s">
        <v>238</v>
      </c>
      <c r="D52" s="3" t="str">
        <f>VLOOKUP(FR_CH[[#This Row],[Product Line]],Prod_T6[],5,0)</f>
        <v>TCL</v>
      </c>
      <c r="E52" s="2" t="s">
        <v>113</v>
      </c>
      <c r="F52" s="2" t="s">
        <v>208</v>
      </c>
      <c r="G52" s="1" t="s">
        <v>115</v>
      </c>
      <c r="H52" s="1" t="s">
        <v>239</v>
      </c>
      <c r="I52" s="15" t="s">
        <v>117</v>
      </c>
      <c r="J52" s="13"/>
      <c r="K52" s="13"/>
      <c r="L52" s="13"/>
      <c r="M52" s="13"/>
      <c r="N52" s="13"/>
      <c r="O52" s="13"/>
      <c r="P52" s="13"/>
      <c r="Q52" s="13"/>
      <c r="R52" s="13"/>
      <c r="S52" s="32">
        <f>SUM(FR_CH[[#This Row],[26M04]:[26M06]])</f>
        <v>0</v>
      </c>
      <c r="T52" s="69">
        <f>SUM(FR_CH[[#This Row],[26M07]:[26M09]])</f>
        <v>0</v>
      </c>
      <c r="U52" s="69">
        <f>SUM(FR_CH[[#This Row],[26M10]:[26M12]])</f>
        <v>0</v>
      </c>
      <c r="V52" s="256">
        <v>5</v>
      </c>
      <c r="W52" s="256">
        <v>5</v>
      </c>
      <c r="X52" s="256">
        <v>5</v>
      </c>
      <c r="Y52" s="256">
        <v>5</v>
      </c>
      <c r="Z52" s="256">
        <v>5</v>
      </c>
      <c r="AA52" s="256">
        <v>5</v>
      </c>
      <c r="AB52" s="256">
        <f>SUM(FR_CH[[#This Row],[27M01]:[27M03]])</f>
        <v>15</v>
      </c>
      <c r="AC52" s="256">
        <f>SUM(FR_CH[[#This Row],[27M01]:[27M03]])</f>
        <v>15</v>
      </c>
      <c r="AD52" s="256" t="str">
        <f>IF(SUM(FR_CH[[#This Row],[26Q2]:[26Q4]])+SUM(FR_CH[[#This Row],[27Q1]:[27Q2]])=0,"No FSCT",IF(AND(SUM(FR_CH[[#This Row],[26Q2]:[26Q4]])&gt;0,SUM(FR_CH[[#This Row],[27Q1]:[27Q2]])=0),"YES","NO"))</f>
        <v>NO</v>
      </c>
      <c r="AE52" s="85" t="str">
        <f>VLOOKUP(FR_CH[[#This Row],[Product Line]],Prod_T6[],4,0)</f>
        <v>PV</v>
      </c>
    </row>
    <row r="53" spans="1:34" ht="14.25" customHeight="1">
      <c r="A53" s="14" t="s">
        <v>30</v>
      </c>
      <c r="B53" s="1" t="s">
        <v>190</v>
      </c>
      <c r="C53" s="3" t="s">
        <v>186</v>
      </c>
      <c r="D53" s="3" t="str">
        <f>VLOOKUP(FR_CH[[#This Row],[Product Line]],Prod_T6[],5,0)</f>
        <v>TCL</v>
      </c>
      <c r="E53" s="2" t="s">
        <v>54</v>
      </c>
      <c r="F53" s="2" t="s">
        <v>121</v>
      </c>
      <c r="G53" s="1" t="s">
        <v>120</v>
      </c>
      <c r="I53" s="15" t="s">
        <v>117</v>
      </c>
      <c r="J53" s="13">
        <v>0.6</v>
      </c>
      <c r="K53" s="13">
        <v>1</v>
      </c>
      <c r="L53" s="13">
        <v>1</v>
      </c>
      <c r="M53" s="13">
        <v>0.6</v>
      </c>
      <c r="N53" s="13">
        <v>0.4</v>
      </c>
      <c r="O53" s="13">
        <v>0.8</v>
      </c>
      <c r="P53" s="13">
        <v>0.4</v>
      </c>
      <c r="Q53" s="13">
        <v>0.4</v>
      </c>
      <c r="R53" s="13">
        <v>0.4</v>
      </c>
      <c r="S53" s="32">
        <f>SUM(FR_CH[[#This Row],[26M04]:[26M06]])</f>
        <v>2.6</v>
      </c>
      <c r="T53" s="69">
        <f>SUM(FR_CH[[#This Row],[26M07]:[26M09]])</f>
        <v>1.8</v>
      </c>
      <c r="U53" s="69">
        <f>SUM(FR_CH[[#This Row],[26M10]:[26M12]])</f>
        <v>1.2000000000000002</v>
      </c>
      <c r="V53" s="256"/>
      <c r="W53" s="256"/>
      <c r="X53" s="256"/>
      <c r="Y53" s="256"/>
      <c r="Z53" s="256"/>
      <c r="AA53" s="256"/>
      <c r="AB53" s="256">
        <f>SUM(FR_CH[[#This Row],[27M01]:[27M03]])</f>
        <v>0</v>
      </c>
      <c r="AC53" s="256">
        <f>SUM(FR_CH[[#This Row],[27M01]:[27M03]])</f>
        <v>0</v>
      </c>
      <c r="AD53" s="256" t="str">
        <f>IF(SUM(FR_CH[[#This Row],[26Q2]:[26Q4]])+SUM(FR_CH[[#This Row],[27Q1]:[27Q2]])=0,"No FSCT",IF(AND(SUM(FR_CH[[#This Row],[26Q2]:[26Q4]])&gt;0,SUM(FR_CH[[#This Row],[27Q1]:[27Q2]])=0),"YES","NO"))</f>
        <v>YES</v>
      </c>
      <c r="AE53" s="85" t="str">
        <f>VLOOKUP(FR_CH[[#This Row],[Product Line]],Prod_T6[],4,0)</f>
        <v>PV</v>
      </c>
    </row>
    <row r="54" spans="1:34" ht="14.25" customHeight="1">
      <c r="A54" s="14" t="s">
        <v>30</v>
      </c>
      <c r="B54" s="1" t="s">
        <v>189</v>
      </c>
      <c r="C54" s="3" t="s">
        <v>186</v>
      </c>
      <c r="D54" s="3" t="str">
        <f>VLOOKUP(FR_CH[[#This Row],[Product Line]],Prod_T6[],5,0)</f>
        <v>TCL</v>
      </c>
      <c r="E54" s="2" t="s">
        <v>54</v>
      </c>
      <c r="F54" s="2" t="s">
        <v>201</v>
      </c>
      <c r="G54" s="1" t="s">
        <v>120</v>
      </c>
      <c r="I54" s="15" t="s">
        <v>117</v>
      </c>
      <c r="J54" s="13">
        <v>0.8</v>
      </c>
      <c r="K54" s="13">
        <v>0.4</v>
      </c>
      <c r="L54" s="13">
        <v>0.4</v>
      </c>
      <c r="M54" s="13">
        <v>0.8</v>
      </c>
      <c r="N54" s="13">
        <v>0.4</v>
      </c>
      <c r="O54" s="13">
        <v>0</v>
      </c>
      <c r="P54" s="13">
        <v>0</v>
      </c>
      <c r="Q54" s="13">
        <v>0</v>
      </c>
      <c r="R54" s="13">
        <v>0</v>
      </c>
      <c r="S54" s="32">
        <f>SUM(FR_CH[[#This Row],[26M04]:[26M06]])</f>
        <v>1.6</v>
      </c>
      <c r="T54" s="69">
        <f>SUM(FR_CH[[#This Row],[26M07]:[26M09]])</f>
        <v>1.2000000000000002</v>
      </c>
      <c r="U54" s="69">
        <f>SUM(FR_CH[[#This Row],[26M10]:[26M12]])</f>
        <v>0</v>
      </c>
      <c r="V54" s="256"/>
      <c r="W54" s="256"/>
      <c r="X54" s="256"/>
      <c r="Y54" s="256"/>
      <c r="Z54" s="256"/>
      <c r="AA54" s="256"/>
      <c r="AB54" s="256">
        <f>SUM(FR_CH[[#This Row],[27M01]:[27M03]])</f>
        <v>0</v>
      </c>
      <c r="AC54" s="256">
        <f>SUM(FR_CH[[#This Row],[27M01]:[27M03]])</f>
        <v>0</v>
      </c>
      <c r="AD54" s="256" t="str">
        <f>IF(SUM(FR_CH[[#This Row],[26Q2]:[26Q4]])+SUM(FR_CH[[#This Row],[27Q1]:[27Q2]])=0,"No FSCT",IF(AND(SUM(FR_CH[[#This Row],[26Q2]:[26Q4]])&gt;0,SUM(FR_CH[[#This Row],[27Q1]:[27Q2]])=0),"YES","NO"))</f>
        <v>YES</v>
      </c>
      <c r="AE54" s="85" t="str">
        <f>VLOOKUP(FR_CH[[#This Row],[Product Line]],Prod_T6[],4,0)</f>
        <v>PV</v>
      </c>
    </row>
    <row r="55" spans="1:34" ht="14.25" customHeight="1">
      <c r="A55" s="14" t="s">
        <v>30</v>
      </c>
      <c r="B55" s="1" t="s">
        <v>189</v>
      </c>
      <c r="C55" s="3" t="s">
        <v>186</v>
      </c>
      <c r="D55" s="3" t="str">
        <f>VLOOKUP(FR_CH[[#This Row],[Product Line]],Prod_T6[],5,0)</f>
        <v>TCL</v>
      </c>
      <c r="E55" s="2" t="s">
        <v>54</v>
      </c>
      <c r="F55" s="2" t="s">
        <v>202</v>
      </c>
      <c r="G55" s="1" t="s">
        <v>120</v>
      </c>
      <c r="I55" s="15" t="s">
        <v>117</v>
      </c>
      <c r="J55" s="13">
        <v>0.8</v>
      </c>
      <c r="K55" s="13">
        <v>0.8</v>
      </c>
      <c r="L55" s="13">
        <v>0.8</v>
      </c>
      <c r="M55" s="13">
        <v>0.8</v>
      </c>
      <c r="N55" s="13">
        <v>0.8</v>
      </c>
      <c r="O55" s="13">
        <v>0.8</v>
      </c>
      <c r="P55" s="13">
        <v>0.8</v>
      </c>
      <c r="Q55" s="13">
        <v>0.8</v>
      </c>
      <c r="R55" s="13">
        <v>0.8</v>
      </c>
      <c r="S55" s="32">
        <f>SUM(FR_CH[[#This Row],[26M04]:[26M06]])</f>
        <v>2.4000000000000004</v>
      </c>
      <c r="T55" s="69">
        <f>SUM(FR_CH[[#This Row],[26M07]:[26M09]])</f>
        <v>2.4000000000000004</v>
      </c>
      <c r="U55" s="69">
        <f>SUM(FR_CH[[#This Row],[26M10]:[26M12]])</f>
        <v>2.4000000000000004</v>
      </c>
      <c r="V55" s="256"/>
      <c r="W55" s="256"/>
      <c r="X55" s="256"/>
      <c r="Y55" s="256"/>
      <c r="Z55" s="256"/>
      <c r="AA55" s="256"/>
      <c r="AB55" s="256">
        <f>SUM(FR_CH[[#This Row],[27M01]:[27M03]])</f>
        <v>0</v>
      </c>
      <c r="AC55" s="256">
        <f>SUM(FR_CH[[#This Row],[27M01]:[27M03]])</f>
        <v>0</v>
      </c>
      <c r="AD55" s="256" t="str">
        <f>IF(SUM(FR_CH[[#This Row],[26Q2]:[26Q4]])+SUM(FR_CH[[#This Row],[27Q1]:[27Q2]])=0,"No FSCT",IF(AND(SUM(FR_CH[[#This Row],[26Q2]:[26Q4]])&gt;0,SUM(FR_CH[[#This Row],[27Q1]:[27Q2]])=0),"YES","NO"))</f>
        <v>YES</v>
      </c>
      <c r="AE55" s="85" t="str">
        <f>VLOOKUP(FR_CH[[#This Row],[Product Line]],Prod_T6[],4,0)</f>
        <v>PV</v>
      </c>
    </row>
    <row r="56" spans="1:34" ht="14.25" customHeight="1">
      <c r="A56" s="29" t="s">
        <v>30</v>
      </c>
      <c r="B56" s="1" t="s">
        <v>188</v>
      </c>
      <c r="C56" s="3" t="s">
        <v>186</v>
      </c>
      <c r="D56" s="3" t="str">
        <f>VLOOKUP(FR_CH[[#This Row],[Product Line]],Prod_T6[],5,0)</f>
        <v>Sunpower</v>
      </c>
      <c r="E56" s="2" t="s">
        <v>197</v>
      </c>
      <c r="F56" s="2" t="s">
        <v>59</v>
      </c>
      <c r="G56" s="1" t="s">
        <v>120</v>
      </c>
      <c r="I56" s="15" t="s">
        <v>117</v>
      </c>
      <c r="J56" s="13">
        <v>12</v>
      </c>
      <c r="K56" s="13">
        <v>0</v>
      </c>
      <c r="L56" s="13">
        <v>0</v>
      </c>
      <c r="M56" s="13">
        <v>40</v>
      </c>
      <c r="N56" s="13">
        <v>8</v>
      </c>
      <c r="O56" s="13">
        <v>25</v>
      </c>
      <c r="P56" s="13">
        <v>25</v>
      </c>
      <c r="Q56" s="13">
        <v>25</v>
      </c>
      <c r="R56" s="13">
        <v>25</v>
      </c>
      <c r="S56" s="32">
        <f>SUM(FR_CH[[#This Row],[26M04]:[26M06]])</f>
        <v>12</v>
      </c>
      <c r="T56" s="69">
        <f>SUM(FR_CH[[#This Row],[26M07]:[26M09]])</f>
        <v>73</v>
      </c>
      <c r="U56" s="69">
        <f>SUM(FR_CH[[#This Row],[26M10]:[26M12]])</f>
        <v>75</v>
      </c>
      <c r="V56" s="256"/>
      <c r="W56" s="256"/>
      <c r="X56" s="256"/>
      <c r="Y56" s="256"/>
      <c r="Z56" s="256"/>
      <c r="AA56" s="256"/>
      <c r="AB56" s="256">
        <f>SUM(FR_CH[[#This Row],[27M01]:[27M03]])</f>
        <v>0</v>
      </c>
      <c r="AC56" s="256">
        <f>SUM(FR_CH[[#This Row],[27M01]:[27M03]])</f>
        <v>0</v>
      </c>
      <c r="AD56" s="256" t="str">
        <f>IF(SUM(FR_CH[[#This Row],[26Q2]:[26Q4]])+SUM(FR_CH[[#This Row],[27Q1]:[27Q2]])=0,"No FSCT",IF(AND(SUM(FR_CH[[#This Row],[26Q2]:[26Q4]])&gt;0,SUM(FR_CH[[#This Row],[27Q1]:[27Q2]])=0),"YES","NO"))</f>
        <v>YES</v>
      </c>
      <c r="AE56" s="85" t="str">
        <f>VLOOKUP(FR_CH[[#This Row],[Product Line]],Prod_T6[],4,0)</f>
        <v>ESS</v>
      </c>
    </row>
    <row r="57" spans="1:34" ht="14.25" customHeight="1">
      <c r="A57" s="29" t="s">
        <v>30</v>
      </c>
      <c r="B57" s="1" t="s">
        <v>188</v>
      </c>
      <c r="C57" s="3" t="s">
        <v>186</v>
      </c>
      <c r="D57" s="3" t="str">
        <f>VLOOKUP(FR_CH[[#This Row],[Product Line]],Prod_T6[],5,0)</f>
        <v>Sunpower</v>
      </c>
      <c r="E57" s="2" t="s">
        <v>197</v>
      </c>
      <c r="F57" s="2" t="s">
        <v>58</v>
      </c>
      <c r="G57" s="1" t="s">
        <v>120</v>
      </c>
      <c r="I57" s="15" t="s">
        <v>117</v>
      </c>
      <c r="J57" s="13">
        <v>8</v>
      </c>
      <c r="K57" s="13">
        <v>0</v>
      </c>
      <c r="L57" s="13">
        <v>0</v>
      </c>
      <c r="M57" s="13">
        <v>8</v>
      </c>
      <c r="N57" s="13"/>
      <c r="O57" s="13">
        <v>5</v>
      </c>
      <c r="P57" s="13">
        <v>5</v>
      </c>
      <c r="Q57" s="13">
        <v>5</v>
      </c>
      <c r="R57" s="13">
        <v>5</v>
      </c>
      <c r="S57" s="32">
        <f>SUM(FR_CH[[#This Row],[26M04]:[26M06]])</f>
        <v>8</v>
      </c>
      <c r="T57" s="69">
        <f>SUM(FR_CH[[#This Row],[26M07]:[26M09]])</f>
        <v>13</v>
      </c>
      <c r="U57" s="69">
        <f>SUM(FR_CH[[#This Row],[26M10]:[26M12]])</f>
        <v>15</v>
      </c>
      <c r="V57" s="256"/>
      <c r="W57" s="256"/>
      <c r="X57" s="256"/>
      <c r="Y57" s="256"/>
      <c r="Z57" s="256"/>
      <c r="AA57" s="256"/>
      <c r="AB57" s="256">
        <f>SUM(FR_CH[[#This Row],[27M01]:[27M03]])</f>
        <v>0</v>
      </c>
      <c r="AC57" s="256">
        <f>SUM(FR_CH[[#This Row],[27M01]:[27M03]])</f>
        <v>0</v>
      </c>
      <c r="AD57" s="256" t="str">
        <f>IF(SUM(FR_CH[[#This Row],[26Q2]:[26Q4]])+SUM(FR_CH[[#This Row],[27Q1]:[27Q2]])=0,"No FSCT",IF(AND(SUM(FR_CH[[#This Row],[26Q2]:[26Q4]])&gt;0,SUM(FR_CH[[#This Row],[27Q1]:[27Q2]])=0),"YES","NO"))</f>
        <v>YES</v>
      </c>
      <c r="AE57" s="85" t="str">
        <f>VLOOKUP(FR_CH[[#This Row],[Product Line]],Prod_T6[],4,0)</f>
        <v>ESS</v>
      </c>
    </row>
    <row r="58" spans="1:34" ht="14.25" customHeight="1">
      <c r="A58" s="29" t="s">
        <v>30</v>
      </c>
      <c r="B58" s="1" t="s">
        <v>188</v>
      </c>
      <c r="C58" s="3" t="s">
        <v>186</v>
      </c>
      <c r="D58" s="3" t="str">
        <f>VLOOKUP(FR_CH[[#This Row],[Product Line]],Prod_T6[],5,0)</f>
        <v>Sunpower</v>
      </c>
      <c r="E58" s="2" t="s">
        <v>197</v>
      </c>
      <c r="F58" s="2" t="s">
        <v>61</v>
      </c>
      <c r="G58" s="1" t="s">
        <v>120</v>
      </c>
      <c r="I58" s="15" t="s">
        <v>117</v>
      </c>
      <c r="J58" s="13">
        <v>4</v>
      </c>
      <c r="K58" s="13">
        <v>0</v>
      </c>
      <c r="L58" s="13">
        <v>0</v>
      </c>
      <c r="M58" s="13">
        <v>8</v>
      </c>
      <c r="N58" s="13">
        <v>0</v>
      </c>
      <c r="O58" s="13">
        <v>3</v>
      </c>
      <c r="P58" s="13">
        <v>3</v>
      </c>
      <c r="Q58" s="13">
        <v>3</v>
      </c>
      <c r="R58" s="13">
        <v>3</v>
      </c>
      <c r="S58" s="32">
        <f>SUM(FR_CH[[#This Row],[26M04]:[26M06]])</f>
        <v>4</v>
      </c>
      <c r="T58" s="69">
        <f>SUM(FR_CH[[#This Row],[26M07]:[26M09]])</f>
        <v>11</v>
      </c>
      <c r="U58" s="69">
        <f>SUM(FR_CH[[#This Row],[26M10]:[26M12]])</f>
        <v>9</v>
      </c>
      <c r="V58" s="256"/>
      <c r="W58" s="256"/>
      <c r="X58" s="256"/>
      <c r="Y58" s="256"/>
      <c r="Z58" s="256"/>
      <c r="AA58" s="256"/>
      <c r="AB58" s="256">
        <f>SUM(FR_CH[[#This Row],[27M01]:[27M03]])</f>
        <v>0</v>
      </c>
      <c r="AC58" s="256">
        <f>SUM(FR_CH[[#This Row],[27M01]:[27M03]])</f>
        <v>0</v>
      </c>
      <c r="AD58" s="256" t="str">
        <f>IF(SUM(FR_CH[[#This Row],[26Q2]:[26Q4]])+SUM(FR_CH[[#This Row],[27Q1]:[27Q2]])=0,"No FSCT",IF(AND(SUM(FR_CH[[#This Row],[26Q2]:[26Q4]])&gt;0,SUM(FR_CH[[#This Row],[27Q1]:[27Q2]])=0),"YES","NO"))</f>
        <v>YES</v>
      </c>
      <c r="AE58" s="85" t="str">
        <f>VLOOKUP(FR_CH[[#This Row],[Product Line]],Prod_T6[],4,0)</f>
        <v>ESS</v>
      </c>
      <c r="AH58" s="3"/>
    </row>
    <row r="59" spans="1:34" ht="14.25" customHeight="1">
      <c r="A59" s="29" t="s">
        <v>30</v>
      </c>
      <c r="B59" s="1" t="s">
        <v>188</v>
      </c>
      <c r="D59" s="3" t="str">
        <f>VLOOKUP(FR_CH[[#This Row],[Product Line]],Prod_T6[],5,0)</f>
        <v>Sunpower</v>
      </c>
      <c r="E59" s="2" t="s">
        <v>197</v>
      </c>
      <c r="F59" s="2" t="s">
        <v>62</v>
      </c>
      <c r="G59" s="1" t="s">
        <v>120</v>
      </c>
      <c r="I59" s="15" t="s">
        <v>117</v>
      </c>
      <c r="J59" s="13">
        <v>4</v>
      </c>
      <c r="K59" s="13">
        <v>0</v>
      </c>
      <c r="L59" s="13">
        <v>0</v>
      </c>
      <c r="M59" s="13">
        <v>0</v>
      </c>
      <c r="N59" s="13">
        <v>2</v>
      </c>
      <c r="O59" s="13">
        <v>2</v>
      </c>
      <c r="P59" s="13">
        <v>2</v>
      </c>
      <c r="Q59" s="13">
        <v>2</v>
      </c>
      <c r="R59" s="13">
        <v>2</v>
      </c>
      <c r="S59" s="32">
        <f>SUM(FR_CH[[#This Row],[26M04]:[26M06]])</f>
        <v>4</v>
      </c>
      <c r="T59" s="69">
        <f>SUM(FR_CH[[#This Row],[26M07]:[26M09]])</f>
        <v>4</v>
      </c>
      <c r="U59" s="69">
        <f>SUM(FR_CH[[#This Row],[26M10]:[26M12]])</f>
        <v>6</v>
      </c>
      <c r="V59" s="256"/>
      <c r="W59" s="256"/>
      <c r="X59" s="256"/>
      <c r="Y59" s="256"/>
      <c r="Z59" s="256"/>
      <c r="AA59" s="256"/>
      <c r="AB59" s="256">
        <f>SUM(FR_CH[[#This Row],[27M01]:[27M03]])</f>
        <v>0</v>
      </c>
      <c r="AC59" s="256">
        <f>SUM(FR_CH[[#This Row],[27M01]:[27M03]])</f>
        <v>0</v>
      </c>
      <c r="AD59" s="256" t="str">
        <f>IF(SUM(FR_CH[[#This Row],[26Q2]:[26Q4]])+SUM(FR_CH[[#This Row],[27Q1]:[27Q2]])=0,"No FSCT",IF(AND(SUM(FR_CH[[#This Row],[26Q2]:[26Q4]])&gt;0,SUM(FR_CH[[#This Row],[27Q1]:[27Q2]])=0),"YES","NO"))</f>
        <v>YES</v>
      </c>
      <c r="AE59" s="120" t="str">
        <f>VLOOKUP(FR_CH[[#This Row],[Product Line]],Prod_T6[],4,0)</f>
        <v>ESS</v>
      </c>
      <c r="AF59" s="3"/>
      <c r="AG59" s="3"/>
      <c r="AH59" s="3"/>
    </row>
    <row r="60" spans="1:34" ht="14.25" customHeight="1">
      <c r="A60" s="29" t="s">
        <v>30</v>
      </c>
      <c r="B60" s="1" t="s">
        <v>189</v>
      </c>
      <c r="C60" s="3" t="s">
        <v>186</v>
      </c>
      <c r="D60" s="3" t="str">
        <f>VLOOKUP(FR_CH[[#This Row],[Product Line]],Prod_T6[],5,0)</f>
        <v>TCL</v>
      </c>
      <c r="E60" s="2" t="s">
        <v>54</v>
      </c>
      <c r="F60" s="2" t="s">
        <v>121</v>
      </c>
      <c r="G60" s="1" t="s">
        <v>120</v>
      </c>
      <c r="I60" s="15" t="s">
        <v>117</v>
      </c>
      <c r="J60" s="13">
        <v>1.2</v>
      </c>
      <c r="K60" s="13">
        <v>0.8</v>
      </c>
      <c r="L60" s="13">
        <v>0.8</v>
      </c>
      <c r="M60" s="13">
        <v>0.8</v>
      </c>
      <c r="N60" s="13">
        <v>0.4</v>
      </c>
      <c r="O60" s="13">
        <v>0.4</v>
      </c>
      <c r="P60" s="13">
        <v>0.4</v>
      </c>
      <c r="Q60" s="13">
        <v>0.4</v>
      </c>
      <c r="R60" s="13">
        <v>0.4</v>
      </c>
      <c r="S60" s="32">
        <f>SUM(FR_CH[[#This Row],[26M04]:[26M06]])</f>
        <v>2.8</v>
      </c>
      <c r="T60" s="69">
        <f>SUM(FR_CH[[#This Row],[26M07]:[26M09]])</f>
        <v>1.6</v>
      </c>
      <c r="U60" s="69">
        <f>SUM(FR_CH[[#This Row],[26M10]:[26M12]])</f>
        <v>1.2000000000000002</v>
      </c>
      <c r="V60" s="256"/>
      <c r="W60" s="256"/>
      <c r="X60" s="256"/>
      <c r="Y60" s="256"/>
      <c r="Z60" s="256"/>
      <c r="AA60" s="256"/>
      <c r="AB60" s="256">
        <f>SUM(FR_CH[[#This Row],[27M01]:[27M03]])</f>
        <v>0</v>
      </c>
      <c r="AC60" s="256">
        <f>SUM(FR_CH[[#This Row],[27M01]:[27M03]])</f>
        <v>0</v>
      </c>
      <c r="AD60" s="256" t="str">
        <f>IF(SUM(FR_CH[[#This Row],[26Q2]:[26Q4]])+SUM(FR_CH[[#This Row],[27Q1]:[27Q2]])=0,"No FSCT",IF(AND(SUM(FR_CH[[#This Row],[26Q2]:[26Q4]])&gt;0,SUM(FR_CH[[#This Row],[27Q1]:[27Q2]])=0),"YES","NO"))</f>
        <v>YES</v>
      </c>
      <c r="AE60" s="85" t="str">
        <f>VLOOKUP(FR_CH[[#This Row],[Product Line]],Prod_T6[],4,0)</f>
        <v>PV</v>
      </c>
      <c r="AF60" s="3"/>
      <c r="AG60" s="3"/>
      <c r="AH60" s="3"/>
    </row>
    <row r="61" spans="1:34" ht="14.25" customHeight="1">
      <c r="A61" s="29" t="s">
        <v>30</v>
      </c>
      <c r="B61" s="1" t="s">
        <v>188</v>
      </c>
      <c r="C61" s="3" t="s">
        <v>186</v>
      </c>
      <c r="D61" s="3" t="str">
        <f>VLOOKUP(FR_CH[[#This Row],[Product Line]],Prod_T6[],5,0)</f>
        <v>TCL</v>
      </c>
      <c r="E61" s="2" t="s">
        <v>54</v>
      </c>
      <c r="F61" s="2" t="s">
        <v>201</v>
      </c>
      <c r="G61" s="1" t="s">
        <v>120</v>
      </c>
      <c r="I61" s="15" t="s">
        <v>117</v>
      </c>
      <c r="J61" s="13">
        <v>1.2</v>
      </c>
      <c r="K61" s="13">
        <v>1</v>
      </c>
      <c r="L61" s="13">
        <v>1</v>
      </c>
      <c r="M61" s="13">
        <v>1.2</v>
      </c>
      <c r="N61" s="13">
        <v>0.4</v>
      </c>
      <c r="O61" s="13">
        <v>0</v>
      </c>
      <c r="P61" s="13">
        <v>0</v>
      </c>
      <c r="Q61" s="13">
        <v>0</v>
      </c>
      <c r="R61" s="13">
        <v>0</v>
      </c>
      <c r="S61" s="32">
        <f>SUM(FR_CH[[#This Row],[26M04]:[26M06]])</f>
        <v>3.2</v>
      </c>
      <c r="T61" s="69">
        <f>SUM(FR_CH[[#This Row],[26M07]:[26M09]])</f>
        <v>1.6</v>
      </c>
      <c r="U61" s="69">
        <f>SUM(FR_CH[[#This Row],[26M10]:[26M12]])</f>
        <v>0</v>
      </c>
      <c r="V61" s="256"/>
      <c r="W61" s="256"/>
      <c r="X61" s="256"/>
      <c r="Y61" s="256"/>
      <c r="Z61" s="256"/>
      <c r="AA61" s="256"/>
      <c r="AB61" s="256">
        <f>SUM(FR_CH[[#This Row],[27M01]:[27M03]])</f>
        <v>0</v>
      </c>
      <c r="AC61" s="256">
        <f>SUM(FR_CH[[#This Row],[27M01]:[27M03]])</f>
        <v>0</v>
      </c>
      <c r="AD61" s="256" t="str">
        <f>IF(SUM(FR_CH[[#This Row],[26Q2]:[26Q4]])+SUM(FR_CH[[#This Row],[27Q1]:[27Q2]])=0,"No FSCT",IF(AND(SUM(FR_CH[[#This Row],[26Q2]:[26Q4]])&gt;0,SUM(FR_CH[[#This Row],[27Q1]:[27Q2]])=0),"YES","NO"))</f>
        <v>YES</v>
      </c>
      <c r="AE61" s="85" t="str">
        <f>VLOOKUP(FR_CH[[#This Row],[Product Line]],Prod_T6[],4,0)</f>
        <v>PV</v>
      </c>
      <c r="AF61" s="3"/>
      <c r="AG61" s="3"/>
      <c r="AH61" s="3"/>
    </row>
    <row r="62" spans="1:34" ht="14.25" customHeight="1">
      <c r="A62" s="29" t="s">
        <v>30</v>
      </c>
      <c r="B62" s="1" t="s">
        <v>188</v>
      </c>
      <c r="C62" s="3" t="s">
        <v>186</v>
      </c>
      <c r="D62" s="3" t="str">
        <f>VLOOKUP(FR_CH[[#This Row],[Product Line]],Prod_T6[],5,0)</f>
        <v>TCL</v>
      </c>
      <c r="E62" s="2" t="s">
        <v>54</v>
      </c>
      <c r="F62" s="2" t="s">
        <v>202</v>
      </c>
      <c r="G62" s="1" t="s">
        <v>120</v>
      </c>
      <c r="I62" s="15" t="s">
        <v>117</v>
      </c>
      <c r="J62" s="13">
        <v>0.8</v>
      </c>
      <c r="K62" s="13">
        <v>0.8</v>
      </c>
      <c r="L62" s="13">
        <v>0.8</v>
      </c>
      <c r="M62" s="13">
        <v>0.8</v>
      </c>
      <c r="N62" s="13"/>
      <c r="O62" s="13"/>
      <c r="P62" s="13">
        <v>0.4</v>
      </c>
      <c r="Q62" s="13">
        <v>0.4</v>
      </c>
      <c r="R62" s="13">
        <v>0.4</v>
      </c>
      <c r="S62" s="32">
        <f>SUM(FR_CH[[#This Row],[26M04]:[26M06]])</f>
        <v>2.4000000000000004</v>
      </c>
      <c r="T62" s="69">
        <f>SUM(FR_CH[[#This Row],[26M07]:[26M09]])</f>
        <v>0.8</v>
      </c>
      <c r="U62" s="69">
        <f>SUM(FR_CH[[#This Row],[26M10]:[26M12]])</f>
        <v>1.2000000000000002</v>
      </c>
      <c r="V62" s="256"/>
      <c r="W62" s="256"/>
      <c r="X62" s="256"/>
      <c r="Y62" s="256"/>
      <c r="Z62" s="256"/>
      <c r="AA62" s="256"/>
      <c r="AB62" s="256">
        <f>SUM(FR_CH[[#This Row],[27M01]:[27M03]])</f>
        <v>0</v>
      </c>
      <c r="AC62" s="256">
        <f>SUM(FR_CH[[#This Row],[27M01]:[27M03]])</f>
        <v>0</v>
      </c>
      <c r="AD62" s="256" t="str">
        <f>IF(SUM(FR_CH[[#This Row],[26Q2]:[26Q4]])+SUM(FR_CH[[#This Row],[27Q1]:[27Q2]])=0,"No FSCT",IF(AND(SUM(FR_CH[[#This Row],[26Q2]:[26Q4]])&gt;0,SUM(FR_CH[[#This Row],[27Q1]:[27Q2]])=0),"YES","NO"))</f>
        <v>YES</v>
      </c>
      <c r="AE62" s="85" t="str">
        <f>VLOOKUP(FR_CH[[#This Row],[Product Line]],Prod_T6[],4,0)</f>
        <v>PV</v>
      </c>
      <c r="AF62" s="3"/>
      <c r="AG62" s="3"/>
      <c r="AH62" s="3"/>
    </row>
    <row r="63" spans="1:34" ht="14.25" customHeight="1">
      <c r="A63" s="29" t="s">
        <v>30</v>
      </c>
      <c r="B63" s="1" t="s">
        <v>188</v>
      </c>
      <c r="C63" s="3" t="s">
        <v>186</v>
      </c>
      <c r="D63" s="3" t="str">
        <f>VLOOKUP(FR_CH[[#This Row],[Product Line]],Prod_T6[],5,0)</f>
        <v>TCL</v>
      </c>
      <c r="E63" s="2" t="s">
        <v>54</v>
      </c>
      <c r="F63" s="2" t="s">
        <v>121</v>
      </c>
      <c r="G63" s="1" t="s">
        <v>120</v>
      </c>
      <c r="I63" s="15" t="s">
        <v>117</v>
      </c>
      <c r="J63" s="13">
        <v>1.2</v>
      </c>
      <c r="K63" s="13">
        <v>1.2</v>
      </c>
      <c r="L63" s="13">
        <v>2</v>
      </c>
      <c r="M63" s="13">
        <v>2</v>
      </c>
      <c r="N63" s="13">
        <v>0.2</v>
      </c>
      <c r="O63" s="13">
        <v>0.2</v>
      </c>
      <c r="P63" s="13">
        <v>0.4</v>
      </c>
      <c r="Q63" s="13">
        <v>0.4</v>
      </c>
      <c r="R63" s="13">
        <v>0.4</v>
      </c>
      <c r="S63" s="32">
        <f>SUM(FR_CH[[#This Row],[26M04]:[26M06]])</f>
        <v>4.4000000000000004</v>
      </c>
      <c r="T63" s="69">
        <f>SUM(FR_CH[[#This Row],[26M07]:[26M09]])</f>
        <v>2.4000000000000004</v>
      </c>
      <c r="U63" s="69">
        <f>SUM(FR_CH[[#This Row],[26M10]:[26M12]])</f>
        <v>1.2000000000000002</v>
      </c>
      <c r="V63" s="256"/>
      <c r="W63" s="256"/>
      <c r="X63" s="256"/>
      <c r="Y63" s="256"/>
      <c r="Z63" s="256"/>
      <c r="AA63" s="256"/>
      <c r="AB63" s="256">
        <f>SUM(FR_CH[[#This Row],[27M01]:[27M03]])</f>
        <v>0</v>
      </c>
      <c r="AC63" s="256">
        <f>SUM(FR_CH[[#This Row],[27M01]:[27M03]])</f>
        <v>0</v>
      </c>
      <c r="AD63" s="256" t="str">
        <f>IF(SUM(FR_CH[[#This Row],[26Q2]:[26Q4]])+SUM(FR_CH[[#This Row],[27Q1]:[27Q2]])=0,"No FSCT",IF(AND(SUM(FR_CH[[#This Row],[26Q2]:[26Q4]])&gt;0,SUM(FR_CH[[#This Row],[27Q1]:[27Q2]])=0),"YES","NO"))</f>
        <v>YES</v>
      </c>
      <c r="AE63" s="85" t="str">
        <f>VLOOKUP(FR_CH[[#This Row],[Product Line]],Prod_T6[],4,0)</f>
        <v>PV</v>
      </c>
      <c r="AF63" s="3"/>
      <c r="AG63" s="3"/>
      <c r="AH63" s="3"/>
    </row>
    <row r="64" spans="1:34" ht="14.25" customHeight="1">
      <c r="A64" s="29" t="s">
        <v>30</v>
      </c>
      <c r="B64" s="1" t="s">
        <v>185</v>
      </c>
      <c r="C64" s="3" t="s">
        <v>186</v>
      </c>
      <c r="D64" s="3" t="str">
        <f>VLOOKUP(FR_CH[[#This Row],[Product Line]],Prod_T6[],5,0)</f>
        <v>TCL</v>
      </c>
      <c r="E64" s="2" t="s">
        <v>54</v>
      </c>
      <c r="F64" s="2" t="s">
        <v>201</v>
      </c>
      <c r="G64" s="1" t="s">
        <v>120</v>
      </c>
      <c r="H64" s="2"/>
      <c r="I64" s="15" t="s">
        <v>117</v>
      </c>
      <c r="J64" s="2">
        <v>0.4</v>
      </c>
      <c r="K64" s="2">
        <v>0.4</v>
      </c>
      <c r="L64" s="2">
        <v>0.4</v>
      </c>
      <c r="M64" s="2">
        <v>0.4</v>
      </c>
      <c r="N64" s="2">
        <v>0.4</v>
      </c>
      <c r="O64" s="2">
        <v>0</v>
      </c>
      <c r="P64" s="2">
        <v>0</v>
      </c>
      <c r="Q64" s="2">
        <v>0</v>
      </c>
      <c r="R64" s="2">
        <v>0</v>
      </c>
      <c r="S64" s="32">
        <f>SUM(FR_CH[[#This Row],[26M04]:[26M06]])</f>
        <v>1.2000000000000002</v>
      </c>
      <c r="T64" s="69">
        <f>SUM(FR_CH[[#This Row],[26M07]:[26M09]])</f>
        <v>0.8</v>
      </c>
      <c r="U64" s="69">
        <f>SUM(FR_CH[[#This Row],[26M10]:[26M12]])</f>
        <v>0</v>
      </c>
      <c r="V64" s="256"/>
      <c r="W64" s="256"/>
      <c r="X64" s="256"/>
      <c r="Y64" s="256"/>
      <c r="Z64" s="256"/>
      <c r="AA64" s="256"/>
      <c r="AB64" s="256">
        <f>SUM(FR_CH[[#This Row],[27M01]:[27M03]])</f>
        <v>0</v>
      </c>
      <c r="AC64" s="256">
        <f>SUM(FR_CH[[#This Row],[27M01]:[27M03]])</f>
        <v>0</v>
      </c>
      <c r="AD64" s="256" t="str">
        <f>IF(SUM(FR_CH[[#This Row],[26Q2]:[26Q4]])+SUM(FR_CH[[#This Row],[27Q1]:[27Q2]])=0,"No FSCT",IF(AND(SUM(FR_CH[[#This Row],[26Q2]:[26Q4]])&gt;0,SUM(FR_CH[[#This Row],[27Q1]:[27Q2]])=0),"YES","NO"))</f>
        <v>YES</v>
      </c>
      <c r="AE64" s="85" t="str">
        <f>VLOOKUP(FR_CH[[#This Row],[Product Line]],Prod_T6[],4,0)</f>
        <v>PV</v>
      </c>
      <c r="AF64" s="3"/>
      <c r="AG64" s="3"/>
      <c r="AH64" s="3"/>
    </row>
    <row r="65" spans="1:34" ht="14.25" customHeight="1">
      <c r="A65" s="29" t="s">
        <v>30</v>
      </c>
      <c r="B65" s="1" t="s">
        <v>185</v>
      </c>
      <c r="C65" s="3" t="s">
        <v>186</v>
      </c>
      <c r="D65" s="3" t="str">
        <f>VLOOKUP(FR_CH[[#This Row],[Product Line]],Prod_T6[],5,0)</f>
        <v>TCL</v>
      </c>
      <c r="E65" s="2" t="s">
        <v>54</v>
      </c>
      <c r="F65" s="2" t="s">
        <v>121</v>
      </c>
      <c r="G65" s="1" t="s">
        <v>120</v>
      </c>
      <c r="H65" s="2"/>
      <c r="I65" s="15" t="s">
        <v>117</v>
      </c>
      <c r="J65" s="2">
        <v>0.4</v>
      </c>
      <c r="K65" s="2">
        <v>0.8</v>
      </c>
      <c r="L65" s="2">
        <v>0.8</v>
      </c>
      <c r="M65" s="2">
        <v>0.8</v>
      </c>
      <c r="N65" s="13">
        <v>0.4</v>
      </c>
      <c r="O65" s="13">
        <v>0.4</v>
      </c>
      <c r="P65" s="13">
        <v>0.4</v>
      </c>
      <c r="Q65" s="13">
        <v>0.4</v>
      </c>
      <c r="R65" s="13">
        <v>0.4</v>
      </c>
      <c r="S65" s="32">
        <f>SUM(FR_CH[[#This Row],[26M04]:[26M06]])</f>
        <v>2</v>
      </c>
      <c r="T65" s="69">
        <f>SUM(FR_CH[[#This Row],[26M07]:[26M09]])</f>
        <v>1.6</v>
      </c>
      <c r="U65" s="69">
        <f>SUM(FR_CH[[#This Row],[26M10]:[26M12]])</f>
        <v>1.2000000000000002</v>
      </c>
      <c r="V65" s="256"/>
      <c r="W65" s="256"/>
      <c r="X65" s="256"/>
      <c r="Y65" s="256"/>
      <c r="Z65" s="256"/>
      <c r="AA65" s="256"/>
      <c r="AB65" s="256">
        <f>SUM(FR_CH[[#This Row],[27M01]:[27M03]])</f>
        <v>0</v>
      </c>
      <c r="AC65" s="256">
        <f>SUM(FR_CH[[#This Row],[27M01]:[27M03]])</f>
        <v>0</v>
      </c>
      <c r="AD65" s="256" t="str">
        <f>IF(SUM(FR_CH[[#This Row],[26Q2]:[26Q4]])+SUM(FR_CH[[#This Row],[27Q1]:[27Q2]])=0,"No FSCT",IF(AND(SUM(FR_CH[[#This Row],[26Q2]:[26Q4]])&gt;0,SUM(FR_CH[[#This Row],[27Q1]:[27Q2]])=0),"YES","NO"))</f>
        <v>YES</v>
      </c>
      <c r="AE65" s="85" t="str">
        <f>VLOOKUP(FR_CH[[#This Row],[Product Line]],Prod_T6[],4,0)</f>
        <v>PV</v>
      </c>
      <c r="AF65" s="3"/>
      <c r="AG65" s="3"/>
      <c r="AH65" s="3"/>
    </row>
    <row r="66" spans="1:34" ht="14.25" customHeight="1">
      <c r="A66" s="29" t="s">
        <v>30</v>
      </c>
      <c r="B66" s="1" t="s">
        <v>200</v>
      </c>
      <c r="C66" s="3" t="s">
        <v>186</v>
      </c>
      <c r="D66" s="3" t="str">
        <f>VLOOKUP(FR_CH[[#This Row],[Product Line]],Prod_T6[],5,0)</f>
        <v>TCL</v>
      </c>
      <c r="E66" s="2" t="s">
        <v>54</v>
      </c>
      <c r="F66" s="2" t="s">
        <v>201</v>
      </c>
      <c r="G66" s="1" t="s">
        <v>120</v>
      </c>
      <c r="I66" s="40" t="s">
        <v>132</v>
      </c>
      <c r="J66" s="13">
        <v>0.8</v>
      </c>
      <c r="K66" s="13">
        <v>0.8</v>
      </c>
      <c r="L66" s="13">
        <v>0.8</v>
      </c>
      <c r="M66" s="13">
        <v>0.8</v>
      </c>
      <c r="N66" s="13">
        <v>0.8</v>
      </c>
      <c r="O66" s="13">
        <v>0</v>
      </c>
      <c r="P66" s="13">
        <v>0</v>
      </c>
      <c r="Q66" s="13">
        <v>0</v>
      </c>
      <c r="R66" s="13">
        <v>0</v>
      </c>
      <c r="S66" s="32">
        <f>SUM(FR_CH[[#This Row],[26M04]:[26M06]])</f>
        <v>2.4000000000000004</v>
      </c>
      <c r="T66" s="69">
        <f>SUM(FR_CH[[#This Row],[26M07]:[26M09]])</f>
        <v>1.6</v>
      </c>
      <c r="U66" s="69">
        <f>SUM(FR_CH[[#This Row],[26M10]:[26M12]])</f>
        <v>0</v>
      </c>
      <c r="V66" s="256"/>
      <c r="W66" s="256"/>
      <c r="X66" s="256"/>
      <c r="Y66" s="256"/>
      <c r="Z66" s="256"/>
      <c r="AA66" s="256"/>
      <c r="AB66" s="256">
        <f>SUM(FR_CH[[#This Row],[27M01]:[27M03]])</f>
        <v>0</v>
      </c>
      <c r="AC66" s="256">
        <f>SUM(FR_CH[[#This Row],[27M01]:[27M03]])</f>
        <v>0</v>
      </c>
      <c r="AD66" s="256" t="str">
        <f>IF(SUM(FR_CH[[#This Row],[26Q2]:[26Q4]])+SUM(FR_CH[[#This Row],[27Q1]:[27Q2]])=0,"No FSCT",IF(AND(SUM(FR_CH[[#This Row],[26Q2]:[26Q4]])&gt;0,SUM(FR_CH[[#This Row],[27Q1]:[27Q2]])=0),"YES","NO"))</f>
        <v>YES</v>
      </c>
      <c r="AE66" s="85" t="str">
        <f>VLOOKUP(FR_CH[[#This Row],[Product Line]],Prod_T6[],4,0)</f>
        <v>PV</v>
      </c>
      <c r="AF66" s="3"/>
      <c r="AG66" s="3"/>
      <c r="AH66" s="3"/>
    </row>
    <row r="67" spans="1:34" ht="14.25" customHeight="1">
      <c r="A67" s="29" t="s">
        <v>30</v>
      </c>
      <c r="B67" s="1" t="s">
        <v>200</v>
      </c>
      <c r="C67" s="3" t="s">
        <v>186</v>
      </c>
      <c r="D67" s="3" t="str">
        <f>VLOOKUP(FR_CH[[#This Row],[Product Line]],Prod_T6[],5,0)</f>
        <v>TCL</v>
      </c>
      <c r="E67" s="2" t="s">
        <v>54</v>
      </c>
      <c r="F67" s="2" t="s">
        <v>121</v>
      </c>
      <c r="G67" s="1" t="s">
        <v>120</v>
      </c>
      <c r="I67" s="40" t="s">
        <v>117</v>
      </c>
      <c r="J67" s="13">
        <v>0.8</v>
      </c>
      <c r="K67" s="13">
        <v>0.8</v>
      </c>
      <c r="L67" s="13">
        <v>0.8</v>
      </c>
      <c r="M67" s="13">
        <v>0.8</v>
      </c>
      <c r="N67" s="13">
        <v>0.4</v>
      </c>
      <c r="O67" s="13">
        <v>0.4</v>
      </c>
      <c r="P67" s="13">
        <v>0.4</v>
      </c>
      <c r="Q67" s="13">
        <v>0.4</v>
      </c>
      <c r="R67" s="13">
        <v>0.4</v>
      </c>
      <c r="S67" s="32">
        <f>SUM(FR_CH[[#This Row],[26M04]:[26M06]])</f>
        <v>2.4000000000000004</v>
      </c>
      <c r="T67" s="69">
        <f>SUM(FR_CH[[#This Row],[26M07]:[26M09]])</f>
        <v>1.6</v>
      </c>
      <c r="U67" s="69">
        <f>SUM(FR_CH[[#This Row],[26M10]:[26M12]])</f>
        <v>1.2000000000000002</v>
      </c>
      <c r="V67" s="256"/>
      <c r="W67" s="256"/>
      <c r="X67" s="256"/>
      <c r="Y67" s="256"/>
      <c r="Z67" s="256"/>
      <c r="AA67" s="256"/>
      <c r="AB67" s="256">
        <f>SUM(FR_CH[[#This Row],[27M01]:[27M03]])</f>
        <v>0</v>
      </c>
      <c r="AC67" s="256">
        <f>SUM(FR_CH[[#This Row],[27M01]:[27M03]])</f>
        <v>0</v>
      </c>
      <c r="AD67" s="256" t="str">
        <f>IF(SUM(FR_CH[[#This Row],[26Q2]:[26Q4]])+SUM(FR_CH[[#This Row],[27Q1]:[27Q2]])=0,"No FSCT",IF(AND(SUM(FR_CH[[#This Row],[26Q2]:[26Q4]])&gt;0,SUM(FR_CH[[#This Row],[27Q1]:[27Q2]])=0),"YES","NO"))</f>
        <v>YES</v>
      </c>
      <c r="AE67" s="85" t="str">
        <f>VLOOKUP(FR_CH[[#This Row],[Product Line]],Prod_T6[],4,0)</f>
        <v>PV</v>
      </c>
      <c r="AF67" s="3"/>
      <c r="AG67" s="3"/>
      <c r="AH67" s="3"/>
    </row>
    <row r="68" spans="1:34" ht="14.25" customHeight="1">
      <c r="A68" s="29" t="s">
        <v>30</v>
      </c>
      <c r="B68" s="1" t="s">
        <v>199</v>
      </c>
      <c r="C68" s="3" t="s">
        <v>186</v>
      </c>
      <c r="D68" s="3" t="str">
        <f>VLOOKUP(FR_CH[[#This Row],[Product Line]],Prod_T6[],5,0)</f>
        <v>TCL</v>
      </c>
      <c r="E68" s="2" t="s">
        <v>149</v>
      </c>
      <c r="F68" s="2" t="s">
        <v>187</v>
      </c>
      <c r="G68" s="1" t="s">
        <v>120</v>
      </c>
      <c r="I68" s="15" t="s">
        <v>117</v>
      </c>
      <c r="J68" s="13"/>
      <c r="K68" s="13"/>
      <c r="L68" s="13"/>
      <c r="M68" s="13"/>
      <c r="N68" s="13"/>
      <c r="O68" s="13"/>
      <c r="P68" s="13">
        <v>0.8</v>
      </c>
      <c r="Q68" s="13">
        <v>1.2</v>
      </c>
      <c r="R68" s="13">
        <v>1.2</v>
      </c>
      <c r="S68" s="32">
        <f>SUM(FR_CH[[#This Row],[26M04]:[26M06]])</f>
        <v>0</v>
      </c>
      <c r="T68" s="69">
        <f>SUM(FR_CH[[#This Row],[26M07]:[26M09]])</f>
        <v>0</v>
      </c>
      <c r="U68" s="69">
        <f>SUM(FR_CH[[#This Row],[26M10]:[26M12]])</f>
        <v>3.2</v>
      </c>
      <c r="V68" s="256"/>
      <c r="W68" s="256"/>
      <c r="X68" s="256"/>
      <c r="Y68" s="256"/>
      <c r="Z68" s="256"/>
      <c r="AA68" s="256"/>
      <c r="AB68" s="256">
        <f>SUM(FR_CH[[#This Row],[27M01]:[27M03]])</f>
        <v>0</v>
      </c>
      <c r="AC68" s="256">
        <f>SUM(FR_CH[[#This Row],[27M01]:[27M03]])</f>
        <v>0</v>
      </c>
      <c r="AD68" s="256" t="str">
        <f>IF(SUM(FR_CH[[#This Row],[26Q2]:[26Q4]])+SUM(FR_CH[[#This Row],[27Q1]:[27Q2]])=0,"No FSCT",IF(AND(SUM(FR_CH[[#This Row],[26Q2]:[26Q4]])&gt;0,SUM(FR_CH[[#This Row],[27Q1]:[27Q2]])=0),"YES","NO"))</f>
        <v>YES</v>
      </c>
      <c r="AE68" s="85" t="str">
        <f>VLOOKUP(FR_CH[[#This Row],[Product Line]],Prod_T6[],4,0)</f>
        <v>PV</v>
      </c>
      <c r="AF68" s="3"/>
      <c r="AG68" s="3"/>
      <c r="AH68" s="3"/>
    </row>
    <row r="69" spans="1:34" ht="14.25" customHeight="1">
      <c r="A69" s="29" t="s">
        <v>30</v>
      </c>
      <c r="B69" s="1" t="s">
        <v>198</v>
      </c>
      <c r="C69" s="3" t="s">
        <v>186</v>
      </c>
      <c r="D69" s="3" t="str">
        <f>VLOOKUP(FR_CH[[#This Row],[Product Line]],Prod_T6[],5,0)</f>
        <v>TCL</v>
      </c>
      <c r="E69" s="2" t="s">
        <v>149</v>
      </c>
      <c r="F69" s="2" t="s">
        <v>187</v>
      </c>
      <c r="G69" s="1" t="s">
        <v>120</v>
      </c>
      <c r="I69" s="15" t="s">
        <v>132</v>
      </c>
      <c r="J69" s="13"/>
      <c r="K69" s="13"/>
      <c r="L69" s="13"/>
      <c r="M69" s="13"/>
      <c r="N69" s="13"/>
      <c r="O69" s="13"/>
      <c r="P69" s="13">
        <v>0.8</v>
      </c>
      <c r="Q69" s="13">
        <v>1.2</v>
      </c>
      <c r="R69" s="13">
        <v>1.2</v>
      </c>
      <c r="S69" s="32">
        <f>SUM(FR_CH[[#This Row],[26M04]:[26M06]])</f>
        <v>0</v>
      </c>
      <c r="T69" s="69">
        <f>SUM(FR_CH[[#This Row],[26M07]:[26M09]])</f>
        <v>0</v>
      </c>
      <c r="U69" s="69">
        <f>SUM(FR_CH[[#This Row],[26M10]:[26M12]])</f>
        <v>3.2</v>
      </c>
      <c r="V69" s="256"/>
      <c r="W69" s="256"/>
      <c r="X69" s="256"/>
      <c r="Y69" s="256"/>
      <c r="Z69" s="256"/>
      <c r="AA69" s="256"/>
      <c r="AB69" s="256">
        <f>SUM(FR_CH[[#This Row],[27M01]:[27M03]])</f>
        <v>0</v>
      </c>
      <c r="AC69" s="256">
        <f>SUM(FR_CH[[#This Row],[27M01]:[27M03]])</f>
        <v>0</v>
      </c>
      <c r="AD69" s="256" t="str">
        <f>IF(SUM(FR_CH[[#This Row],[26Q2]:[26Q4]])+SUM(FR_CH[[#This Row],[27Q1]:[27Q2]])=0,"No FSCT",IF(AND(SUM(FR_CH[[#This Row],[26Q2]:[26Q4]])&gt;0,SUM(FR_CH[[#This Row],[27Q1]:[27Q2]])=0),"YES","NO"))</f>
        <v>YES</v>
      </c>
      <c r="AE69" s="85" t="str">
        <f>VLOOKUP(FR_CH[[#This Row],[Product Line]],Prod_T6[],4,0)</f>
        <v>PV</v>
      </c>
      <c r="AF69" s="3"/>
      <c r="AG69" s="3"/>
      <c r="AH69" s="3"/>
    </row>
    <row r="70" spans="1:34" ht="14.25" customHeight="1">
      <c r="A70" s="29" t="s">
        <v>30</v>
      </c>
      <c r="B70" s="1" t="s">
        <v>185</v>
      </c>
      <c r="C70" s="3" t="s">
        <v>186</v>
      </c>
      <c r="D70" s="3" t="str">
        <f>VLOOKUP(FR_CH[[#This Row],[Product Line]],Prod_T6[],5,0)</f>
        <v>Sunpower</v>
      </c>
      <c r="E70" s="2" t="s">
        <v>197</v>
      </c>
      <c r="F70" s="2" t="s">
        <v>59</v>
      </c>
      <c r="G70" s="1" t="s">
        <v>120</v>
      </c>
      <c r="I70" s="15" t="s">
        <v>117</v>
      </c>
      <c r="J70" s="13"/>
      <c r="K70" s="13"/>
      <c r="L70" s="13"/>
      <c r="M70" s="13"/>
      <c r="N70" s="13"/>
      <c r="O70" s="13"/>
      <c r="P70" s="13"/>
      <c r="Q70" s="13"/>
      <c r="R70" s="13"/>
      <c r="S70" s="32">
        <f>SUM(FR_CH[[#This Row],[26M04]:[26M06]])</f>
        <v>0</v>
      </c>
      <c r="T70" s="69">
        <f>SUM(FR_CH[[#This Row],[26M07]:[26M09]])</f>
        <v>0</v>
      </c>
      <c r="U70" s="69">
        <f>SUM(FR_CH[[#This Row],[26M10]:[26M12]])</f>
        <v>0</v>
      </c>
      <c r="V70" s="256"/>
      <c r="W70" s="256"/>
      <c r="X70" s="256"/>
      <c r="Y70" s="256"/>
      <c r="Z70" s="256"/>
      <c r="AA70" s="256"/>
      <c r="AB70" s="256">
        <f>SUM(FR_CH[[#This Row],[27M01]:[27M03]])</f>
        <v>0</v>
      </c>
      <c r="AC70" s="256">
        <f>SUM(FR_CH[[#This Row],[27M01]:[27M03]])</f>
        <v>0</v>
      </c>
      <c r="AD70" s="256" t="str">
        <f>IF(SUM(FR_CH[[#This Row],[26Q2]:[26Q4]])+SUM(FR_CH[[#This Row],[27Q1]:[27Q2]])=0,"No FSCT",IF(AND(SUM(FR_CH[[#This Row],[26Q2]:[26Q4]])&gt;0,SUM(FR_CH[[#This Row],[27Q1]:[27Q2]])=0),"YES","NO"))</f>
        <v>No FSCT</v>
      </c>
      <c r="AE70" s="85" t="str">
        <f>VLOOKUP(FR_CH[[#This Row],[Product Line]],Prod_T6[],4,0)</f>
        <v>ESS</v>
      </c>
      <c r="AF70" s="3"/>
      <c r="AG70" s="3"/>
      <c r="AH70" s="3"/>
    </row>
    <row r="71" spans="1:34" ht="14.25" customHeight="1">
      <c r="A71" s="29" t="s">
        <v>30</v>
      </c>
      <c r="B71" s="1" t="s">
        <v>194</v>
      </c>
      <c r="C71" s="3" t="s">
        <v>192</v>
      </c>
      <c r="D71" s="3" t="str">
        <f>VLOOKUP(FR_CH[[#This Row],[Product Line]],Prod_T6[],5,0)</f>
        <v>TCL</v>
      </c>
      <c r="E71" s="2" t="s">
        <v>149</v>
      </c>
      <c r="F71" s="2" t="s">
        <v>195</v>
      </c>
      <c r="G71" s="1" t="s">
        <v>115</v>
      </c>
      <c r="H71" s="1" t="s">
        <v>196</v>
      </c>
      <c r="I71" s="40" t="s">
        <v>117</v>
      </c>
      <c r="J71" s="13"/>
      <c r="K71" s="13"/>
      <c r="L71" s="13"/>
      <c r="M71" s="13"/>
      <c r="N71" s="13"/>
      <c r="O71" s="13">
        <v>3</v>
      </c>
      <c r="P71" s="13"/>
      <c r="Q71" s="13"/>
      <c r="R71" s="13"/>
      <c r="S71" s="32">
        <f>SUM(FR_CH[[#This Row],[26M04]:[26M06]])</f>
        <v>0</v>
      </c>
      <c r="T71" s="69">
        <f>SUM(FR_CH[[#This Row],[26M07]:[26M09]])</f>
        <v>3</v>
      </c>
      <c r="U71" s="69">
        <f>SUM(FR_CH[[#This Row],[26M10]:[26M12]])</f>
        <v>0</v>
      </c>
      <c r="V71" s="256"/>
      <c r="W71" s="256"/>
      <c r="X71" s="256"/>
      <c r="Y71" s="256"/>
      <c r="Z71" s="256"/>
      <c r="AA71" s="256"/>
      <c r="AB71" s="256">
        <f>SUM(FR_CH[[#This Row],[27M01]:[27M03]])</f>
        <v>0</v>
      </c>
      <c r="AC71" s="256">
        <f>SUM(FR_CH[[#This Row],[27M01]:[27M03]])</f>
        <v>0</v>
      </c>
      <c r="AD71" s="256" t="str">
        <f>IF(SUM(FR_CH[[#This Row],[26Q2]:[26Q4]])+SUM(FR_CH[[#This Row],[27Q1]:[27Q2]])=0,"No FSCT",IF(AND(SUM(FR_CH[[#This Row],[26Q2]:[26Q4]])&gt;0,SUM(FR_CH[[#This Row],[27Q1]:[27Q2]])=0),"YES","NO"))</f>
        <v>YES</v>
      </c>
      <c r="AE71" s="85" t="str">
        <f>VLOOKUP(FR_CH[[#This Row],[Product Line]],Prod_T6[],4,0)</f>
        <v>PV</v>
      </c>
      <c r="AF71" s="3"/>
      <c r="AG71" s="3"/>
      <c r="AH71" s="3"/>
    </row>
    <row r="72" spans="1:34" ht="14.25" customHeight="1">
      <c r="A72" s="29" t="s">
        <v>30</v>
      </c>
      <c r="B72" s="1" t="s">
        <v>191</v>
      </c>
      <c r="C72" s="3" t="s">
        <v>192</v>
      </c>
      <c r="D72" s="3" t="str">
        <f>VLOOKUP(FR_CH[[#This Row],[Product Line]],Prod_T6[],5,0)</f>
        <v>TCL</v>
      </c>
      <c r="E72" s="2" t="s">
        <v>54</v>
      </c>
      <c r="F72" s="2" t="s">
        <v>193</v>
      </c>
      <c r="G72" s="1" t="s">
        <v>115</v>
      </c>
      <c r="I72" s="15" t="s">
        <v>117</v>
      </c>
      <c r="J72" s="13"/>
      <c r="K72" s="13"/>
      <c r="L72" s="13"/>
      <c r="M72" s="13"/>
      <c r="N72" s="13"/>
      <c r="O72" s="13"/>
      <c r="P72" s="13">
        <v>2</v>
      </c>
      <c r="Q72" s="13"/>
      <c r="R72" s="13"/>
      <c r="S72" s="32">
        <f>SUM(FR_CH[[#This Row],[26M04]:[26M06]])</f>
        <v>0</v>
      </c>
      <c r="T72" s="69">
        <f>SUM(FR_CH[[#This Row],[26M07]:[26M09]])</f>
        <v>0</v>
      </c>
      <c r="U72" s="69">
        <f>SUM(FR_CH[[#This Row],[26M10]:[26M12]])</f>
        <v>2</v>
      </c>
      <c r="V72" s="256"/>
      <c r="W72" s="256"/>
      <c r="X72" s="256"/>
      <c r="Y72" s="256"/>
      <c r="Z72" s="256"/>
      <c r="AA72" s="256"/>
      <c r="AB72" s="256">
        <f>SUM(FR_CH[[#This Row],[27M01]:[27M03]])</f>
        <v>0</v>
      </c>
      <c r="AC72" s="256">
        <f>SUM(FR_CH[[#This Row],[27M01]:[27M03]])</f>
        <v>0</v>
      </c>
      <c r="AD72" s="256" t="str">
        <f>IF(SUM(FR_CH[[#This Row],[26Q2]:[26Q4]])+SUM(FR_CH[[#This Row],[27Q1]:[27Q2]])=0,"No FSCT",IF(AND(SUM(FR_CH[[#This Row],[26Q2]:[26Q4]])&gt;0,SUM(FR_CH[[#This Row],[27Q1]:[27Q2]])=0),"YES","NO"))</f>
        <v>YES</v>
      </c>
      <c r="AE72" s="85" t="str">
        <f>VLOOKUP(FR_CH[[#This Row],[Product Line]],Prod_T6[],4,0)</f>
        <v>PV</v>
      </c>
      <c r="AF72" s="3"/>
      <c r="AG72" s="3"/>
      <c r="AH72" s="3"/>
    </row>
    <row r="73" spans="1:34" ht="14.25" customHeight="1">
      <c r="A73" s="29" t="s">
        <v>30</v>
      </c>
      <c r="B73" s="1" t="s">
        <v>190</v>
      </c>
      <c r="C73" s="3" t="s">
        <v>186</v>
      </c>
      <c r="D73" s="3" t="str">
        <f>VLOOKUP(FR_CH[[#This Row],[Product Line]],Prod_T6[],5,0)</f>
        <v>TCL</v>
      </c>
      <c r="E73" s="2" t="s">
        <v>149</v>
      </c>
      <c r="F73" s="2" t="s">
        <v>187</v>
      </c>
      <c r="G73" s="1" t="s">
        <v>120</v>
      </c>
      <c r="I73" s="15" t="s">
        <v>117</v>
      </c>
      <c r="J73" s="13"/>
      <c r="K73" s="13"/>
      <c r="L73" s="13"/>
      <c r="M73" s="13"/>
      <c r="N73" s="13"/>
      <c r="O73" s="13"/>
      <c r="P73" s="13"/>
      <c r="Q73" s="13"/>
      <c r="R73" s="13"/>
      <c r="S73" s="32">
        <f>SUM(FR_CH[[#This Row],[26M04]:[26M06]])</f>
        <v>0</v>
      </c>
      <c r="T73" s="69">
        <f>SUM(FR_CH[[#This Row],[26M07]:[26M09]])</f>
        <v>0</v>
      </c>
      <c r="U73" s="69">
        <f>SUM(FR_CH[[#This Row],[26M10]:[26M12]])</f>
        <v>0</v>
      </c>
      <c r="V73" s="256"/>
      <c r="W73" s="256"/>
      <c r="X73" s="256"/>
      <c r="Y73" s="256"/>
      <c r="Z73" s="256"/>
      <c r="AA73" s="256"/>
      <c r="AB73" s="256">
        <f>SUM(FR_CH[[#This Row],[27M01]:[27M03]])</f>
        <v>0</v>
      </c>
      <c r="AC73" s="256">
        <f>SUM(FR_CH[[#This Row],[27M01]:[27M03]])</f>
        <v>0</v>
      </c>
      <c r="AD73" s="256" t="str">
        <f>IF(SUM(FR_CH[[#This Row],[26Q2]:[26Q4]])+SUM(FR_CH[[#This Row],[27Q1]:[27Q2]])=0,"No FSCT",IF(AND(SUM(FR_CH[[#This Row],[26Q2]:[26Q4]])&gt;0,SUM(FR_CH[[#This Row],[27Q1]:[27Q2]])=0),"YES","NO"))</f>
        <v>No FSCT</v>
      </c>
      <c r="AE73" s="85" t="str">
        <f>VLOOKUP(FR_CH[[#This Row],[Product Line]],Prod_T6[],4,0)</f>
        <v>PV</v>
      </c>
      <c r="AF73" s="3"/>
      <c r="AG73" s="3"/>
      <c r="AH73" s="3"/>
    </row>
    <row r="74" spans="1:34" ht="14.25" customHeight="1">
      <c r="A74" s="29" t="s">
        <v>30</v>
      </c>
      <c r="B74" s="1" t="s">
        <v>189</v>
      </c>
      <c r="C74" s="3" t="s">
        <v>186</v>
      </c>
      <c r="D74" s="3" t="str">
        <f>VLOOKUP(FR_CH[[#This Row],[Product Line]],Prod_T6[],5,0)</f>
        <v>TCL</v>
      </c>
      <c r="E74" s="2" t="s">
        <v>149</v>
      </c>
      <c r="F74" s="2" t="s">
        <v>187</v>
      </c>
      <c r="G74" s="1" t="s">
        <v>120</v>
      </c>
      <c r="I74" s="15" t="s">
        <v>117</v>
      </c>
      <c r="J74" s="13"/>
      <c r="K74" s="13"/>
      <c r="L74" s="13"/>
      <c r="M74" s="13"/>
      <c r="N74" s="13"/>
      <c r="O74" s="13"/>
      <c r="P74" s="13">
        <v>1.2</v>
      </c>
      <c r="Q74" s="13">
        <v>1.2</v>
      </c>
      <c r="R74" s="13">
        <v>1.2</v>
      </c>
      <c r="S74" s="32">
        <f>SUM(FR_CH[[#This Row],[26M04]:[26M06]])</f>
        <v>0</v>
      </c>
      <c r="T74" s="69">
        <f>SUM(FR_CH[[#This Row],[26M07]:[26M09]])</f>
        <v>0</v>
      </c>
      <c r="U74" s="69">
        <f>SUM(FR_CH[[#This Row],[26M10]:[26M12]])</f>
        <v>3.5999999999999996</v>
      </c>
      <c r="V74" s="256"/>
      <c r="W74" s="256"/>
      <c r="X74" s="256"/>
      <c r="Y74" s="256"/>
      <c r="Z74" s="256"/>
      <c r="AA74" s="256"/>
      <c r="AB74" s="256">
        <f>SUM(FR_CH[[#This Row],[27M01]:[27M03]])</f>
        <v>0</v>
      </c>
      <c r="AC74" s="256">
        <f>SUM(FR_CH[[#This Row],[27M01]:[27M03]])</f>
        <v>0</v>
      </c>
      <c r="AD74" s="256" t="str">
        <f>IF(SUM(FR_CH[[#This Row],[26Q2]:[26Q4]])+SUM(FR_CH[[#This Row],[27Q1]:[27Q2]])=0,"No FSCT",IF(AND(SUM(FR_CH[[#This Row],[26Q2]:[26Q4]])&gt;0,SUM(FR_CH[[#This Row],[27Q1]:[27Q2]])=0),"YES","NO"))</f>
        <v>YES</v>
      </c>
      <c r="AE74" s="85" t="str">
        <f>VLOOKUP(FR_CH[[#This Row],[Product Line]],Prod_T6[],4,0)</f>
        <v>PV</v>
      </c>
      <c r="AF74" s="3"/>
      <c r="AG74" s="3"/>
      <c r="AH74" s="3"/>
    </row>
    <row r="75" spans="1:34" ht="14.25" customHeight="1">
      <c r="A75" s="29" t="s">
        <v>30</v>
      </c>
      <c r="B75" s="1" t="s">
        <v>188</v>
      </c>
      <c r="C75" s="3" t="s">
        <v>186</v>
      </c>
      <c r="D75" s="3" t="str">
        <f>VLOOKUP(FR_CH[[#This Row],[Product Line]],Prod_T6[],5,0)</f>
        <v>TCL</v>
      </c>
      <c r="E75" s="2" t="s">
        <v>149</v>
      </c>
      <c r="F75" s="2" t="s">
        <v>187</v>
      </c>
      <c r="G75" s="1" t="s">
        <v>120</v>
      </c>
      <c r="I75" s="15" t="s">
        <v>117</v>
      </c>
      <c r="J75" s="13"/>
      <c r="K75" s="13"/>
      <c r="L75" s="13"/>
      <c r="M75" s="13"/>
      <c r="N75" s="13"/>
      <c r="O75" s="13">
        <v>0.8</v>
      </c>
      <c r="P75" s="13">
        <v>0.8</v>
      </c>
      <c r="Q75" s="13">
        <v>0.8</v>
      </c>
      <c r="R75" s="13">
        <v>0.8</v>
      </c>
      <c r="S75" s="32">
        <f>SUM(FR_CH[[#This Row],[26M04]:[26M06]])</f>
        <v>0</v>
      </c>
      <c r="T75" s="69">
        <f>SUM(FR_CH[[#This Row],[26M07]:[26M09]])</f>
        <v>0.8</v>
      </c>
      <c r="U75" s="69">
        <f>SUM(FR_CH[[#This Row],[26M10]:[26M12]])</f>
        <v>2.4000000000000004</v>
      </c>
      <c r="V75" s="256"/>
      <c r="W75" s="256"/>
      <c r="X75" s="256"/>
      <c r="Y75" s="256"/>
      <c r="Z75" s="256"/>
      <c r="AA75" s="256"/>
      <c r="AB75" s="256">
        <f>SUM(FR_CH[[#This Row],[27M01]:[27M03]])</f>
        <v>0</v>
      </c>
      <c r="AC75" s="256">
        <f>SUM(FR_CH[[#This Row],[27M01]:[27M03]])</f>
        <v>0</v>
      </c>
      <c r="AD75" s="256" t="str">
        <f>IF(SUM(FR_CH[[#This Row],[26Q2]:[26Q4]])+SUM(FR_CH[[#This Row],[27Q1]:[27Q2]])=0,"No FSCT",IF(AND(SUM(FR_CH[[#This Row],[26Q2]:[26Q4]])&gt;0,SUM(FR_CH[[#This Row],[27Q1]:[27Q2]])=0),"YES","NO"))</f>
        <v>YES</v>
      </c>
      <c r="AE75" s="85" t="str">
        <f>VLOOKUP(FR_CH[[#This Row],[Product Line]],Prod_T6[],4,0)</f>
        <v>PV</v>
      </c>
      <c r="AF75" s="3"/>
      <c r="AG75" s="3"/>
      <c r="AH75" s="3"/>
    </row>
    <row r="76" spans="1:34" ht="14.25" customHeight="1">
      <c r="A76" s="29" t="s">
        <v>30</v>
      </c>
      <c r="B76" s="1" t="s">
        <v>185</v>
      </c>
      <c r="C76" s="3" t="s">
        <v>186</v>
      </c>
      <c r="D76" s="3" t="str">
        <f>VLOOKUP(FR_CH[[#This Row],[Product Line]],Prod_T6[],5,0)</f>
        <v>TCL</v>
      </c>
      <c r="E76" s="2" t="s">
        <v>149</v>
      </c>
      <c r="F76" s="2" t="s">
        <v>187</v>
      </c>
      <c r="G76" s="1" t="s">
        <v>120</v>
      </c>
      <c r="I76" s="15" t="s">
        <v>117</v>
      </c>
      <c r="J76" s="13"/>
      <c r="K76" s="13"/>
      <c r="L76" s="13"/>
      <c r="M76" s="13"/>
      <c r="N76" s="13"/>
      <c r="O76" s="13">
        <v>0.4</v>
      </c>
      <c r="P76" s="13">
        <v>0.8</v>
      </c>
      <c r="Q76" s="13">
        <v>0.8</v>
      </c>
      <c r="R76" s="13">
        <v>0.8</v>
      </c>
      <c r="S76" s="32">
        <f>SUM(FR_CH[[#This Row],[26M04]:[26M06]])</f>
        <v>0</v>
      </c>
      <c r="T76" s="69">
        <f>SUM(FR_CH[[#This Row],[26M07]:[26M09]])</f>
        <v>0.4</v>
      </c>
      <c r="U76" s="69">
        <f>SUM(FR_CH[[#This Row],[26M10]:[26M12]])</f>
        <v>2.4000000000000004</v>
      </c>
      <c r="V76" s="256"/>
      <c r="W76" s="256"/>
      <c r="X76" s="256"/>
      <c r="Y76" s="256"/>
      <c r="Z76" s="256"/>
      <c r="AA76" s="256"/>
      <c r="AB76" s="256">
        <f>SUM(FR_CH[[#This Row],[27M01]:[27M03]])</f>
        <v>0</v>
      </c>
      <c r="AC76" s="256">
        <f>SUM(FR_CH[[#This Row],[27M01]:[27M03]])</f>
        <v>0</v>
      </c>
      <c r="AD76" s="256" t="str">
        <f>IF(SUM(FR_CH[[#This Row],[26Q2]:[26Q4]])+SUM(FR_CH[[#This Row],[27Q1]:[27Q2]])=0,"No FSCT",IF(AND(SUM(FR_CH[[#This Row],[26Q2]:[26Q4]])&gt;0,SUM(FR_CH[[#This Row],[27Q1]:[27Q2]])=0),"YES","NO"))</f>
        <v>YES</v>
      </c>
      <c r="AE76" s="85" t="str">
        <f>VLOOKUP(FR_CH[[#This Row],[Product Line]],Prod_T6[],4,0)</f>
        <v>PV</v>
      </c>
      <c r="AF76" s="3"/>
      <c r="AG76" s="3"/>
      <c r="AH76" s="3"/>
    </row>
    <row r="77" spans="1:34" ht="16.5" customHeight="1">
      <c r="A77" s="29" t="s">
        <v>30</v>
      </c>
      <c r="B77" s="1" t="s">
        <v>200</v>
      </c>
      <c r="C77" s="3" t="s">
        <v>186</v>
      </c>
      <c r="D77" s="3" t="str">
        <f>VLOOKUP(FR_CH[[#This Row],[Product Line]],Prod_T6[],5,0)</f>
        <v>Sunpower</v>
      </c>
      <c r="E77" s="2" t="s">
        <v>197</v>
      </c>
      <c r="F77" s="2" t="s">
        <v>59</v>
      </c>
      <c r="G77" s="1" t="s">
        <v>120</v>
      </c>
      <c r="I77" s="15" t="s">
        <v>117</v>
      </c>
      <c r="J77" s="13"/>
      <c r="K77" s="13"/>
      <c r="L77" s="13"/>
      <c r="M77" s="13"/>
      <c r="N77" s="13"/>
      <c r="O77" s="13"/>
      <c r="P77" s="13"/>
      <c r="Q77" s="13"/>
      <c r="R77" s="13"/>
      <c r="S77" s="32">
        <f>SUM(FR_CH[[#This Row],[26M04]:[26M06]])</f>
        <v>0</v>
      </c>
      <c r="T77" s="69">
        <f>SUM(FR_CH[[#This Row],[26M07]:[26M09]])</f>
        <v>0</v>
      </c>
      <c r="U77" s="69">
        <f>SUM(FR_CH[[#This Row],[26M10]:[26M12]])</f>
        <v>0</v>
      </c>
      <c r="V77" s="256"/>
      <c r="W77" s="256"/>
      <c r="X77" s="256"/>
      <c r="Y77" s="256"/>
      <c r="Z77" s="256"/>
      <c r="AA77" s="256"/>
      <c r="AB77" s="256">
        <f>SUM(FR_CH[[#This Row],[27M01]:[27M03]])</f>
        <v>0</v>
      </c>
      <c r="AC77" s="256">
        <f>SUM(FR_CH[[#This Row],[27M01]:[27M03]])</f>
        <v>0</v>
      </c>
      <c r="AD77" s="256" t="str">
        <f>IF(SUM(FR_CH[[#This Row],[26Q2]:[26Q4]])+SUM(FR_CH[[#This Row],[27Q1]:[27Q2]])=0,"No FSCT",IF(AND(SUM(FR_CH[[#This Row],[26Q2]:[26Q4]])&gt;0,SUM(FR_CH[[#This Row],[27Q1]:[27Q2]])=0),"YES","NO"))</f>
        <v>No FSCT</v>
      </c>
      <c r="AE77" s="85" t="str">
        <f>VLOOKUP(FR_CH[[#This Row],[Product Line]],Prod_T6[],4,0)</f>
        <v>ESS</v>
      </c>
      <c r="AF77" s="3"/>
      <c r="AG77" s="3"/>
      <c r="AH77" s="3"/>
    </row>
    <row r="78" spans="1:34" ht="14.25" customHeight="1">
      <c r="A78" s="29" t="s">
        <v>30</v>
      </c>
      <c r="B78" s="1" t="s">
        <v>203</v>
      </c>
      <c r="C78" s="3" t="s">
        <v>651</v>
      </c>
      <c r="D78" s="3" t="str">
        <f>VLOOKUP(FR_CH[[#This Row],[Product Line]],Prod_T6[],5,0)</f>
        <v>TCL</v>
      </c>
      <c r="E78" s="2" t="s">
        <v>149</v>
      </c>
      <c r="F78" s="2" t="s">
        <v>187</v>
      </c>
      <c r="G78" s="1" t="s">
        <v>634</v>
      </c>
      <c r="H78" s="1" t="s">
        <v>652</v>
      </c>
      <c r="I78" s="40" t="s">
        <v>117</v>
      </c>
      <c r="J78" s="13"/>
      <c r="K78" s="13"/>
      <c r="L78" s="13"/>
      <c r="M78" s="13"/>
      <c r="N78" s="13"/>
      <c r="O78" s="13">
        <v>20</v>
      </c>
      <c r="P78" s="13"/>
      <c r="Q78" s="13"/>
      <c r="R78" s="13"/>
      <c r="S78" s="32">
        <f>SUM(FR_CH[[#This Row],[26M04]:[26M06]])</f>
        <v>0</v>
      </c>
      <c r="T78" s="69">
        <f>SUM(FR_CH[[#This Row],[26M07]:[26M09]])</f>
        <v>20</v>
      </c>
      <c r="U78" s="69">
        <f>SUM(FR_CH[[#This Row],[26M10]:[26M12]])</f>
        <v>0</v>
      </c>
      <c r="V78" s="256"/>
      <c r="W78" s="256"/>
      <c r="X78" s="256"/>
      <c r="Y78" s="256"/>
      <c r="Z78" s="256"/>
      <c r="AA78" s="256"/>
      <c r="AB78" s="256">
        <f>SUM(FR_CH[[#This Row],[27M01]:[27M03]])</f>
        <v>0</v>
      </c>
      <c r="AC78" s="256">
        <f>SUM(FR_CH[[#This Row],[27M01]:[27M03]])</f>
        <v>0</v>
      </c>
      <c r="AD78" s="256" t="str">
        <f>IF(SUM(FR_CH[[#This Row],[26Q2]:[26Q4]])+SUM(FR_CH[[#This Row],[27Q1]:[27Q2]])=0,"No FSCT",IF(AND(SUM(FR_CH[[#This Row],[26Q2]:[26Q4]])&gt;0,SUM(FR_CH[[#This Row],[27Q1]:[27Q2]])=0),"YES","NO"))</f>
        <v>YES</v>
      </c>
      <c r="AE78" s="85" t="str">
        <f>VLOOKUP(FR_CH[[#This Row],[Product Line]],Prod_T6[],4,0)</f>
        <v>PV</v>
      </c>
      <c r="AF78" s="3"/>
      <c r="AG78" s="3"/>
      <c r="AH78" s="3"/>
    </row>
    <row r="79" spans="1:34" ht="14.25" customHeight="1">
      <c r="A79" s="29" t="s">
        <v>30</v>
      </c>
      <c r="B79" s="1" t="s">
        <v>203</v>
      </c>
      <c r="C79" s="3" t="s">
        <v>204</v>
      </c>
      <c r="D79" s="3" t="str">
        <f>VLOOKUP(FR_CH[[#This Row],[Product Line]],Prod_T6[],5,0)</f>
        <v>TCL</v>
      </c>
      <c r="E79" s="2" t="s">
        <v>149</v>
      </c>
      <c r="F79" s="2" t="s">
        <v>205</v>
      </c>
      <c r="G79" s="1" t="s">
        <v>115</v>
      </c>
      <c r="H79" s="1" t="s">
        <v>206</v>
      </c>
      <c r="I79" s="40" t="s">
        <v>117</v>
      </c>
      <c r="J79" s="13"/>
      <c r="K79" s="13"/>
      <c r="L79" s="13"/>
      <c r="M79" s="13"/>
      <c r="N79" s="13"/>
      <c r="O79" s="13">
        <v>3</v>
      </c>
      <c r="P79" s="13"/>
      <c r="Q79" s="13"/>
      <c r="R79" s="13"/>
      <c r="S79" s="32">
        <f>SUM(FR_CH[[#This Row],[26M04]:[26M06]])</f>
        <v>0</v>
      </c>
      <c r="T79" s="69">
        <f>SUM(FR_CH[[#This Row],[26M07]:[26M09]])</f>
        <v>3</v>
      </c>
      <c r="U79" s="69">
        <f>SUM(FR_CH[[#This Row],[26M10]:[26M12]])</f>
        <v>0</v>
      </c>
      <c r="V79" s="256"/>
      <c r="W79" s="256"/>
      <c r="X79" s="256"/>
      <c r="Y79" s="256"/>
      <c r="Z79" s="256"/>
      <c r="AA79" s="256"/>
      <c r="AB79" s="256">
        <f>SUM(FR_CH[[#This Row],[27M01]:[27M03]])</f>
        <v>0</v>
      </c>
      <c r="AC79" s="256">
        <f>SUM(FR_CH[[#This Row],[27M01]:[27M03]])</f>
        <v>0</v>
      </c>
      <c r="AD79" s="256" t="str">
        <f>IF(SUM(FR_CH[[#This Row],[26Q2]:[26Q4]])+SUM(FR_CH[[#This Row],[27Q1]:[27Q2]])=0,"No FSCT",IF(AND(SUM(FR_CH[[#This Row],[26Q2]:[26Q4]])&gt;0,SUM(FR_CH[[#This Row],[27Q1]:[27Q2]])=0),"YES","NO"))</f>
        <v>YES</v>
      </c>
      <c r="AE79" s="85" t="str">
        <f>VLOOKUP(FR_CH[[#This Row],[Product Line]],Prod_T6[],4,0)</f>
        <v>PV</v>
      </c>
      <c r="AF79" s="3"/>
      <c r="AG79" s="3"/>
      <c r="AH79" s="3"/>
    </row>
    <row r="80" spans="1:34" ht="14.25" customHeight="1">
      <c r="A80" s="29" t="s">
        <v>30</v>
      </c>
      <c r="B80" s="1" t="s">
        <v>203</v>
      </c>
      <c r="C80" s="3" t="s">
        <v>192</v>
      </c>
      <c r="D80" s="3" t="str">
        <f>VLOOKUP(FR_CH[[#This Row],[Product Line]],Prod_T6[],5,0)</f>
        <v>TCL</v>
      </c>
      <c r="E80" s="2" t="s">
        <v>149</v>
      </c>
      <c r="F80" s="2" t="s">
        <v>187</v>
      </c>
      <c r="G80" s="1" t="s">
        <v>115</v>
      </c>
      <c r="H80" s="1" t="s">
        <v>228</v>
      </c>
      <c r="I80" s="15" t="s">
        <v>117</v>
      </c>
      <c r="J80" s="13"/>
      <c r="K80" s="13"/>
      <c r="L80" s="13"/>
      <c r="M80" s="13"/>
      <c r="N80" s="13"/>
      <c r="O80" s="13"/>
      <c r="P80" s="13"/>
      <c r="Q80" s="13"/>
      <c r="R80" s="13">
        <v>5</v>
      </c>
      <c r="S80" s="32">
        <f>SUM(FR_CH[[#This Row],[26M04]:[26M06]])</f>
        <v>0</v>
      </c>
      <c r="T80" s="69">
        <f>SUM(FR_CH[[#This Row],[26M07]:[26M09]])</f>
        <v>0</v>
      </c>
      <c r="U80" s="69">
        <f>SUM(FR_CH[[#This Row],[26M10]:[26M12]])</f>
        <v>5</v>
      </c>
      <c r="V80" s="256"/>
      <c r="W80" s="256"/>
      <c r="X80" s="256"/>
      <c r="Y80" s="256"/>
      <c r="Z80" s="256"/>
      <c r="AA80" s="256"/>
      <c r="AB80" s="256">
        <f>SUM(FR_CH[[#This Row],[27M01]:[27M03]])</f>
        <v>0</v>
      </c>
      <c r="AC80" s="256">
        <f>SUM(FR_CH[[#This Row],[27M01]:[27M03]])</f>
        <v>0</v>
      </c>
      <c r="AD80" s="256" t="str">
        <f>IF(SUM(FR_CH[[#This Row],[26Q2]:[26Q4]])+SUM(FR_CH[[#This Row],[27Q1]:[27Q2]])=0,"No FSCT",IF(AND(SUM(FR_CH[[#This Row],[26Q2]:[26Q4]])&gt;0,SUM(FR_CH[[#This Row],[27Q1]:[27Q2]])=0),"YES","NO"))</f>
        <v>YES</v>
      </c>
      <c r="AE80" s="85" t="str">
        <f>VLOOKUP(FR_CH[[#This Row],[Product Line]],Prod_T6[],4,0)</f>
        <v>PV</v>
      </c>
      <c r="AF80" s="3"/>
      <c r="AG80" s="3"/>
      <c r="AH80" s="3"/>
    </row>
    <row r="81" spans="1:34" ht="14.25" customHeight="1">
      <c r="A81" s="29" t="s">
        <v>30</v>
      </c>
      <c r="B81" s="1" t="s">
        <v>203</v>
      </c>
      <c r="C81" s="3" t="s">
        <v>210</v>
      </c>
      <c r="D81" s="3" t="str">
        <f>VLOOKUP(FR_CH[[#This Row],[Product Line]],Prod_T6[],5,0)</f>
        <v>TCL</v>
      </c>
      <c r="E81" s="2" t="s">
        <v>113</v>
      </c>
      <c r="F81" s="2" t="s">
        <v>208</v>
      </c>
      <c r="G81" s="1" t="s">
        <v>115</v>
      </c>
      <c r="H81" s="1" t="s">
        <v>209</v>
      </c>
      <c r="I81" s="15" t="s">
        <v>117</v>
      </c>
      <c r="J81" s="13"/>
      <c r="K81" s="13"/>
      <c r="L81" s="13"/>
      <c r="M81" s="13"/>
      <c r="N81" s="13"/>
      <c r="O81" s="13"/>
      <c r="P81" s="13"/>
      <c r="Q81" s="32"/>
      <c r="R81" s="79"/>
      <c r="S81" s="32">
        <f>SUM(FR_CH[[#This Row],[26M04]:[26M06]])</f>
        <v>0</v>
      </c>
      <c r="T81" s="69">
        <f>SUM(FR_CH[[#This Row],[26M07]:[26M09]])</f>
        <v>0</v>
      </c>
      <c r="U81" s="69">
        <f>SUM(FR_CH[[#This Row],[26M10]:[26M12]])</f>
        <v>0</v>
      </c>
      <c r="V81" s="256">
        <v>4</v>
      </c>
      <c r="W81" s="256">
        <v>4</v>
      </c>
      <c r="X81" s="256">
        <v>4</v>
      </c>
      <c r="Y81" s="256">
        <v>4</v>
      </c>
      <c r="Z81" s="256">
        <v>4</v>
      </c>
      <c r="AA81" s="256">
        <v>4</v>
      </c>
      <c r="AB81" s="256">
        <f>SUM(FR_CH[[#This Row],[27M01]:[27M03]])</f>
        <v>12</v>
      </c>
      <c r="AC81" s="256">
        <f>SUM(FR_CH[[#This Row],[27M01]:[27M03]])</f>
        <v>12</v>
      </c>
      <c r="AD81" s="256" t="str">
        <f>IF(SUM(FR_CH[[#This Row],[26Q2]:[26Q4]])+SUM(FR_CH[[#This Row],[27Q1]:[27Q2]])=0,"No FSCT",IF(AND(SUM(FR_CH[[#This Row],[26Q2]:[26Q4]])&gt;0,SUM(FR_CH[[#This Row],[27Q1]:[27Q2]])=0),"YES","NO"))</f>
        <v>NO</v>
      </c>
      <c r="AE81" s="120" t="str">
        <f>VLOOKUP(FR_CH[[#This Row],[Product Line]],Prod_T6[],4,0)</f>
        <v>PV</v>
      </c>
      <c r="AF81" s="3"/>
      <c r="AG81" s="3"/>
      <c r="AH81" s="3"/>
    </row>
    <row r="82" spans="1:34" ht="14.25" customHeight="1">
      <c r="A82" s="29" t="s">
        <v>30</v>
      </c>
      <c r="B82" s="1" t="s">
        <v>203</v>
      </c>
      <c r="C82" s="3" t="s">
        <v>207</v>
      </c>
      <c r="D82" s="3" t="str">
        <f>VLOOKUP(FR_CH[[#This Row],[Product Line]],Prod_T6[],5,0)</f>
        <v>TCL</v>
      </c>
      <c r="E82" s="2" t="s">
        <v>113</v>
      </c>
      <c r="F82" s="2" t="s">
        <v>208</v>
      </c>
      <c r="G82" s="1" t="s">
        <v>115</v>
      </c>
      <c r="H82" s="1" t="s">
        <v>209</v>
      </c>
      <c r="I82" s="15" t="s">
        <v>117</v>
      </c>
      <c r="J82" s="13"/>
      <c r="K82" s="13"/>
      <c r="L82" s="13"/>
      <c r="M82" s="13"/>
      <c r="N82" s="13"/>
      <c r="O82" s="13"/>
      <c r="P82" s="13"/>
      <c r="Q82" s="32"/>
      <c r="R82" s="79"/>
      <c r="S82" s="32">
        <f>SUM(FR_CH[[#This Row],[26M04]:[26M06]])</f>
        <v>0</v>
      </c>
      <c r="T82" s="69">
        <f>SUM(FR_CH[[#This Row],[26M07]:[26M09]])</f>
        <v>0</v>
      </c>
      <c r="U82" s="69">
        <f>SUM(FR_CH[[#This Row],[26M10]:[26M12]])</f>
        <v>0</v>
      </c>
      <c r="V82" s="256">
        <v>5</v>
      </c>
      <c r="W82" s="256">
        <v>5</v>
      </c>
      <c r="X82" s="256">
        <v>5</v>
      </c>
      <c r="Y82" s="256">
        <v>5</v>
      </c>
      <c r="Z82" s="256">
        <v>5</v>
      </c>
      <c r="AA82" s="256">
        <v>5</v>
      </c>
      <c r="AB82" s="256">
        <f>SUM(FR_CH[[#This Row],[27M01]:[27M03]])</f>
        <v>15</v>
      </c>
      <c r="AC82" s="256">
        <f>SUM(FR_CH[[#This Row],[27M01]:[27M03]])</f>
        <v>15</v>
      </c>
      <c r="AD82" s="256" t="str">
        <f>IF(SUM(FR_CH[[#This Row],[26Q2]:[26Q4]])+SUM(FR_CH[[#This Row],[27Q1]:[27Q2]])=0,"No FSCT",IF(AND(SUM(FR_CH[[#This Row],[26Q2]:[26Q4]])&gt;0,SUM(FR_CH[[#This Row],[27Q1]:[27Q2]])=0),"YES","NO"))</f>
        <v>NO</v>
      </c>
      <c r="AE82" s="120" t="str">
        <f>VLOOKUP(FR_CH[[#This Row],[Product Line]],Prod_T6[],4,0)</f>
        <v>PV</v>
      </c>
      <c r="AF82" s="3"/>
      <c r="AG82" s="3"/>
      <c r="AH82" s="3"/>
    </row>
    <row r="83" spans="1:34" ht="14.25" customHeight="1">
      <c r="A83" s="29" t="s">
        <v>30</v>
      </c>
      <c r="B83" s="1" t="s">
        <v>203</v>
      </c>
      <c r="C83" s="3" t="s">
        <v>227</v>
      </c>
      <c r="D83" s="3" t="str">
        <f>VLOOKUP(FR_CH[[#This Row],[Product Line]],Prod_T6[],5,0)</f>
        <v>TCL</v>
      </c>
      <c r="E83" s="2" t="s">
        <v>149</v>
      </c>
      <c r="F83" s="2" t="s">
        <v>195</v>
      </c>
      <c r="G83" s="1" t="s">
        <v>115</v>
      </c>
      <c r="H83" s="1" t="s">
        <v>226</v>
      </c>
      <c r="I83" s="40" t="s">
        <v>117</v>
      </c>
      <c r="J83" s="13"/>
      <c r="K83" s="13"/>
      <c r="L83" s="13"/>
      <c r="M83" s="13"/>
      <c r="N83" s="13"/>
      <c r="O83" s="13"/>
      <c r="P83" s="13"/>
      <c r="Q83" s="32"/>
      <c r="R83" s="138"/>
      <c r="S83" s="32">
        <f>SUM(FR_CH[[#This Row],[26M04]:[26M06]])</f>
        <v>0</v>
      </c>
      <c r="T83" s="69">
        <f>SUM(FR_CH[[#This Row],[26M07]:[26M09]])</f>
        <v>0</v>
      </c>
      <c r="U83" s="69">
        <f>SUM(FR_CH[[#This Row],[26M10]:[26M12]])</f>
        <v>0</v>
      </c>
      <c r="V83" s="256">
        <v>4</v>
      </c>
      <c r="W83" s="256"/>
      <c r="X83" s="256"/>
      <c r="Y83" s="256"/>
      <c r="Z83" s="256"/>
      <c r="AA83" s="256"/>
      <c r="AB83" s="256">
        <f>SUM(FR_CH[[#This Row],[27M01]:[27M03]])</f>
        <v>4</v>
      </c>
      <c r="AC83" s="256">
        <f>SUM(FR_CH[[#This Row],[27M01]:[27M03]])</f>
        <v>4</v>
      </c>
      <c r="AD83" s="256" t="str">
        <f>IF(SUM(FR_CH[[#This Row],[26Q2]:[26Q4]])+SUM(FR_CH[[#This Row],[27Q1]:[27Q2]])=0,"No FSCT",IF(AND(SUM(FR_CH[[#This Row],[26Q2]:[26Q4]])&gt;0,SUM(FR_CH[[#This Row],[27Q1]:[27Q2]])=0),"YES","NO"))</f>
        <v>NO</v>
      </c>
      <c r="AE83" s="85" t="str">
        <f>VLOOKUP(FR_CH[[#This Row],[Product Line]],Prod_T6[],4,0)</f>
        <v>PV</v>
      </c>
      <c r="AF83" s="3"/>
      <c r="AG83" s="3"/>
      <c r="AH83" s="3"/>
    </row>
    <row r="84" spans="1:34" ht="14.25" customHeight="1">
      <c r="A84" s="29" t="s">
        <v>30</v>
      </c>
      <c r="B84" s="1" t="s">
        <v>203</v>
      </c>
      <c r="C84" s="3" t="s">
        <v>225</v>
      </c>
      <c r="D84" s="3" t="str">
        <f>VLOOKUP(FR_CH[[#This Row],[Product Line]],Prod_T6[],5,0)</f>
        <v>TCL</v>
      </c>
      <c r="E84" s="2" t="s">
        <v>149</v>
      </c>
      <c r="F84" s="2" t="s">
        <v>195</v>
      </c>
      <c r="G84" s="1" t="s">
        <v>115</v>
      </c>
      <c r="H84" s="1" t="s">
        <v>226</v>
      </c>
      <c r="I84" s="40" t="s">
        <v>117</v>
      </c>
      <c r="J84" s="13"/>
      <c r="K84" s="13"/>
      <c r="L84" s="13"/>
      <c r="M84" s="13"/>
      <c r="N84" s="13"/>
      <c r="O84" s="13"/>
      <c r="P84" s="13"/>
      <c r="Q84" s="32"/>
      <c r="R84" s="138"/>
      <c r="S84" s="32">
        <f>SUM(FR_CH[[#This Row],[26M04]:[26M06]])</f>
        <v>0</v>
      </c>
      <c r="T84" s="69">
        <f>SUM(FR_CH[[#This Row],[26M07]:[26M09]])</f>
        <v>0</v>
      </c>
      <c r="U84" s="69">
        <f>SUM(FR_CH[[#This Row],[26M10]:[26M12]])</f>
        <v>0</v>
      </c>
      <c r="V84" s="256"/>
      <c r="W84" s="256">
        <v>4</v>
      </c>
      <c r="X84" s="256"/>
      <c r="Y84" s="256"/>
      <c r="Z84" s="256"/>
      <c r="AA84" s="256"/>
      <c r="AB84" s="256">
        <f>SUM(FR_CH[[#This Row],[27M01]:[27M03]])</f>
        <v>4</v>
      </c>
      <c r="AC84" s="256">
        <f>SUM(FR_CH[[#This Row],[27M01]:[27M03]])</f>
        <v>4</v>
      </c>
      <c r="AD84" s="256" t="str">
        <f>IF(SUM(FR_CH[[#This Row],[26Q2]:[26Q4]])+SUM(FR_CH[[#This Row],[27Q1]:[27Q2]])=0,"No FSCT",IF(AND(SUM(FR_CH[[#This Row],[26Q2]:[26Q4]])&gt;0,SUM(FR_CH[[#This Row],[27Q1]:[27Q2]])=0),"YES","NO"))</f>
        <v>NO</v>
      </c>
      <c r="AE84" s="85" t="str">
        <f>VLOOKUP(FR_CH[[#This Row],[Product Line]],Prod_T6[],4,0)</f>
        <v>PV</v>
      </c>
      <c r="AF84" s="3"/>
      <c r="AG84" s="3"/>
      <c r="AH84" s="3"/>
    </row>
    <row r="85" spans="1:34" ht="14.25" customHeight="1">
      <c r="A85" s="29" t="s">
        <v>30</v>
      </c>
      <c r="B85" s="1" t="s">
        <v>224</v>
      </c>
      <c r="C85" s="3" t="s">
        <v>192</v>
      </c>
      <c r="D85" s="3" t="str">
        <f>VLOOKUP(FR_CH[[#This Row],[Product Line]],Prod_T6[],5,0)</f>
        <v>Sunpower</v>
      </c>
      <c r="E85" s="2" t="s">
        <v>197</v>
      </c>
      <c r="F85" s="2" t="s">
        <v>60</v>
      </c>
      <c r="G85" s="1" t="s">
        <v>120</v>
      </c>
      <c r="I85" s="40" t="s">
        <v>117</v>
      </c>
      <c r="J85" s="13"/>
      <c r="K85" s="13">
        <v>4</v>
      </c>
      <c r="L85" s="13"/>
      <c r="M85" s="13"/>
      <c r="N85" s="13">
        <v>4</v>
      </c>
      <c r="O85" s="13"/>
      <c r="P85" s="13">
        <v>4</v>
      </c>
      <c r="Q85" s="13">
        <v>4</v>
      </c>
      <c r="R85" s="13"/>
      <c r="S85" s="32">
        <f>SUM(FR_CH[[#This Row],[26M04]:[26M06]])</f>
        <v>4</v>
      </c>
      <c r="T85" s="69">
        <f>SUM(FR_CH[[#This Row],[26M07]:[26M09]])</f>
        <v>4</v>
      </c>
      <c r="U85" s="69">
        <f>SUM(FR_CH[[#This Row],[26M10]:[26M12]])</f>
        <v>8</v>
      </c>
      <c r="V85" s="256"/>
      <c r="W85" s="256"/>
      <c r="X85" s="256"/>
      <c r="Y85" s="256"/>
      <c r="Z85" s="256"/>
      <c r="AA85" s="256"/>
      <c r="AB85" s="256">
        <f>SUM(FR_CH[[#This Row],[27M01]:[27M03]])</f>
        <v>0</v>
      </c>
      <c r="AC85" s="256">
        <f>SUM(FR_CH[[#This Row],[27M01]:[27M03]])</f>
        <v>0</v>
      </c>
      <c r="AD85" s="256" t="str">
        <f>IF(SUM(FR_CH[[#This Row],[26Q2]:[26Q4]])+SUM(FR_CH[[#This Row],[27Q1]:[27Q2]])=0,"No FSCT",IF(AND(SUM(FR_CH[[#This Row],[26Q2]:[26Q4]])&gt;0,SUM(FR_CH[[#This Row],[27Q1]:[27Q2]])=0),"YES","NO"))</f>
        <v>YES</v>
      </c>
      <c r="AE85" s="85" t="str">
        <f>VLOOKUP(FR_CH[[#This Row],[Product Line]],Prod_T6[],4,0)</f>
        <v>ESS</v>
      </c>
      <c r="AF85" s="3"/>
      <c r="AG85" s="3"/>
      <c r="AH85" s="3"/>
    </row>
    <row r="86" spans="1:34" ht="14.25" customHeight="1">
      <c r="A86" s="29" t="s">
        <v>30</v>
      </c>
      <c r="B86" s="1" t="s">
        <v>224</v>
      </c>
      <c r="C86" s="3" t="s">
        <v>192</v>
      </c>
      <c r="D86" s="3" t="str">
        <f>VLOOKUP(FR_CH[[#This Row],[Product Line]],Prod_T6[],5,0)</f>
        <v>Sunpower</v>
      </c>
      <c r="E86" s="2" t="s">
        <v>197</v>
      </c>
      <c r="F86" s="2" t="s">
        <v>62</v>
      </c>
      <c r="G86" s="1" t="s">
        <v>120</v>
      </c>
      <c r="I86" s="40" t="s">
        <v>117</v>
      </c>
      <c r="J86" s="13"/>
      <c r="K86" s="13"/>
      <c r="L86" s="13">
        <v>3</v>
      </c>
      <c r="M86" s="13"/>
      <c r="N86" s="13"/>
      <c r="O86" s="13"/>
      <c r="P86" s="13">
        <v>4</v>
      </c>
      <c r="Q86" s="13"/>
      <c r="R86" s="13"/>
      <c r="S86" s="32">
        <f>SUM(FR_CH[[#This Row],[26M04]:[26M06]])</f>
        <v>3</v>
      </c>
      <c r="T86" s="69">
        <f>SUM(FR_CH[[#This Row],[26M07]:[26M09]])</f>
        <v>0</v>
      </c>
      <c r="U86" s="69">
        <f>SUM(FR_CH[[#This Row],[26M10]:[26M12]])</f>
        <v>4</v>
      </c>
      <c r="V86" s="256"/>
      <c r="W86" s="256"/>
      <c r="X86" s="256"/>
      <c r="Y86" s="256"/>
      <c r="Z86" s="256"/>
      <c r="AA86" s="256"/>
      <c r="AB86" s="256">
        <f>SUM(FR_CH[[#This Row],[27M01]:[27M03]])</f>
        <v>0</v>
      </c>
      <c r="AC86" s="256">
        <f>SUM(FR_CH[[#This Row],[27M01]:[27M03]])</f>
        <v>0</v>
      </c>
      <c r="AD86" s="256" t="str">
        <f>IF(SUM(FR_CH[[#This Row],[26Q2]:[26Q4]])+SUM(FR_CH[[#This Row],[27Q1]:[27Q2]])=0,"No FSCT",IF(AND(SUM(FR_CH[[#This Row],[26Q2]:[26Q4]])&gt;0,SUM(FR_CH[[#This Row],[27Q1]:[27Q2]])=0),"YES","NO"))</f>
        <v>YES</v>
      </c>
      <c r="AE86" s="85" t="str">
        <f>VLOOKUP(FR_CH[[#This Row],[Product Line]],Prod_T6[],4,0)</f>
        <v>ESS</v>
      </c>
      <c r="AF86" s="3"/>
      <c r="AG86" s="3"/>
      <c r="AH86" s="3"/>
    </row>
    <row r="87" spans="1:34" ht="14.25" customHeight="1">
      <c r="A87" s="29" t="s">
        <v>30</v>
      </c>
      <c r="B87" s="1" t="s">
        <v>203</v>
      </c>
      <c r="C87" s="3" t="s">
        <v>223</v>
      </c>
      <c r="D87" s="3" t="str">
        <f>VLOOKUP(FR_CH[[#This Row],[Product Line]],Prod_T6[],5,0)</f>
        <v>TCL</v>
      </c>
      <c r="E87" s="2" t="s">
        <v>149</v>
      </c>
      <c r="F87" s="2" t="s">
        <v>187</v>
      </c>
      <c r="G87" s="1" t="s">
        <v>115</v>
      </c>
      <c r="I87" s="40" t="s">
        <v>117</v>
      </c>
      <c r="J87" s="13"/>
      <c r="K87" s="13"/>
      <c r="L87" s="13"/>
      <c r="M87" s="13"/>
      <c r="N87" s="13"/>
      <c r="O87" s="13"/>
      <c r="P87" s="13">
        <v>5</v>
      </c>
      <c r="Q87" s="13"/>
      <c r="R87" s="13"/>
      <c r="S87" s="32">
        <f>SUM(FR_CH[[#This Row],[26M04]:[26M06]])</f>
        <v>0</v>
      </c>
      <c r="T87" s="69">
        <f>SUM(FR_CH[[#This Row],[26M07]:[26M09]])</f>
        <v>0</v>
      </c>
      <c r="U87" s="69">
        <f>SUM(FR_CH[[#This Row],[26M10]:[26M12]])</f>
        <v>5</v>
      </c>
      <c r="V87" s="256"/>
      <c r="W87" s="256"/>
      <c r="X87" s="256"/>
      <c r="Y87" s="256"/>
      <c r="Z87" s="256"/>
      <c r="AA87" s="256"/>
      <c r="AB87" s="256">
        <f>SUM(FR_CH[[#This Row],[27M01]:[27M03]])</f>
        <v>0</v>
      </c>
      <c r="AC87" s="256">
        <f>SUM(FR_CH[[#This Row],[27M01]:[27M03]])</f>
        <v>0</v>
      </c>
      <c r="AD87" s="256" t="str">
        <f>IF(SUM(FR_CH[[#This Row],[26Q2]:[26Q4]])+SUM(FR_CH[[#This Row],[27Q1]:[27Q2]])=0,"No FSCT",IF(AND(SUM(FR_CH[[#This Row],[26Q2]:[26Q4]])&gt;0,SUM(FR_CH[[#This Row],[27Q1]:[27Q2]])=0),"YES","NO"))</f>
        <v>YES</v>
      </c>
      <c r="AE87" s="85" t="str">
        <f>VLOOKUP(FR_CH[[#This Row],[Product Line]],Prod_T6[],4,0)</f>
        <v>PV</v>
      </c>
      <c r="AF87" s="3"/>
      <c r="AG87" s="3"/>
      <c r="AH87" s="3"/>
    </row>
    <row r="88" spans="1:34" ht="14.25" customHeight="1">
      <c r="A88" s="29" t="s">
        <v>30</v>
      </c>
      <c r="B88" s="1" t="s">
        <v>203</v>
      </c>
      <c r="C88" s="3" t="s">
        <v>222</v>
      </c>
      <c r="D88" s="3" t="str">
        <f>VLOOKUP(FR_CH[[#This Row],[Product Line]],Prod_T6[],5,0)</f>
        <v>TCL</v>
      </c>
      <c r="E88" s="2" t="s">
        <v>141</v>
      </c>
      <c r="F88" s="2" t="s">
        <v>46</v>
      </c>
      <c r="G88" s="1" t="s">
        <v>156</v>
      </c>
      <c r="I88" s="40" t="s">
        <v>117</v>
      </c>
      <c r="J88" s="13"/>
      <c r="K88" s="13"/>
      <c r="L88" s="13"/>
      <c r="M88" s="13"/>
      <c r="N88" s="13"/>
      <c r="O88" s="13">
        <v>1</v>
      </c>
      <c r="P88" s="13"/>
      <c r="Q88" s="13"/>
      <c r="R88" s="13"/>
      <c r="S88" s="32"/>
      <c r="T88" s="69">
        <f>SUM(FR_CH[[#This Row],[26M07]:[26M09]])</f>
        <v>1</v>
      </c>
      <c r="U88" s="69">
        <f>SUM(FR_CH[[#This Row],[26M10]:[26M12]])</f>
        <v>0</v>
      </c>
      <c r="V88" s="256"/>
      <c r="W88" s="256"/>
      <c r="X88" s="256"/>
      <c r="Y88" s="256"/>
      <c r="Z88" s="256"/>
      <c r="AA88" s="256"/>
      <c r="AB88" s="256">
        <f>SUM(FR_CH[[#This Row],[27M01]:[27M03]])</f>
        <v>0</v>
      </c>
      <c r="AC88" s="256">
        <f>SUM(FR_CH[[#This Row],[27M01]:[27M03]])</f>
        <v>0</v>
      </c>
      <c r="AD88" s="256" t="str">
        <f>IF(SUM(FR_CH[[#This Row],[26Q2]:[26Q4]])+SUM(FR_CH[[#This Row],[27Q1]:[27Q2]])=0,"No FSCT",IF(AND(SUM(FR_CH[[#This Row],[26Q2]:[26Q4]])&gt;0,SUM(FR_CH[[#This Row],[27Q1]:[27Q2]])=0),"YES","NO"))</f>
        <v>YES</v>
      </c>
      <c r="AE88" s="85" t="str">
        <f>VLOOKUP(FR_CH[[#This Row],[Product Line]],Prod_T6[],4,0)</f>
        <v>ESS</v>
      </c>
      <c r="AF88" s="3"/>
      <c r="AG88" s="3"/>
      <c r="AH88" s="3"/>
    </row>
    <row r="89" spans="1:34" ht="14.25" customHeight="1">
      <c r="A89" s="29" t="s">
        <v>30</v>
      </c>
      <c r="B89" s="1" t="s">
        <v>188</v>
      </c>
      <c r="C89" s="3" t="s">
        <v>212</v>
      </c>
      <c r="D89" s="3" t="str">
        <f>VLOOKUP(FR_CH[[#This Row],[Product Line]],Prod_T6[],5,0)</f>
        <v>TCL</v>
      </c>
      <c r="E89" s="2" t="s">
        <v>141</v>
      </c>
      <c r="F89" s="2" t="s">
        <v>46</v>
      </c>
      <c r="G89" s="1" t="s">
        <v>120</v>
      </c>
      <c r="I89" s="40" t="s">
        <v>117</v>
      </c>
      <c r="J89" s="13"/>
      <c r="K89" s="13"/>
      <c r="L89" s="13"/>
      <c r="M89" s="13"/>
      <c r="N89" s="156">
        <v>1</v>
      </c>
      <c r="O89" s="13"/>
      <c r="P89" s="13"/>
      <c r="Q89" s="13"/>
      <c r="R89" s="13"/>
      <c r="S89" s="32">
        <f>SUM(FR_CH[[#This Row],[26M04]:[26M06]])</f>
        <v>0</v>
      </c>
      <c r="T89" s="69">
        <f>SUM(FR_CH[[#This Row],[26M07]:[26M09]])</f>
        <v>1</v>
      </c>
      <c r="U89" s="69">
        <f>SUM(FR_CH[[#This Row],[26M10]:[26M12]])</f>
        <v>0</v>
      </c>
      <c r="V89" s="256"/>
      <c r="W89" s="256"/>
      <c r="X89" s="256"/>
      <c r="Y89" s="256"/>
      <c r="Z89" s="256"/>
      <c r="AA89" s="256"/>
      <c r="AB89" s="256">
        <f>SUM(FR_CH[[#This Row],[27M01]:[27M03]])</f>
        <v>0</v>
      </c>
      <c r="AC89" s="256">
        <f>SUM(FR_CH[[#This Row],[27M01]:[27M03]])</f>
        <v>0</v>
      </c>
      <c r="AD89" s="256" t="str">
        <f>IF(SUM(FR_CH[[#This Row],[26Q2]:[26Q4]])+SUM(FR_CH[[#This Row],[27Q1]:[27Q2]])=0,"No FSCT",IF(AND(SUM(FR_CH[[#This Row],[26Q2]:[26Q4]])&gt;0,SUM(FR_CH[[#This Row],[27Q1]:[27Q2]])=0),"YES","NO"))</f>
        <v>YES</v>
      </c>
      <c r="AE89" s="85" t="str">
        <f>VLOOKUP(FR_CH[[#This Row],[Product Line]],Prod_T6[],4,0)</f>
        <v>ESS</v>
      </c>
      <c r="AF89" s="3"/>
      <c r="AG89" s="3"/>
      <c r="AH89" s="3"/>
    </row>
    <row r="90" spans="1:34" ht="14.25" customHeight="1">
      <c r="A90" s="29" t="s">
        <v>30</v>
      </c>
      <c r="B90" s="1" t="s">
        <v>189</v>
      </c>
      <c r="C90" s="3" t="s">
        <v>221</v>
      </c>
      <c r="D90" s="3" t="str">
        <f>VLOOKUP(FR_CH[[#This Row],[Product Line]],Prod_T6[],5,0)</f>
        <v>TCL</v>
      </c>
      <c r="E90" s="2" t="s">
        <v>141</v>
      </c>
      <c r="F90" s="2" t="s">
        <v>46</v>
      </c>
      <c r="G90" s="1" t="s">
        <v>136</v>
      </c>
      <c r="I90" s="40" t="s">
        <v>117</v>
      </c>
      <c r="J90" s="13"/>
      <c r="K90" s="13"/>
      <c r="L90" s="13"/>
      <c r="M90" s="13"/>
      <c r="N90" s="13"/>
      <c r="O90" s="156">
        <v>1</v>
      </c>
      <c r="P90" s="13"/>
      <c r="Q90" s="13"/>
      <c r="R90" s="13"/>
      <c r="S90" s="32">
        <f>SUM(FR_CH[[#This Row],[26M04]:[26M06]])</f>
        <v>0</v>
      </c>
      <c r="T90" s="69">
        <f>SUM(FR_CH[[#This Row],[26M07]:[26M09]])</f>
        <v>1</v>
      </c>
      <c r="U90" s="69">
        <f>SUM(FR_CH[[#This Row],[26M10]:[26M12]])</f>
        <v>0</v>
      </c>
      <c r="V90" s="256"/>
      <c r="W90" s="256"/>
      <c r="X90" s="256"/>
      <c r="Y90" s="256"/>
      <c r="Z90" s="256"/>
      <c r="AA90" s="256"/>
      <c r="AB90" s="256">
        <f>SUM(FR_CH[[#This Row],[27M01]:[27M03]])</f>
        <v>0</v>
      </c>
      <c r="AC90" s="256">
        <f>SUM(FR_CH[[#This Row],[27M01]:[27M03]])</f>
        <v>0</v>
      </c>
      <c r="AD90" s="256" t="str">
        <f>IF(SUM(FR_CH[[#This Row],[26Q2]:[26Q4]])+SUM(FR_CH[[#This Row],[27Q1]:[27Q2]])=0,"No FSCT",IF(AND(SUM(FR_CH[[#This Row],[26Q2]:[26Q4]])&gt;0,SUM(FR_CH[[#This Row],[27Q1]:[27Q2]])=0),"YES","NO"))</f>
        <v>YES</v>
      </c>
      <c r="AE90" s="85" t="str">
        <f>VLOOKUP(FR_CH[[#This Row],[Product Line]],Prod_T6[],4,0)</f>
        <v>ESS</v>
      </c>
      <c r="AF90" s="3"/>
      <c r="AG90" s="3"/>
      <c r="AH90" s="3"/>
    </row>
    <row r="91" spans="1:34" ht="14.25" customHeight="1">
      <c r="A91" s="29" t="s">
        <v>30</v>
      </c>
      <c r="B91" s="1" t="s">
        <v>198</v>
      </c>
      <c r="C91" s="3" t="s">
        <v>220</v>
      </c>
      <c r="D91" s="3" t="str">
        <f>VLOOKUP(FR_CH[[#This Row],[Product Line]],Prod_T6[],5,0)</f>
        <v>TCL</v>
      </c>
      <c r="E91" s="2" t="s">
        <v>141</v>
      </c>
      <c r="F91" s="2" t="s">
        <v>46</v>
      </c>
      <c r="G91" s="1" t="s">
        <v>115</v>
      </c>
      <c r="I91" s="40" t="s">
        <v>117</v>
      </c>
      <c r="J91" s="13"/>
      <c r="K91" s="13"/>
      <c r="L91" s="13"/>
      <c r="M91" s="13"/>
      <c r="N91" s="13"/>
      <c r="O91" s="156">
        <v>1</v>
      </c>
      <c r="P91" s="13"/>
      <c r="Q91" s="13"/>
      <c r="R91" s="13"/>
      <c r="S91" s="32">
        <f>SUM(FR_CH[[#This Row],[26M04]:[26M06]])</f>
        <v>0</v>
      </c>
      <c r="T91" s="69">
        <f>SUM(FR_CH[[#This Row],[26M07]:[26M09]])</f>
        <v>1</v>
      </c>
      <c r="U91" s="69">
        <f>SUM(FR_CH[[#This Row],[26M10]:[26M12]])</f>
        <v>0</v>
      </c>
      <c r="V91" s="256"/>
      <c r="W91" s="256"/>
      <c r="X91" s="256"/>
      <c r="Y91" s="256"/>
      <c r="Z91" s="256"/>
      <c r="AA91" s="256"/>
      <c r="AB91" s="256">
        <f>SUM(FR_CH[[#This Row],[27M01]:[27M03]])</f>
        <v>0</v>
      </c>
      <c r="AC91" s="256">
        <f>SUM(FR_CH[[#This Row],[27M01]:[27M03]])</f>
        <v>0</v>
      </c>
      <c r="AD91" s="256" t="str">
        <f>IF(SUM(FR_CH[[#This Row],[26Q2]:[26Q4]])+SUM(FR_CH[[#This Row],[27Q1]:[27Q2]])=0,"No FSCT",IF(AND(SUM(FR_CH[[#This Row],[26Q2]:[26Q4]])&gt;0,SUM(FR_CH[[#This Row],[27Q1]:[27Q2]])=0),"YES","NO"))</f>
        <v>YES</v>
      </c>
      <c r="AE91" s="85" t="str">
        <f>VLOOKUP(FR_CH[[#This Row],[Product Line]],Prod_T6[],4,0)</f>
        <v>ESS</v>
      </c>
      <c r="AF91" s="3"/>
      <c r="AG91" s="3"/>
      <c r="AH91" s="3"/>
    </row>
    <row r="92" spans="1:34" ht="14.25" customHeight="1">
      <c r="A92" s="29" t="s">
        <v>30</v>
      </c>
      <c r="B92" s="1" t="s">
        <v>203</v>
      </c>
      <c r="C92" s="3" t="s">
        <v>219</v>
      </c>
      <c r="D92" s="3" t="str">
        <f>VLOOKUP(FR_CH[[#This Row],[Product Line]],Prod_T6[],5,0)</f>
        <v>TCL</v>
      </c>
      <c r="E92" s="2" t="s">
        <v>141</v>
      </c>
      <c r="F92" s="2" t="s">
        <v>50</v>
      </c>
      <c r="G92" s="1" t="s">
        <v>213</v>
      </c>
      <c r="I92" s="40" t="s">
        <v>117</v>
      </c>
      <c r="J92" s="13"/>
      <c r="K92" s="13"/>
      <c r="L92" s="13"/>
      <c r="M92" s="13"/>
      <c r="N92" s="13"/>
      <c r="O92" s="13"/>
      <c r="P92" s="13"/>
      <c r="Q92" s="13"/>
      <c r="R92" s="13"/>
      <c r="S92" s="32">
        <f>SUM(FR_CH[[#This Row],[26M04]:[26M06]])</f>
        <v>0</v>
      </c>
      <c r="T92" s="69">
        <f>SUM(FR_CH[[#This Row],[26M07]:[26M09]])</f>
        <v>0</v>
      </c>
      <c r="U92" s="69">
        <f>SUM(FR_CH[[#This Row],[26M10]:[26M12]])</f>
        <v>0</v>
      </c>
      <c r="V92" s="256"/>
      <c r="W92" s="256">
        <v>10</v>
      </c>
      <c r="X92" s="256">
        <v>10</v>
      </c>
      <c r="Y92" s="256">
        <v>10</v>
      </c>
      <c r="Z92" s="256">
        <v>10</v>
      </c>
      <c r="AA92" s="256">
        <v>10</v>
      </c>
      <c r="AB92" s="256">
        <f>SUM(FR_CH[[#This Row],[27M01]:[27M03]])</f>
        <v>20</v>
      </c>
      <c r="AC92" s="256">
        <f>SUM(FR_CH[[#This Row],[27M01]:[27M03]])</f>
        <v>20</v>
      </c>
      <c r="AD92" s="256" t="str">
        <f>IF(SUM(FR_CH[[#This Row],[26Q2]:[26Q4]])+SUM(FR_CH[[#This Row],[27Q1]:[27Q2]])=0,"No FSCT",IF(AND(SUM(FR_CH[[#This Row],[26Q2]:[26Q4]])&gt;0,SUM(FR_CH[[#This Row],[27Q1]:[27Q2]])=0),"YES","NO"))</f>
        <v>NO</v>
      </c>
      <c r="AE92" s="85" t="str">
        <f>VLOOKUP(FR_CH[[#This Row],[Product Line]],Prod_T6[],4,0)</f>
        <v>ESS</v>
      </c>
      <c r="AF92" s="3"/>
      <c r="AG92" s="3"/>
      <c r="AH92" s="3"/>
    </row>
    <row r="93" spans="1:34" ht="14.25" customHeight="1">
      <c r="A93" s="29" t="s">
        <v>30</v>
      </c>
      <c r="B93" s="1" t="s">
        <v>203</v>
      </c>
      <c r="C93" s="3" t="s">
        <v>218</v>
      </c>
      <c r="D93" s="3" t="str">
        <f>VLOOKUP(FR_CH[[#This Row],[Product Line]],Prod_T6[],5,0)</f>
        <v>TCL</v>
      </c>
      <c r="E93" s="2" t="s">
        <v>141</v>
      </c>
      <c r="F93" s="2" t="s">
        <v>50</v>
      </c>
      <c r="G93" s="1" t="s">
        <v>213</v>
      </c>
      <c r="I93" s="40" t="s">
        <v>117</v>
      </c>
      <c r="J93" s="13"/>
      <c r="K93" s="13"/>
      <c r="L93" s="13"/>
      <c r="M93" s="13"/>
      <c r="N93" s="13"/>
      <c r="O93" s="13"/>
      <c r="P93" s="13"/>
      <c r="Q93" s="13"/>
      <c r="R93" s="13"/>
      <c r="S93" s="32">
        <f>SUM(FR_CH[[#This Row],[26M04]:[26M06]])</f>
        <v>0</v>
      </c>
      <c r="T93" s="69">
        <f>SUM(FR_CH[[#This Row],[26M07]:[26M09]])</f>
        <v>0</v>
      </c>
      <c r="U93" s="69">
        <f>SUM(FR_CH[[#This Row],[26M10]:[26M12]])</f>
        <v>0</v>
      </c>
      <c r="V93" s="256">
        <v>3</v>
      </c>
      <c r="W93" s="256">
        <v>3</v>
      </c>
      <c r="X93" s="256"/>
      <c r="Y93" s="256"/>
      <c r="Z93" s="256"/>
      <c r="AA93" s="256"/>
      <c r="AB93" s="256">
        <f>SUM(FR_CH[[#This Row],[27M01]:[27M03]])</f>
        <v>6</v>
      </c>
      <c r="AC93" s="256">
        <f>SUM(FR_CH[[#This Row],[27M01]:[27M03]])</f>
        <v>6</v>
      </c>
      <c r="AD93" s="256" t="str">
        <f>IF(SUM(FR_CH[[#This Row],[26Q2]:[26Q4]])+SUM(FR_CH[[#This Row],[27Q1]:[27Q2]])=0,"No FSCT",IF(AND(SUM(FR_CH[[#This Row],[26Q2]:[26Q4]])&gt;0,SUM(FR_CH[[#This Row],[27Q1]:[27Q2]])=0),"YES","NO"))</f>
        <v>NO</v>
      </c>
      <c r="AE93" s="85" t="str">
        <f>VLOOKUP(FR_CH[[#This Row],[Product Line]],Prod_T6[],4,0)</f>
        <v>ESS</v>
      </c>
      <c r="AF93" s="3"/>
      <c r="AG93" s="3"/>
      <c r="AH93" s="3"/>
    </row>
    <row r="94" spans="1:34" ht="14.25" customHeight="1">
      <c r="A94" s="29" t="s">
        <v>30</v>
      </c>
      <c r="B94" s="1" t="s">
        <v>217</v>
      </c>
      <c r="C94" s="3" t="s">
        <v>192</v>
      </c>
      <c r="D94" s="3" t="str">
        <f>VLOOKUP(FR_CH[[#This Row],[Product Line]],Prod_T6[],5,0)</f>
        <v>TCL</v>
      </c>
      <c r="E94" s="2" t="s">
        <v>141</v>
      </c>
      <c r="F94" s="2" t="s">
        <v>46</v>
      </c>
      <c r="G94" s="1" t="s">
        <v>115</v>
      </c>
      <c r="I94" s="40" t="s">
        <v>117</v>
      </c>
      <c r="J94" s="13"/>
      <c r="K94" s="13"/>
      <c r="L94" s="13"/>
      <c r="M94" s="13"/>
      <c r="N94" s="13"/>
      <c r="O94" s="13"/>
      <c r="P94" s="13"/>
      <c r="Q94" s="13"/>
      <c r="R94" s="13">
        <v>2</v>
      </c>
      <c r="S94" s="32"/>
      <c r="T94" s="69">
        <f>SUM(FR_CH[[#This Row],[26M07]:[26M09]])</f>
        <v>0</v>
      </c>
      <c r="U94" s="69">
        <f>SUM(FR_CH[[#This Row],[26M10]:[26M12]])</f>
        <v>2</v>
      </c>
      <c r="V94" s="256"/>
      <c r="W94" s="256"/>
      <c r="X94" s="256"/>
      <c r="Y94" s="256"/>
      <c r="Z94" s="256"/>
      <c r="AA94" s="256"/>
      <c r="AB94" s="256">
        <f>SUM(FR_CH[[#This Row],[27M01]:[27M03]])</f>
        <v>0</v>
      </c>
      <c r="AC94" s="256">
        <f>SUM(FR_CH[[#This Row],[27M01]:[27M03]])</f>
        <v>0</v>
      </c>
      <c r="AD94" s="256" t="str">
        <f>IF(SUM(FR_CH[[#This Row],[26Q2]:[26Q4]])+SUM(FR_CH[[#This Row],[27Q1]:[27Q2]])=0,"No FSCT",IF(AND(SUM(FR_CH[[#This Row],[26Q2]:[26Q4]])&gt;0,SUM(FR_CH[[#This Row],[27Q1]:[27Q2]])=0),"YES","NO"))</f>
        <v>YES</v>
      </c>
      <c r="AE94" s="85" t="str">
        <f>VLOOKUP(FR_CH[[#This Row],[Product Line]],Prod_T6[],4,0)</f>
        <v>ESS</v>
      </c>
      <c r="AF94" s="3"/>
      <c r="AG94" s="3"/>
      <c r="AH94" s="3"/>
    </row>
    <row r="95" spans="1:34" ht="14.25" customHeight="1">
      <c r="A95" s="29" t="s">
        <v>30</v>
      </c>
      <c r="B95" s="1" t="s">
        <v>198</v>
      </c>
      <c r="C95" s="3" t="s">
        <v>216</v>
      </c>
      <c r="D95" s="3" t="str">
        <f>VLOOKUP(FR_CH[[#This Row],[Product Line]],Prod_T6[],5,0)</f>
        <v>TCL</v>
      </c>
      <c r="E95" s="2" t="s">
        <v>141</v>
      </c>
      <c r="F95" s="2" t="s">
        <v>46</v>
      </c>
      <c r="G95" s="1" t="s">
        <v>213</v>
      </c>
      <c r="I95" s="40" t="s">
        <v>117</v>
      </c>
      <c r="J95" s="13"/>
      <c r="K95" s="13"/>
      <c r="L95" s="13"/>
      <c r="M95" s="13"/>
      <c r="N95" s="13"/>
      <c r="O95" s="13"/>
      <c r="P95" s="13"/>
      <c r="Q95" s="13"/>
      <c r="R95" s="13">
        <v>1</v>
      </c>
      <c r="S95" s="32">
        <f>SUM(FR_CH[[#This Row],[26M04]:[26M06]])</f>
        <v>0</v>
      </c>
      <c r="T95" s="69">
        <f>SUM(FR_CH[[#This Row],[26M07]:[26M09]])</f>
        <v>0</v>
      </c>
      <c r="U95" s="69">
        <f>SUM(FR_CH[[#This Row],[26M10]:[26M12]])</f>
        <v>1</v>
      </c>
      <c r="V95" s="256"/>
      <c r="W95" s="256"/>
      <c r="X95" s="256"/>
      <c r="Y95" s="256"/>
      <c r="Z95" s="256"/>
      <c r="AA95" s="256"/>
      <c r="AB95" s="256">
        <f>SUM(FR_CH[[#This Row],[27M01]:[27M03]])</f>
        <v>0</v>
      </c>
      <c r="AC95" s="256">
        <f>SUM(FR_CH[[#This Row],[27M01]:[27M03]])</f>
        <v>0</v>
      </c>
      <c r="AD95" s="256" t="str">
        <f>IF(SUM(FR_CH[[#This Row],[26Q2]:[26Q4]])+SUM(FR_CH[[#This Row],[27Q1]:[27Q2]])=0,"No FSCT",IF(AND(SUM(FR_CH[[#This Row],[26Q2]:[26Q4]])&gt;0,SUM(FR_CH[[#This Row],[27Q1]:[27Q2]])=0),"YES","NO"))</f>
        <v>YES</v>
      </c>
      <c r="AE95" s="85" t="str">
        <f>VLOOKUP(FR_CH[[#This Row],[Product Line]],Prod_T6[],4,0)</f>
        <v>ESS</v>
      </c>
      <c r="AF95" s="3"/>
      <c r="AG95" s="3"/>
      <c r="AH95" s="3"/>
    </row>
    <row r="96" spans="1:34" ht="14.25" customHeight="1">
      <c r="A96" s="29" t="s">
        <v>30</v>
      </c>
      <c r="B96" s="1" t="s">
        <v>188</v>
      </c>
      <c r="C96" s="3" t="s">
        <v>215</v>
      </c>
      <c r="D96" s="3" t="str">
        <f>VLOOKUP(FR_CH[[#This Row],[Product Line]],Prod_T6[],5,0)</f>
        <v>TCL</v>
      </c>
      <c r="E96" s="2" t="s">
        <v>141</v>
      </c>
      <c r="F96" s="2" t="s">
        <v>46</v>
      </c>
      <c r="G96" s="1" t="s">
        <v>213</v>
      </c>
      <c r="I96" s="40" t="s">
        <v>117</v>
      </c>
      <c r="J96" s="13"/>
      <c r="K96" s="13"/>
      <c r="L96" s="13"/>
      <c r="M96" s="13"/>
      <c r="N96" s="13"/>
      <c r="O96" s="13"/>
      <c r="P96" s="13"/>
      <c r="Q96" s="13"/>
      <c r="R96" s="13">
        <v>1</v>
      </c>
      <c r="S96" s="32">
        <f>SUM(FR_CH[[#This Row],[26M04]:[26M06]])</f>
        <v>0</v>
      </c>
      <c r="T96" s="69">
        <f>SUM(FR_CH[[#This Row],[26M07]:[26M09]])</f>
        <v>0</v>
      </c>
      <c r="U96" s="69">
        <f>SUM(FR_CH[[#This Row],[26M10]:[26M12]])</f>
        <v>1</v>
      </c>
      <c r="V96" s="256"/>
      <c r="W96" s="256"/>
      <c r="X96" s="256"/>
      <c r="Y96" s="256"/>
      <c r="Z96" s="256"/>
      <c r="AA96" s="256"/>
      <c r="AB96" s="256">
        <f>SUM(FR_CH[[#This Row],[27M01]:[27M03]])</f>
        <v>0</v>
      </c>
      <c r="AC96" s="256">
        <f>SUM(FR_CH[[#This Row],[27M01]:[27M03]])</f>
        <v>0</v>
      </c>
      <c r="AD96" s="256" t="str">
        <f>IF(SUM(FR_CH[[#This Row],[26Q2]:[26Q4]])+SUM(FR_CH[[#This Row],[27Q1]:[27Q2]])=0,"No FSCT",IF(AND(SUM(FR_CH[[#This Row],[26Q2]:[26Q4]])&gt;0,SUM(FR_CH[[#This Row],[27Q1]:[27Q2]])=0),"YES","NO"))</f>
        <v>YES</v>
      </c>
      <c r="AE96" s="120" t="str">
        <f>VLOOKUP(FR_CH[[#This Row],[Product Line]],Prod_T6[],4,0)</f>
        <v>ESS</v>
      </c>
      <c r="AF96" s="3"/>
      <c r="AG96" s="3"/>
      <c r="AH96" s="3"/>
    </row>
    <row r="97" spans="1:16384" ht="14.25" customHeight="1">
      <c r="A97" s="29" t="s">
        <v>30</v>
      </c>
      <c r="B97" s="1" t="s">
        <v>189</v>
      </c>
      <c r="C97" s="3" t="s">
        <v>214</v>
      </c>
      <c r="D97" s="3" t="str">
        <f>VLOOKUP(FR_CH[[#This Row],[Product Line]],Prod_T6[],5,0)</f>
        <v>TCL</v>
      </c>
      <c r="E97" s="2" t="s">
        <v>141</v>
      </c>
      <c r="F97" s="2" t="s">
        <v>46</v>
      </c>
      <c r="G97" s="1" t="s">
        <v>213</v>
      </c>
      <c r="I97" s="40" t="s">
        <v>117</v>
      </c>
      <c r="J97" s="13"/>
      <c r="K97" s="13"/>
      <c r="L97" s="13"/>
      <c r="M97" s="13"/>
      <c r="N97" s="13"/>
      <c r="O97" s="13"/>
      <c r="P97" s="13"/>
      <c r="Q97" s="13"/>
      <c r="R97" s="13">
        <v>1</v>
      </c>
      <c r="S97" s="32">
        <f>SUM(FR_CH[[#This Row],[26M04]:[26M06]])</f>
        <v>0</v>
      </c>
      <c r="T97" s="69">
        <f>SUM(FR_CH[[#This Row],[26M07]:[26M09]])</f>
        <v>0</v>
      </c>
      <c r="U97" s="69">
        <f>SUM(FR_CH[[#This Row],[26M10]:[26M12]])</f>
        <v>1</v>
      </c>
      <c r="V97" s="256"/>
      <c r="W97" s="256"/>
      <c r="X97" s="256"/>
      <c r="Y97" s="256"/>
      <c r="Z97" s="256"/>
      <c r="AA97" s="256"/>
      <c r="AB97" s="256">
        <f>SUM(FR_CH[[#This Row],[27M01]:[27M03]])</f>
        <v>0</v>
      </c>
      <c r="AC97" s="256">
        <f>SUM(FR_CH[[#This Row],[27M01]:[27M03]])</f>
        <v>0</v>
      </c>
      <c r="AD97" s="256" t="str">
        <f>IF(SUM(FR_CH[[#This Row],[26Q2]:[26Q4]])+SUM(FR_CH[[#This Row],[27Q1]:[27Q2]])=0,"No FSCT",IF(AND(SUM(FR_CH[[#This Row],[26Q2]:[26Q4]])&gt;0,SUM(FR_CH[[#This Row],[27Q1]:[27Q2]])=0),"YES","NO"))</f>
        <v>YES</v>
      </c>
      <c r="AE97" s="120" t="str">
        <f>VLOOKUP(FR_CH[[#This Row],[Product Line]],Prod_T6[],4,0)</f>
        <v>ESS</v>
      </c>
      <c r="AF97" s="3"/>
      <c r="AG97" s="3"/>
      <c r="AH97" s="3"/>
    </row>
    <row r="98" spans="1:16384" ht="14.25" customHeight="1">
      <c r="A98" s="29" t="s">
        <v>30</v>
      </c>
      <c r="B98" s="1" t="s">
        <v>188</v>
      </c>
      <c r="C98" s="3" t="s">
        <v>212</v>
      </c>
      <c r="D98" s="3" t="str">
        <f>VLOOKUP(FR_CH[[#This Row],[Product Line]],Prod_T6[],5,0)</f>
        <v>TCL</v>
      </c>
      <c r="E98" s="2" t="s">
        <v>141</v>
      </c>
      <c r="F98" s="2" t="s">
        <v>46</v>
      </c>
      <c r="G98" s="1" t="s">
        <v>213</v>
      </c>
      <c r="I98" s="40" t="s">
        <v>117</v>
      </c>
      <c r="J98" s="13"/>
      <c r="K98" s="13"/>
      <c r="L98" s="13"/>
      <c r="M98" s="13"/>
      <c r="N98" s="13"/>
      <c r="O98" s="13"/>
      <c r="P98" s="13"/>
      <c r="Q98" s="13"/>
      <c r="R98" s="13">
        <v>8</v>
      </c>
      <c r="S98" s="32">
        <f>SUM(FR_CH[[#This Row],[26M04]:[26M06]])</f>
        <v>0</v>
      </c>
      <c r="T98" s="69">
        <f>SUM(FR_CH[[#This Row],[26M07]:[26M09]])</f>
        <v>0</v>
      </c>
      <c r="U98" s="69">
        <f>SUM(FR_CH[[#This Row],[26M10]:[26M12]])</f>
        <v>8</v>
      </c>
      <c r="V98" s="256"/>
      <c r="W98" s="256"/>
      <c r="X98" s="256"/>
      <c r="Y98" s="256"/>
      <c r="Z98" s="256"/>
      <c r="AA98" s="256"/>
      <c r="AB98" s="256">
        <f>SUM(FR_CH[[#This Row],[27M01]:[27M03]])</f>
        <v>0</v>
      </c>
      <c r="AC98" s="256">
        <f>SUM(FR_CH[[#This Row],[27M01]:[27M03]])</f>
        <v>0</v>
      </c>
      <c r="AD98" s="256" t="str">
        <f>IF(SUM(FR_CH[[#This Row],[26Q2]:[26Q4]])+SUM(FR_CH[[#This Row],[27Q1]:[27Q2]])=0,"No FSCT",IF(AND(SUM(FR_CH[[#This Row],[26Q2]:[26Q4]])&gt;0,SUM(FR_CH[[#This Row],[27Q1]:[27Q2]])=0),"YES","NO"))</f>
        <v>YES</v>
      </c>
      <c r="AE98" s="120" t="str">
        <f>VLOOKUP(FR_CH[[#This Row],[Product Line]],Prod_T6[],4,0)</f>
        <v>ESS</v>
      </c>
      <c r="AF98" s="3"/>
      <c r="AG98" s="3"/>
      <c r="AH98" s="3"/>
    </row>
    <row r="99" spans="1:16384" ht="14.25" customHeight="1">
      <c r="A99" s="29" t="s">
        <v>30</v>
      </c>
      <c r="B99" s="1" t="s">
        <v>211</v>
      </c>
      <c r="C99" s="3" t="s">
        <v>186</v>
      </c>
      <c r="D99" s="3" t="str">
        <f>VLOOKUP(FR_CH[[#This Row],[Product Line]],Prod_T6[],5,0)</f>
        <v>Sunpower</v>
      </c>
      <c r="E99" s="2" t="s">
        <v>197</v>
      </c>
      <c r="F99" s="2" t="s">
        <v>63</v>
      </c>
      <c r="G99" s="1" t="s">
        <v>120</v>
      </c>
      <c r="I99" s="40" t="s">
        <v>117</v>
      </c>
      <c r="J99" s="13"/>
      <c r="K99" s="13"/>
      <c r="L99" s="13"/>
      <c r="M99" s="13">
        <v>80</v>
      </c>
      <c r="N99" s="13">
        <v>60</v>
      </c>
      <c r="O99" s="13">
        <v>120</v>
      </c>
      <c r="P99" s="13">
        <v>30</v>
      </c>
      <c r="Q99" s="13">
        <v>30</v>
      </c>
      <c r="R99" s="13">
        <v>30</v>
      </c>
      <c r="S99" s="32">
        <f>SUM(FR_CH[[#This Row],[26M04]:[26M06]])</f>
        <v>0</v>
      </c>
      <c r="T99" s="69">
        <f>SUM(FR_CH[[#This Row],[26M07]:[26M09]])</f>
        <v>260</v>
      </c>
      <c r="U99" s="69">
        <f>SUM(FR_CH[[#This Row],[26M10]:[26M12]])</f>
        <v>90</v>
      </c>
      <c r="V99" s="256"/>
      <c r="W99" s="256"/>
      <c r="X99" s="256"/>
      <c r="Y99" s="256"/>
      <c r="Z99" s="256"/>
      <c r="AA99" s="256"/>
      <c r="AB99" s="256">
        <f>SUM(FR_CH[[#This Row],[27M01]:[27M03]])</f>
        <v>0</v>
      </c>
      <c r="AC99" s="256">
        <f>SUM(FR_CH[[#This Row],[27M01]:[27M03]])</f>
        <v>0</v>
      </c>
      <c r="AD99" s="256" t="str">
        <f>IF(SUM(FR_CH[[#This Row],[26Q2]:[26Q4]])+SUM(FR_CH[[#This Row],[27Q1]:[27Q2]])=0,"No FSCT",IF(AND(SUM(FR_CH[[#This Row],[26Q2]:[26Q4]])&gt;0,SUM(FR_CH[[#This Row],[27Q1]:[27Q2]])=0),"YES","NO"))</f>
        <v>YES</v>
      </c>
      <c r="AE99" s="85" t="str">
        <f>VLOOKUP(FR_CH[[#This Row],[Product Line]],Prod_T6[],4,0)</f>
        <v>ESS</v>
      </c>
      <c r="AF99" s="3"/>
      <c r="AG99" s="3"/>
      <c r="AH99" s="3"/>
    </row>
    <row r="100" spans="1:16384" s="2" customFormat="1" ht="14.25" customHeight="1">
      <c r="A100" s="29" t="s">
        <v>30</v>
      </c>
      <c r="B100" s="1" t="s">
        <v>200</v>
      </c>
      <c r="C100" s="3" t="s">
        <v>186</v>
      </c>
      <c r="D100" s="3" t="str">
        <f>VLOOKUP(FR_CH[[#This Row],[Product Line]],Prod_T6[],5,0)</f>
        <v>TCL</v>
      </c>
      <c r="E100" s="2" t="s">
        <v>149</v>
      </c>
      <c r="F100" s="2" t="s">
        <v>187</v>
      </c>
      <c r="G100" s="1" t="s">
        <v>120</v>
      </c>
      <c r="H100" s="1"/>
      <c r="I100" s="15" t="s">
        <v>117</v>
      </c>
      <c r="J100" s="13"/>
      <c r="K100" s="13"/>
      <c r="L100" s="13"/>
      <c r="M100" s="13"/>
      <c r="N100" s="13"/>
      <c r="O100" s="13"/>
      <c r="P100" s="13">
        <v>0.8</v>
      </c>
      <c r="Q100" s="13"/>
      <c r="R100" s="13"/>
      <c r="S100" s="32">
        <f>SUM(FR_CH[[#This Row],[26M04]:[26M06]])</f>
        <v>0</v>
      </c>
      <c r="T100" s="69">
        <f>SUM(FR_CH[[#This Row],[26M07]:[26M09]])</f>
        <v>0</v>
      </c>
      <c r="U100" s="69">
        <f>SUM(FR_CH[[#This Row],[26M10]:[26M12]])</f>
        <v>0.8</v>
      </c>
      <c r="V100" s="256"/>
      <c r="W100" s="256"/>
      <c r="X100" s="256"/>
      <c r="Y100" s="256"/>
      <c r="Z100" s="256"/>
      <c r="AA100" s="256"/>
      <c r="AB100" s="256">
        <f>SUM(FR_CH[[#This Row],[27M01]:[27M03]])</f>
        <v>0</v>
      </c>
      <c r="AC100" s="256">
        <f>SUM(FR_CH[[#This Row],[27M01]:[27M03]])</f>
        <v>0</v>
      </c>
      <c r="AD100" s="256" t="str">
        <f>IF(SUM(FR_CH[[#This Row],[26Q2]:[26Q4]])+SUM(FR_CH[[#This Row],[27Q1]:[27Q2]])=0,"No FSCT",IF(AND(SUM(FR_CH[[#This Row],[26Q2]:[26Q4]])&gt;0,SUM(FR_CH[[#This Row],[27Q1]:[27Q2]])=0),"YES","NO"))</f>
        <v>YES</v>
      </c>
      <c r="AE100" s="85" t="str">
        <f>VLOOKUP(FR_CH[[#This Row],[Product Line]],Prod_T6[],4,0)</f>
        <v>PV</v>
      </c>
      <c r="AF100" s="3"/>
      <c r="AG100" s="3"/>
      <c r="AH100" s="3"/>
    </row>
    <row r="101" spans="1:16384" s="2" customFormat="1" ht="14.25" customHeight="1">
      <c r="A101" s="284"/>
      <c r="B101" s="285" t="s">
        <v>122</v>
      </c>
      <c r="C101" s="3" t="s">
        <v>112</v>
      </c>
      <c r="D101" s="3" t="str">
        <f>VLOOKUP(FR_CH[[#This Row],[Product Line]],Prod_T6[],5,0)</f>
        <v>TCL</v>
      </c>
      <c r="E101" s="2" t="s">
        <v>54</v>
      </c>
      <c r="F101" s="2" t="s">
        <v>121</v>
      </c>
      <c r="G101" s="1" t="s">
        <v>120</v>
      </c>
      <c r="H101" s="1"/>
      <c r="I101" s="40" t="s">
        <v>117</v>
      </c>
      <c r="J101" s="13"/>
      <c r="K101" s="13"/>
      <c r="L101" s="13"/>
      <c r="M101" s="13">
        <v>1.3</v>
      </c>
      <c r="N101" s="13">
        <v>1.3</v>
      </c>
      <c r="O101" s="13">
        <v>1.3</v>
      </c>
      <c r="P101" s="13">
        <v>0.4</v>
      </c>
      <c r="Q101" s="13">
        <v>0.4</v>
      </c>
      <c r="R101" s="13">
        <v>0.4</v>
      </c>
      <c r="S101" s="32">
        <f>SUM(FR_CH[[#This Row],[26M04]:[26M06]])</f>
        <v>0</v>
      </c>
      <c r="T101" s="69">
        <f>SUM(FR_CH[[#This Row],[26M07]:[26M09]])</f>
        <v>3.9000000000000004</v>
      </c>
      <c r="U101" s="69">
        <f>SUM(FR_CH[[#This Row],[26M10]:[26M12]])</f>
        <v>1.2000000000000002</v>
      </c>
      <c r="V101" s="256"/>
      <c r="W101" s="256"/>
      <c r="X101" s="256"/>
      <c r="Y101" s="256"/>
      <c r="Z101" s="256"/>
      <c r="AA101" s="256"/>
      <c r="AB101" s="256">
        <f>SUM(FR_CH[[#This Row],[27M01]:[27M03]])</f>
        <v>0</v>
      </c>
      <c r="AC101" s="256">
        <f>SUM(FR_CH[[#This Row],[27M01]:[27M03]])</f>
        <v>0</v>
      </c>
      <c r="AD101" s="256" t="str">
        <f>IF(SUM(FR_CH[[#This Row],[26Q2]:[26Q4]])+SUM(FR_CH[[#This Row],[27Q1]:[27Q2]])=0,"No FSCT",IF(AND(SUM(FR_CH[[#This Row],[26Q2]:[26Q4]])&gt;0,SUM(FR_CH[[#This Row],[27Q1]:[27Q2]])=0),"YES","NO"))</f>
        <v>YES</v>
      </c>
      <c r="AE101" s="85" t="str">
        <f>VLOOKUP(FR_CH[[#This Row],[Product Line]],Prod_T6[],4,0)</f>
        <v>PV</v>
      </c>
      <c r="AF101" s="3"/>
      <c r="AG101" s="3"/>
      <c r="AH101" s="3"/>
    </row>
    <row r="102" spans="1:16384" s="2" customFormat="1" ht="14.25" customHeight="1">
      <c r="A102" s="284"/>
      <c r="B102" s="285" t="s">
        <v>122</v>
      </c>
      <c r="C102" s="3" t="s">
        <v>112</v>
      </c>
      <c r="D102" s="3" t="str">
        <f>VLOOKUP(FR_CH[[#This Row],[Product Line]],Prod_T6[],5,0)</f>
        <v>Sunpower</v>
      </c>
      <c r="E102" s="2" t="s">
        <v>118</v>
      </c>
      <c r="F102" s="2" t="s">
        <v>123</v>
      </c>
      <c r="G102" s="1" t="s">
        <v>120</v>
      </c>
      <c r="H102" s="1"/>
      <c r="I102" s="15" t="s">
        <v>117</v>
      </c>
      <c r="J102" s="13">
        <v>0.2</v>
      </c>
      <c r="K102" s="13">
        <v>0</v>
      </c>
      <c r="L102" s="13">
        <v>0.2</v>
      </c>
      <c r="M102" s="13">
        <v>0.4</v>
      </c>
      <c r="N102" s="13">
        <v>0.4</v>
      </c>
      <c r="O102" s="13">
        <v>0.4</v>
      </c>
      <c r="P102" s="13">
        <v>0.4</v>
      </c>
      <c r="Q102" s="13">
        <v>0.4</v>
      </c>
      <c r="R102" s="13">
        <v>0.4</v>
      </c>
      <c r="S102" s="32">
        <f>SUM(FR_CH[[#This Row],[26M04]:[26M06]])</f>
        <v>0.4</v>
      </c>
      <c r="T102" s="69">
        <f>SUM(FR_CH[[#This Row],[26M07]:[26M09]])</f>
        <v>1.2000000000000002</v>
      </c>
      <c r="U102" s="69">
        <f>SUM(FR_CH[[#This Row],[26M10]:[26M12]])</f>
        <v>1.2000000000000002</v>
      </c>
      <c r="V102" s="256"/>
      <c r="W102" s="256"/>
      <c r="X102" s="256"/>
      <c r="Y102" s="256"/>
      <c r="Z102" s="256"/>
      <c r="AA102" s="256"/>
      <c r="AB102" s="256">
        <f>SUM(FR_CH[[#This Row],[27M01]:[27M03]])</f>
        <v>0</v>
      </c>
      <c r="AC102" s="256">
        <f>SUM(FR_CH[[#This Row],[27M01]:[27M03]])</f>
        <v>0</v>
      </c>
      <c r="AD102" s="256" t="str">
        <f>IF(SUM(FR_CH[[#This Row],[26Q2]:[26Q4]])+SUM(FR_CH[[#This Row],[27Q1]:[27Q2]])=0,"No FSCT",IF(AND(SUM(FR_CH[[#This Row],[26Q2]:[26Q4]])&gt;0,SUM(FR_CH[[#This Row],[27Q1]:[27Q2]])=0),"YES","NO"))</f>
        <v>YES</v>
      </c>
      <c r="AE102" s="85" t="str">
        <f>VLOOKUP(FR_CH[[#This Row],[Product Line]],Prod_T6[],4,0)</f>
        <v>PV</v>
      </c>
      <c r="AF102" s="3"/>
      <c r="AG102" s="3"/>
    </row>
    <row r="103" spans="1:16384" s="13" customFormat="1" ht="14.25" customHeight="1">
      <c r="A103" s="13">
        <v>0.1</v>
      </c>
      <c r="B103" s="285" t="s">
        <v>122</v>
      </c>
      <c r="C103" s="3" t="s">
        <v>112</v>
      </c>
      <c r="D103" s="3" t="str">
        <f>VLOOKUP(FR_CH[[#This Row],[Product Line]],Prod_T6[],5,0)</f>
        <v>TCL</v>
      </c>
      <c r="E103" s="2" t="s">
        <v>113</v>
      </c>
      <c r="F103" s="2" t="s">
        <v>114</v>
      </c>
      <c r="G103" s="1" t="s">
        <v>115</v>
      </c>
      <c r="H103" s="1" t="s">
        <v>116</v>
      </c>
      <c r="I103" s="15" t="s">
        <v>117</v>
      </c>
      <c r="R103" s="13">
        <v>0.4</v>
      </c>
      <c r="S103" s="32">
        <f>SUM(FR_CH[[#This Row],[26M04]:[26M06]])</f>
        <v>0</v>
      </c>
      <c r="T103" s="69">
        <f>SUM(FR_CH[[#This Row],[26M07]:[26M09]])</f>
        <v>0</v>
      </c>
      <c r="U103" s="69">
        <f>SUM(FR_CH[[#This Row],[26M10]:[26M12]])</f>
        <v>0.4</v>
      </c>
      <c r="V103" s="256"/>
      <c r="W103" s="256"/>
      <c r="X103" s="256"/>
      <c r="Y103" s="256"/>
      <c r="Z103" s="256"/>
      <c r="AA103" s="256"/>
      <c r="AB103" s="256">
        <f>SUM(FR_CH[[#This Row],[27M01]:[27M03]])</f>
        <v>0</v>
      </c>
      <c r="AC103" s="256">
        <f>SUM(FR_CH[[#This Row],[27M01]:[27M03]])</f>
        <v>0</v>
      </c>
      <c r="AD103" s="256" t="str">
        <f>IF(SUM(FR_CH[[#This Row],[26Q2]:[26Q4]])+SUM(FR_CH[[#This Row],[27Q1]:[27Q2]])=0,"No FSCT",IF(AND(SUM(FR_CH[[#This Row],[26Q2]:[26Q4]])&gt;0,SUM(FR_CH[[#This Row],[27Q1]:[27Q2]])=0),"YES","NO"))</f>
        <v>YES</v>
      </c>
      <c r="AE103" s="85" t="str">
        <f>VLOOKUP(FR_CH[[#This Row],[Product Line]],Prod_T6[],4,0)</f>
        <v>PV</v>
      </c>
      <c r="AF103" s="13">
        <v>0.1</v>
      </c>
      <c r="AG103" s="13">
        <v>0.1</v>
      </c>
      <c r="AH103" s="13">
        <v>0.1</v>
      </c>
      <c r="AI103" s="13">
        <v>0.1</v>
      </c>
      <c r="AJ103" s="13">
        <v>0.1</v>
      </c>
      <c r="AK103" s="13">
        <v>0.1</v>
      </c>
      <c r="AL103" s="13">
        <v>0.1</v>
      </c>
      <c r="AM103" s="13">
        <v>0.1</v>
      </c>
      <c r="AN103" s="13">
        <v>0.1</v>
      </c>
      <c r="AO103" s="13">
        <v>0.1</v>
      </c>
      <c r="AP103" s="13">
        <v>0.1</v>
      </c>
      <c r="AQ103" s="13">
        <v>0.1</v>
      </c>
      <c r="AR103" s="13">
        <v>0.1</v>
      </c>
      <c r="AS103" s="13">
        <v>0.1</v>
      </c>
      <c r="AT103" s="13">
        <v>0.1</v>
      </c>
      <c r="AU103" s="13">
        <v>0.1</v>
      </c>
      <c r="AV103" s="13">
        <v>0.1</v>
      </c>
      <c r="AW103" s="13">
        <v>0.1</v>
      </c>
      <c r="AX103" s="13">
        <v>0.1</v>
      </c>
      <c r="AY103" s="13">
        <v>0.1</v>
      </c>
      <c r="AZ103" s="13">
        <v>0.1</v>
      </c>
      <c r="BA103" s="13">
        <v>0.1</v>
      </c>
      <c r="BB103" s="13">
        <v>0.1</v>
      </c>
      <c r="BC103" s="13">
        <v>0.1</v>
      </c>
      <c r="BD103" s="13">
        <v>0.1</v>
      </c>
      <c r="BE103" s="13">
        <v>0.1</v>
      </c>
      <c r="BF103" s="13">
        <v>0.1</v>
      </c>
      <c r="BG103" s="13">
        <v>0.1</v>
      </c>
      <c r="BH103" s="13">
        <v>0.1</v>
      </c>
      <c r="BI103" s="13">
        <v>0.1</v>
      </c>
      <c r="BJ103" s="13">
        <v>0.1</v>
      </c>
      <c r="BK103" s="13">
        <v>0.1</v>
      </c>
      <c r="BL103" s="13">
        <v>0.1</v>
      </c>
      <c r="BM103" s="13">
        <v>0.1</v>
      </c>
      <c r="BN103" s="13">
        <v>0.1</v>
      </c>
      <c r="BO103" s="13">
        <v>0.1</v>
      </c>
      <c r="BP103" s="13">
        <v>0.1</v>
      </c>
      <c r="BQ103" s="13">
        <v>0.1</v>
      </c>
      <c r="BR103" s="13">
        <v>0.1</v>
      </c>
      <c r="BS103" s="13">
        <v>0.1</v>
      </c>
      <c r="BT103" s="13">
        <v>0.1</v>
      </c>
      <c r="BU103" s="13">
        <v>0.1</v>
      </c>
      <c r="BV103" s="13">
        <v>0.1</v>
      </c>
      <c r="BW103" s="13">
        <v>0.1</v>
      </c>
      <c r="BX103" s="13">
        <v>0.1</v>
      </c>
      <c r="BY103" s="13">
        <v>0.1</v>
      </c>
      <c r="BZ103" s="13">
        <v>0.1</v>
      </c>
      <c r="CA103" s="13">
        <v>0.1</v>
      </c>
      <c r="CB103" s="13">
        <v>0.1</v>
      </c>
      <c r="CC103" s="13">
        <v>0.1</v>
      </c>
      <c r="CD103" s="13">
        <v>0.1</v>
      </c>
      <c r="CE103" s="13">
        <v>0.1</v>
      </c>
      <c r="CF103" s="13">
        <v>0.1</v>
      </c>
      <c r="CG103" s="13">
        <v>0.1</v>
      </c>
      <c r="CH103" s="13">
        <v>0.1</v>
      </c>
      <c r="CI103" s="13">
        <v>0.1</v>
      </c>
      <c r="CJ103" s="13">
        <v>0.1</v>
      </c>
      <c r="CK103" s="13">
        <v>0.1</v>
      </c>
      <c r="CL103" s="13">
        <v>0.1</v>
      </c>
      <c r="CM103" s="13">
        <v>0.1</v>
      </c>
      <c r="CN103" s="13">
        <v>0.1</v>
      </c>
      <c r="CO103" s="13">
        <v>0.1</v>
      </c>
      <c r="CP103" s="13">
        <v>0.1</v>
      </c>
      <c r="CQ103" s="13">
        <v>0.1</v>
      </c>
      <c r="CR103" s="13">
        <v>0.1</v>
      </c>
      <c r="CS103" s="13">
        <v>0.1</v>
      </c>
      <c r="CT103" s="13">
        <v>0.1</v>
      </c>
      <c r="CU103" s="13">
        <v>0.1</v>
      </c>
      <c r="CV103" s="13">
        <v>0.1</v>
      </c>
      <c r="CW103" s="13">
        <v>0.1</v>
      </c>
      <c r="CX103" s="13">
        <v>0.1</v>
      </c>
      <c r="CY103" s="13">
        <v>0.1</v>
      </c>
      <c r="CZ103" s="13">
        <v>0.1</v>
      </c>
      <c r="DA103" s="13">
        <v>0.1</v>
      </c>
      <c r="DB103" s="13">
        <v>0.1</v>
      </c>
      <c r="DC103" s="13">
        <v>0.1</v>
      </c>
      <c r="DD103" s="13">
        <v>0.1</v>
      </c>
      <c r="DE103" s="13">
        <v>0.1</v>
      </c>
      <c r="DF103" s="13">
        <v>0.1</v>
      </c>
      <c r="DG103" s="13">
        <v>0.1</v>
      </c>
      <c r="DH103" s="13">
        <v>0.1</v>
      </c>
      <c r="DI103" s="13">
        <v>0.1</v>
      </c>
      <c r="DJ103" s="13">
        <v>0.1</v>
      </c>
      <c r="DK103" s="13">
        <v>0.1</v>
      </c>
      <c r="DL103" s="13">
        <v>0.1</v>
      </c>
      <c r="DM103" s="13">
        <v>0.1</v>
      </c>
      <c r="DN103" s="13">
        <v>0.1</v>
      </c>
      <c r="DO103" s="13">
        <v>0.1</v>
      </c>
      <c r="DP103" s="13">
        <v>0.1</v>
      </c>
      <c r="DQ103" s="13">
        <v>0.1</v>
      </c>
      <c r="DR103" s="13">
        <v>0.1</v>
      </c>
      <c r="DS103" s="13">
        <v>0.1</v>
      </c>
      <c r="DT103" s="13">
        <v>0.1</v>
      </c>
      <c r="DU103" s="13">
        <v>0.1</v>
      </c>
      <c r="DV103" s="13">
        <v>0.1</v>
      </c>
      <c r="DW103" s="13">
        <v>0.1</v>
      </c>
      <c r="DX103" s="13">
        <v>0.1</v>
      </c>
      <c r="DY103" s="13">
        <v>0.1</v>
      </c>
      <c r="DZ103" s="13">
        <v>0.1</v>
      </c>
      <c r="EA103" s="13">
        <v>0.1</v>
      </c>
      <c r="EB103" s="13">
        <v>0.1</v>
      </c>
      <c r="EC103" s="13">
        <v>0.1</v>
      </c>
      <c r="ED103" s="13">
        <v>0.1</v>
      </c>
      <c r="EE103" s="13">
        <v>0.1</v>
      </c>
      <c r="EF103" s="13">
        <v>0.1</v>
      </c>
      <c r="EG103" s="13">
        <v>0.1</v>
      </c>
      <c r="EH103" s="13">
        <v>0.1</v>
      </c>
      <c r="EI103" s="13">
        <v>0.1</v>
      </c>
      <c r="EJ103" s="13">
        <v>0.1</v>
      </c>
      <c r="EK103" s="13">
        <v>0.1</v>
      </c>
      <c r="EL103" s="13">
        <v>0.1</v>
      </c>
      <c r="EM103" s="13">
        <v>0.1</v>
      </c>
      <c r="EN103" s="13">
        <v>0.1</v>
      </c>
      <c r="EO103" s="13">
        <v>0.1</v>
      </c>
      <c r="EP103" s="13">
        <v>0.1</v>
      </c>
      <c r="EQ103" s="13">
        <v>0.1</v>
      </c>
      <c r="ER103" s="13">
        <v>0.1</v>
      </c>
      <c r="ES103" s="13">
        <v>0.1</v>
      </c>
      <c r="ET103" s="13">
        <v>0.1</v>
      </c>
      <c r="EU103" s="13">
        <v>0.1</v>
      </c>
      <c r="EV103" s="13">
        <v>0.1</v>
      </c>
      <c r="EW103" s="13">
        <v>0.1</v>
      </c>
      <c r="EX103" s="13">
        <v>0.1</v>
      </c>
      <c r="EY103" s="13">
        <v>0.1</v>
      </c>
      <c r="EZ103" s="13">
        <v>0.1</v>
      </c>
      <c r="FA103" s="13">
        <v>0.1</v>
      </c>
      <c r="FB103" s="13">
        <v>0.1</v>
      </c>
      <c r="FC103" s="13">
        <v>0.1</v>
      </c>
      <c r="FD103" s="13">
        <v>0.1</v>
      </c>
      <c r="FE103" s="13">
        <v>0.1</v>
      </c>
      <c r="FF103" s="13">
        <v>0.1</v>
      </c>
      <c r="FG103" s="13">
        <v>0.1</v>
      </c>
      <c r="FH103" s="13">
        <v>0.1</v>
      </c>
      <c r="FI103" s="13">
        <v>0.1</v>
      </c>
      <c r="FJ103" s="13">
        <v>0.1</v>
      </c>
      <c r="FK103" s="13">
        <v>0.1</v>
      </c>
      <c r="FL103" s="13">
        <v>0.1</v>
      </c>
      <c r="FM103" s="13">
        <v>0.1</v>
      </c>
      <c r="FN103" s="13">
        <v>0.1</v>
      </c>
      <c r="FO103" s="13">
        <v>0.1</v>
      </c>
      <c r="FP103" s="13">
        <v>0.1</v>
      </c>
      <c r="FQ103" s="13">
        <v>0.1</v>
      </c>
      <c r="FR103" s="13">
        <v>0.1</v>
      </c>
      <c r="FS103" s="13">
        <v>0.1</v>
      </c>
      <c r="FT103" s="13">
        <v>0.1</v>
      </c>
      <c r="FU103" s="13">
        <v>0.1</v>
      </c>
      <c r="FV103" s="13">
        <v>0.1</v>
      </c>
      <c r="FW103" s="13">
        <v>0.1</v>
      </c>
      <c r="FX103" s="13">
        <v>0.1</v>
      </c>
      <c r="FY103" s="13">
        <v>0.1</v>
      </c>
      <c r="FZ103" s="13">
        <v>0.1</v>
      </c>
      <c r="GA103" s="13">
        <v>0.1</v>
      </c>
      <c r="GB103" s="13">
        <v>0.1</v>
      </c>
      <c r="GC103" s="13">
        <v>0.1</v>
      </c>
      <c r="GD103" s="13">
        <v>0.1</v>
      </c>
      <c r="GE103" s="13">
        <v>0.1</v>
      </c>
      <c r="GF103" s="13">
        <v>0.1</v>
      </c>
      <c r="GG103" s="13">
        <v>0.1</v>
      </c>
      <c r="GH103" s="13">
        <v>0.1</v>
      </c>
      <c r="GI103" s="13">
        <v>0.1</v>
      </c>
      <c r="GJ103" s="13">
        <v>0.1</v>
      </c>
      <c r="GK103" s="13">
        <v>0.1</v>
      </c>
      <c r="GL103" s="13">
        <v>0.1</v>
      </c>
      <c r="GM103" s="13">
        <v>0.1</v>
      </c>
      <c r="GN103" s="13">
        <v>0.1</v>
      </c>
      <c r="GO103" s="13">
        <v>0.1</v>
      </c>
      <c r="GP103" s="13">
        <v>0.1</v>
      </c>
      <c r="GQ103" s="13">
        <v>0.1</v>
      </c>
      <c r="GR103" s="13">
        <v>0.1</v>
      </c>
      <c r="GS103" s="13">
        <v>0.1</v>
      </c>
      <c r="GT103" s="13">
        <v>0.1</v>
      </c>
      <c r="GU103" s="13">
        <v>0.1</v>
      </c>
      <c r="GV103" s="13">
        <v>0.1</v>
      </c>
      <c r="GW103" s="13">
        <v>0.1</v>
      </c>
      <c r="GX103" s="13">
        <v>0.1</v>
      </c>
      <c r="GY103" s="13">
        <v>0.1</v>
      </c>
      <c r="GZ103" s="13">
        <v>0.1</v>
      </c>
      <c r="HA103" s="13">
        <v>0.1</v>
      </c>
      <c r="HB103" s="13">
        <v>0.1</v>
      </c>
      <c r="HC103" s="13">
        <v>0.1</v>
      </c>
      <c r="HD103" s="13">
        <v>0.1</v>
      </c>
      <c r="HE103" s="13">
        <v>0.1</v>
      </c>
      <c r="HF103" s="13">
        <v>0.1</v>
      </c>
      <c r="HG103" s="13">
        <v>0.1</v>
      </c>
      <c r="HH103" s="13">
        <v>0.1</v>
      </c>
      <c r="HI103" s="13">
        <v>0.1</v>
      </c>
      <c r="HJ103" s="13">
        <v>0.1</v>
      </c>
      <c r="HK103" s="13">
        <v>0.1</v>
      </c>
      <c r="HL103" s="13">
        <v>0.1</v>
      </c>
      <c r="HM103" s="13">
        <v>0.1</v>
      </c>
      <c r="HN103" s="13">
        <v>0.1</v>
      </c>
      <c r="HO103" s="13">
        <v>0.1</v>
      </c>
      <c r="HP103" s="13">
        <v>0.1</v>
      </c>
      <c r="HQ103" s="13">
        <v>0.1</v>
      </c>
      <c r="HR103" s="13">
        <v>0.1</v>
      </c>
      <c r="HS103" s="13">
        <v>0.1</v>
      </c>
      <c r="HT103" s="13">
        <v>0.1</v>
      </c>
      <c r="HU103" s="13">
        <v>0.1</v>
      </c>
      <c r="HV103" s="13">
        <v>0.1</v>
      </c>
      <c r="HW103" s="13">
        <v>0.1</v>
      </c>
      <c r="HX103" s="13">
        <v>0.1</v>
      </c>
      <c r="HY103" s="13">
        <v>0.1</v>
      </c>
      <c r="HZ103" s="13">
        <v>0.1</v>
      </c>
      <c r="IA103" s="13">
        <v>0.1</v>
      </c>
      <c r="IB103" s="13">
        <v>0.1</v>
      </c>
      <c r="IC103" s="13">
        <v>0.1</v>
      </c>
      <c r="ID103" s="13">
        <v>0.1</v>
      </c>
      <c r="IE103" s="13">
        <v>0.1</v>
      </c>
      <c r="IF103" s="13">
        <v>0.1</v>
      </c>
      <c r="IG103" s="13">
        <v>0.1</v>
      </c>
      <c r="IH103" s="13">
        <v>0.1</v>
      </c>
      <c r="II103" s="13">
        <v>0.1</v>
      </c>
      <c r="IJ103" s="13">
        <v>0.1</v>
      </c>
      <c r="IK103" s="13">
        <v>0.1</v>
      </c>
      <c r="IL103" s="13">
        <v>0.1</v>
      </c>
      <c r="IM103" s="13">
        <v>0.1</v>
      </c>
      <c r="IN103" s="13">
        <v>0.1</v>
      </c>
      <c r="IO103" s="13">
        <v>0.1</v>
      </c>
      <c r="IP103" s="13">
        <v>0.1</v>
      </c>
      <c r="IQ103" s="13">
        <v>0.1</v>
      </c>
      <c r="IR103" s="13">
        <v>0.1</v>
      </c>
      <c r="IS103" s="13">
        <v>0.1</v>
      </c>
      <c r="IT103" s="13">
        <v>0.1</v>
      </c>
      <c r="IU103" s="13">
        <v>0.1</v>
      </c>
      <c r="IV103" s="13">
        <v>0.1</v>
      </c>
      <c r="IW103" s="13">
        <v>0.1</v>
      </c>
      <c r="IX103" s="13">
        <v>0.1</v>
      </c>
      <c r="IY103" s="13">
        <v>0.1</v>
      </c>
      <c r="IZ103" s="13">
        <v>0.1</v>
      </c>
      <c r="JA103" s="13">
        <v>0.1</v>
      </c>
      <c r="JB103" s="13">
        <v>0.1</v>
      </c>
      <c r="JC103" s="13">
        <v>0.1</v>
      </c>
      <c r="JD103" s="13">
        <v>0.1</v>
      </c>
      <c r="JE103" s="13">
        <v>0.1</v>
      </c>
      <c r="JF103" s="13">
        <v>0.1</v>
      </c>
      <c r="JG103" s="13">
        <v>0.1</v>
      </c>
      <c r="JH103" s="13">
        <v>0.1</v>
      </c>
      <c r="JI103" s="13">
        <v>0.1</v>
      </c>
      <c r="JJ103" s="13">
        <v>0.1</v>
      </c>
      <c r="JK103" s="13">
        <v>0.1</v>
      </c>
      <c r="JL103" s="13">
        <v>0.1</v>
      </c>
      <c r="JM103" s="13">
        <v>0.1</v>
      </c>
      <c r="JN103" s="13">
        <v>0.1</v>
      </c>
      <c r="JO103" s="13">
        <v>0.1</v>
      </c>
      <c r="JP103" s="13">
        <v>0.1</v>
      </c>
      <c r="JQ103" s="13">
        <v>0.1</v>
      </c>
      <c r="JR103" s="13">
        <v>0.1</v>
      </c>
      <c r="JS103" s="13">
        <v>0.1</v>
      </c>
      <c r="JT103" s="13">
        <v>0.1</v>
      </c>
      <c r="JU103" s="13">
        <v>0.1</v>
      </c>
      <c r="JV103" s="13">
        <v>0.1</v>
      </c>
      <c r="JW103" s="13">
        <v>0.1</v>
      </c>
      <c r="JX103" s="13">
        <v>0.1</v>
      </c>
      <c r="JY103" s="13">
        <v>0.1</v>
      </c>
      <c r="JZ103" s="13">
        <v>0.1</v>
      </c>
      <c r="KA103" s="13">
        <v>0.1</v>
      </c>
      <c r="KB103" s="13">
        <v>0.1</v>
      </c>
      <c r="KC103" s="13">
        <v>0.1</v>
      </c>
      <c r="KD103" s="13">
        <v>0.1</v>
      </c>
      <c r="KE103" s="13">
        <v>0.1</v>
      </c>
      <c r="KF103" s="13">
        <v>0.1</v>
      </c>
      <c r="KG103" s="13">
        <v>0.1</v>
      </c>
      <c r="KH103" s="13">
        <v>0.1</v>
      </c>
      <c r="KI103" s="13">
        <v>0.1</v>
      </c>
      <c r="KJ103" s="13">
        <v>0.1</v>
      </c>
      <c r="KK103" s="13">
        <v>0.1</v>
      </c>
      <c r="KL103" s="13">
        <v>0.1</v>
      </c>
      <c r="KM103" s="13">
        <v>0.1</v>
      </c>
      <c r="KN103" s="13">
        <v>0.1</v>
      </c>
      <c r="KO103" s="13">
        <v>0.1</v>
      </c>
      <c r="KP103" s="13">
        <v>0.1</v>
      </c>
      <c r="KQ103" s="13">
        <v>0.1</v>
      </c>
      <c r="KR103" s="13">
        <v>0.1</v>
      </c>
      <c r="KS103" s="13">
        <v>0.1</v>
      </c>
      <c r="KT103" s="13">
        <v>0.1</v>
      </c>
      <c r="KU103" s="13">
        <v>0.1</v>
      </c>
      <c r="KV103" s="13">
        <v>0.1</v>
      </c>
      <c r="KW103" s="13">
        <v>0.1</v>
      </c>
      <c r="KX103" s="13">
        <v>0.1</v>
      </c>
      <c r="KY103" s="13">
        <v>0.1</v>
      </c>
      <c r="KZ103" s="13">
        <v>0.1</v>
      </c>
      <c r="LA103" s="13">
        <v>0.1</v>
      </c>
      <c r="LB103" s="13">
        <v>0.1</v>
      </c>
      <c r="LC103" s="13">
        <v>0.1</v>
      </c>
      <c r="LD103" s="13">
        <v>0.1</v>
      </c>
      <c r="LE103" s="13">
        <v>0.1</v>
      </c>
      <c r="LF103" s="13">
        <v>0.1</v>
      </c>
      <c r="LG103" s="13">
        <v>0.1</v>
      </c>
      <c r="LH103" s="13">
        <v>0.1</v>
      </c>
      <c r="LI103" s="13">
        <v>0.1</v>
      </c>
      <c r="LJ103" s="13">
        <v>0.1</v>
      </c>
      <c r="LK103" s="13">
        <v>0.1</v>
      </c>
      <c r="LL103" s="13">
        <v>0.1</v>
      </c>
      <c r="LM103" s="13">
        <v>0.1</v>
      </c>
      <c r="LN103" s="13">
        <v>0.1</v>
      </c>
      <c r="LO103" s="13">
        <v>0.1</v>
      </c>
      <c r="LP103" s="13">
        <v>0.1</v>
      </c>
      <c r="LQ103" s="13">
        <v>0.1</v>
      </c>
      <c r="LR103" s="13">
        <v>0.1</v>
      </c>
      <c r="LS103" s="13">
        <v>0.1</v>
      </c>
      <c r="LT103" s="13">
        <v>0.1</v>
      </c>
      <c r="LU103" s="13">
        <v>0.1</v>
      </c>
      <c r="LV103" s="13">
        <v>0.1</v>
      </c>
      <c r="LW103" s="13">
        <v>0.1</v>
      </c>
      <c r="LX103" s="13">
        <v>0.1</v>
      </c>
      <c r="LY103" s="13">
        <v>0.1</v>
      </c>
      <c r="LZ103" s="13">
        <v>0.1</v>
      </c>
      <c r="MA103" s="13">
        <v>0.1</v>
      </c>
      <c r="MB103" s="13">
        <v>0.1</v>
      </c>
      <c r="MC103" s="13">
        <v>0.1</v>
      </c>
      <c r="MD103" s="13">
        <v>0.1</v>
      </c>
      <c r="ME103" s="13">
        <v>0.1</v>
      </c>
      <c r="MF103" s="13">
        <v>0.1</v>
      </c>
      <c r="MG103" s="13">
        <v>0.1</v>
      </c>
      <c r="MH103" s="13">
        <v>0.1</v>
      </c>
      <c r="MI103" s="13">
        <v>0.1</v>
      </c>
      <c r="MJ103" s="13">
        <v>0.1</v>
      </c>
      <c r="MK103" s="13">
        <v>0.1</v>
      </c>
      <c r="ML103" s="13">
        <v>0.1</v>
      </c>
      <c r="MM103" s="13">
        <v>0.1</v>
      </c>
      <c r="MN103" s="13">
        <v>0.1</v>
      </c>
      <c r="MO103" s="13">
        <v>0.1</v>
      </c>
      <c r="MP103" s="13">
        <v>0.1</v>
      </c>
      <c r="MQ103" s="13">
        <v>0.1</v>
      </c>
      <c r="MR103" s="13">
        <v>0.1</v>
      </c>
      <c r="MS103" s="13">
        <v>0.1</v>
      </c>
      <c r="MT103" s="13">
        <v>0.1</v>
      </c>
      <c r="MU103" s="13">
        <v>0.1</v>
      </c>
      <c r="MV103" s="13">
        <v>0.1</v>
      </c>
      <c r="MW103" s="13">
        <v>0.1</v>
      </c>
      <c r="MX103" s="13">
        <v>0.1</v>
      </c>
      <c r="MY103" s="13">
        <v>0.1</v>
      </c>
      <c r="MZ103" s="13">
        <v>0.1</v>
      </c>
      <c r="NA103" s="13">
        <v>0.1</v>
      </c>
      <c r="NB103" s="13">
        <v>0.1</v>
      </c>
      <c r="NC103" s="13">
        <v>0.1</v>
      </c>
      <c r="ND103" s="13">
        <v>0.1</v>
      </c>
      <c r="NE103" s="13">
        <v>0.1</v>
      </c>
      <c r="NF103" s="13">
        <v>0.1</v>
      </c>
      <c r="NG103" s="13">
        <v>0.1</v>
      </c>
      <c r="NH103" s="13">
        <v>0.1</v>
      </c>
      <c r="NI103" s="13">
        <v>0.1</v>
      </c>
      <c r="NJ103" s="13">
        <v>0.1</v>
      </c>
      <c r="NK103" s="13">
        <v>0.1</v>
      </c>
      <c r="NL103" s="13">
        <v>0.1</v>
      </c>
      <c r="NM103" s="13">
        <v>0.1</v>
      </c>
      <c r="NN103" s="13">
        <v>0.1</v>
      </c>
      <c r="NO103" s="13">
        <v>0.1</v>
      </c>
      <c r="NP103" s="13">
        <v>0.1</v>
      </c>
      <c r="NQ103" s="13">
        <v>0.1</v>
      </c>
      <c r="NR103" s="13">
        <v>0.1</v>
      </c>
      <c r="NS103" s="13">
        <v>0.1</v>
      </c>
      <c r="NT103" s="13">
        <v>0.1</v>
      </c>
      <c r="NU103" s="13">
        <v>0.1</v>
      </c>
      <c r="NV103" s="13">
        <v>0.1</v>
      </c>
      <c r="NW103" s="13">
        <v>0.1</v>
      </c>
      <c r="NX103" s="13">
        <v>0.1</v>
      </c>
      <c r="NY103" s="13">
        <v>0.1</v>
      </c>
      <c r="NZ103" s="13">
        <v>0.1</v>
      </c>
      <c r="OA103" s="13">
        <v>0.1</v>
      </c>
      <c r="OB103" s="13">
        <v>0.1</v>
      </c>
      <c r="OC103" s="13">
        <v>0.1</v>
      </c>
      <c r="OD103" s="13">
        <v>0.1</v>
      </c>
      <c r="OE103" s="13">
        <v>0.1</v>
      </c>
      <c r="OF103" s="13">
        <v>0.1</v>
      </c>
      <c r="OG103" s="13">
        <v>0.1</v>
      </c>
      <c r="OH103" s="13">
        <v>0.1</v>
      </c>
      <c r="OI103" s="13">
        <v>0.1</v>
      </c>
      <c r="OJ103" s="13">
        <v>0.1</v>
      </c>
      <c r="OK103" s="13">
        <v>0.1</v>
      </c>
      <c r="OL103" s="13">
        <v>0.1</v>
      </c>
      <c r="OM103" s="13">
        <v>0.1</v>
      </c>
      <c r="ON103" s="13">
        <v>0.1</v>
      </c>
      <c r="OO103" s="13">
        <v>0.1</v>
      </c>
      <c r="OP103" s="13">
        <v>0.1</v>
      </c>
      <c r="OQ103" s="13">
        <v>0.1</v>
      </c>
      <c r="OR103" s="13">
        <v>0.1</v>
      </c>
      <c r="OS103" s="13">
        <v>0.1</v>
      </c>
      <c r="OT103" s="13">
        <v>0.1</v>
      </c>
      <c r="OU103" s="13">
        <v>0.1</v>
      </c>
      <c r="OV103" s="13">
        <v>0.1</v>
      </c>
      <c r="OW103" s="13">
        <v>0.1</v>
      </c>
      <c r="OX103" s="13">
        <v>0.1</v>
      </c>
      <c r="OY103" s="13">
        <v>0.1</v>
      </c>
      <c r="OZ103" s="13">
        <v>0.1</v>
      </c>
      <c r="PA103" s="13">
        <v>0.1</v>
      </c>
      <c r="PB103" s="13">
        <v>0.1</v>
      </c>
      <c r="PC103" s="13">
        <v>0.1</v>
      </c>
      <c r="PD103" s="13">
        <v>0.1</v>
      </c>
      <c r="PE103" s="13">
        <v>0.1</v>
      </c>
      <c r="PF103" s="13">
        <v>0.1</v>
      </c>
      <c r="PG103" s="13">
        <v>0.1</v>
      </c>
      <c r="PH103" s="13">
        <v>0.1</v>
      </c>
      <c r="PI103" s="13">
        <v>0.1</v>
      </c>
      <c r="PJ103" s="13">
        <v>0.1</v>
      </c>
      <c r="PK103" s="13">
        <v>0.1</v>
      </c>
      <c r="PL103" s="13">
        <v>0.1</v>
      </c>
      <c r="PM103" s="13">
        <v>0.1</v>
      </c>
      <c r="PN103" s="13">
        <v>0.1</v>
      </c>
      <c r="PO103" s="13">
        <v>0.1</v>
      </c>
      <c r="PP103" s="13">
        <v>0.1</v>
      </c>
      <c r="PQ103" s="13">
        <v>0.1</v>
      </c>
      <c r="PR103" s="13">
        <v>0.1</v>
      </c>
      <c r="PS103" s="13">
        <v>0.1</v>
      </c>
      <c r="PT103" s="13">
        <v>0.1</v>
      </c>
      <c r="PU103" s="13">
        <v>0.1</v>
      </c>
      <c r="PV103" s="13">
        <v>0.1</v>
      </c>
      <c r="PW103" s="13">
        <v>0.1</v>
      </c>
      <c r="PX103" s="13">
        <v>0.1</v>
      </c>
      <c r="PY103" s="13">
        <v>0.1</v>
      </c>
      <c r="PZ103" s="13">
        <v>0.1</v>
      </c>
      <c r="QA103" s="13">
        <v>0.1</v>
      </c>
      <c r="QB103" s="13">
        <v>0.1</v>
      </c>
      <c r="QC103" s="13">
        <v>0.1</v>
      </c>
      <c r="QD103" s="13">
        <v>0.1</v>
      </c>
      <c r="QE103" s="13">
        <v>0.1</v>
      </c>
      <c r="QF103" s="13">
        <v>0.1</v>
      </c>
      <c r="QG103" s="13">
        <v>0.1</v>
      </c>
      <c r="QH103" s="13">
        <v>0.1</v>
      </c>
      <c r="QI103" s="13">
        <v>0.1</v>
      </c>
      <c r="QJ103" s="13">
        <v>0.1</v>
      </c>
      <c r="QK103" s="13">
        <v>0.1</v>
      </c>
      <c r="QL103" s="13">
        <v>0.1</v>
      </c>
      <c r="QM103" s="13">
        <v>0.1</v>
      </c>
      <c r="QN103" s="13">
        <v>0.1</v>
      </c>
      <c r="QO103" s="13">
        <v>0.1</v>
      </c>
      <c r="QP103" s="13">
        <v>0.1</v>
      </c>
      <c r="QQ103" s="13">
        <v>0.1</v>
      </c>
      <c r="QR103" s="13">
        <v>0.1</v>
      </c>
      <c r="QS103" s="13">
        <v>0.1</v>
      </c>
      <c r="QT103" s="13">
        <v>0.1</v>
      </c>
      <c r="QU103" s="13">
        <v>0.1</v>
      </c>
      <c r="QV103" s="13">
        <v>0.1</v>
      </c>
      <c r="QW103" s="13">
        <v>0.1</v>
      </c>
      <c r="QX103" s="13">
        <v>0.1</v>
      </c>
      <c r="QY103" s="13">
        <v>0.1</v>
      </c>
      <c r="QZ103" s="13">
        <v>0.1</v>
      </c>
      <c r="RA103" s="13">
        <v>0.1</v>
      </c>
      <c r="RB103" s="13">
        <v>0.1</v>
      </c>
      <c r="RC103" s="13">
        <v>0.1</v>
      </c>
      <c r="RD103" s="13">
        <v>0.1</v>
      </c>
      <c r="RE103" s="13">
        <v>0.1</v>
      </c>
      <c r="RF103" s="13">
        <v>0.1</v>
      </c>
      <c r="RG103" s="13">
        <v>0.1</v>
      </c>
      <c r="RH103" s="13">
        <v>0.1</v>
      </c>
      <c r="RI103" s="13">
        <v>0.1</v>
      </c>
      <c r="RJ103" s="13">
        <v>0.1</v>
      </c>
      <c r="RK103" s="13">
        <v>0.1</v>
      </c>
      <c r="RL103" s="13">
        <v>0.1</v>
      </c>
      <c r="RM103" s="13">
        <v>0.1</v>
      </c>
      <c r="RN103" s="13">
        <v>0.1</v>
      </c>
      <c r="RO103" s="13">
        <v>0.1</v>
      </c>
      <c r="RP103" s="13">
        <v>0.1</v>
      </c>
      <c r="RQ103" s="13">
        <v>0.1</v>
      </c>
      <c r="RR103" s="13">
        <v>0.1</v>
      </c>
      <c r="RS103" s="13">
        <v>0.1</v>
      </c>
      <c r="RT103" s="13">
        <v>0.1</v>
      </c>
      <c r="RU103" s="13">
        <v>0.1</v>
      </c>
      <c r="RV103" s="13">
        <v>0.1</v>
      </c>
      <c r="RW103" s="13">
        <v>0.1</v>
      </c>
      <c r="RX103" s="13">
        <v>0.1</v>
      </c>
      <c r="RY103" s="13">
        <v>0.1</v>
      </c>
      <c r="RZ103" s="13">
        <v>0.1</v>
      </c>
      <c r="SA103" s="13">
        <v>0.1</v>
      </c>
      <c r="SB103" s="13">
        <v>0.1</v>
      </c>
      <c r="SC103" s="13">
        <v>0.1</v>
      </c>
      <c r="SD103" s="13">
        <v>0.1</v>
      </c>
      <c r="SE103" s="13">
        <v>0.1</v>
      </c>
      <c r="SF103" s="13">
        <v>0.1</v>
      </c>
      <c r="SG103" s="13">
        <v>0.1</v>
      </c>
      <c r="SH103" s="13">
        <v>0.1</v>
      </c>
      <c r="SI103" s="13">
        <v>0.1</v>
      </c>
      <c r="SJ103" s="13">
        <v>0.1</v>
      </c>
      <c r="SK103" s="13">
        <v>0.1</v>
      </c>
      <c r="SL103" s="13">
        <v>0.1</v>
      </c>
      <c r="SM103" s="13">
        <v>0.1</v>
      </c>
      <c r="SN103" s="13">
        <v>0.1</v>
      </c>
      <c r="SO103" s="13">
        <v>0.1</v>
      </c>
      <c r="SP103" s="13">
        <v>0.1</v>
      </c>
      <c r="SQ103" s="13">
        <v>0.1</v>
      </c>
      <c r="SR103" s="13">
        <v>0.1</v>
      </c>
      <c r="SS103" s="13">
        <v>0.1</v>
      </c>
      <c r="ST103" s="13">
        <v>0.1</v>
      </c>
      <c r="SU103" s="13">
        <v>0.1</v>
      </c>
      <c r="SV103" s="13">
        <v>0.1</v>
      </c>
      <c r="SW103" s="13">
        <v>0.1</v>
      </c>
      <c r="SX103" s="13">
        <v>0.1</v>
      </c>
      <c r="SY103" s="13">
        <v>0.1</v>
      </c>
      <c r="SZ103" s="13">
        <v>0.1</v>
      </c>
      <c r="TA103" s="13">
        <v>0.1</v>
      </c>
      <c r="TB103" s="13">
        <v>0.1</v>
      </c>
      <c r="TC103" s="13">
        <v>0.1</v>
      </c>
      <c r="TD103" s="13">
        <v>0.1</v>
      </c>
      <c r="TE103" s="13">
        <v>0.1</v>
      </c>
      <c r="TF103" s="13">
        <v>0.1</v>
      </c>
      <c r="TG103" s="13">
        <v>0.1</v>
      </c>
      <c r="TH103" s="13">
        <v>0.1</v>
      </c>
      <c r="TI103" s="13">
        <v>0.1</v>
      </c>
      <c r="TJ103" s="13">
        <v>0.1</v>
      </c>
      <c r="TK103" s="13">
        <v>0.1</v>
      </c>
      <c r="TL103" s="13">
        <v>0.1</v>
      </c>
      <c r="TM103" s="13">
        <v>0.1</v>
      </c>
      <c r="TN103" s="13">
        <v>0.1</v>
      </c>
      <c r="TO103" s="13">
        <v>0.1</v>
      </c>
      <c r="TP103" s="13">
        <v>0.1</v>
      </c>
      <c r="TQ103" s="13">
        <v>0.1</v>
      </c>
      <c r="TR103" s="13">
        <v>0.1</v>
      </c>
      <c r="TS103" s="13">
        <v>0.1</v>
      </c>
      <c r="TT103" s="13">
        <v>0.1</v>
      </c>
      <c r="TU103" s="13">
        <v>0.1</v>
      </c>
      <c r="TV103" s="13">
        <v>0.1</v>
      </c>
      <c r="TW103" s="13">
        <v>0.1</v>
      </c>
      <c r="TX103" s="13">
        <v>0.1</v>
      </c>
      <c r="TY103" s="13">
        <v>0.1</v>
      </c>
      <c r="TZ103" s="13">
        <v>0.1</v>
      </c>
      <c r="UA103" s="13">
        <v>0.1</v>
      </c>
      <c r="UB103" s="13">
        <v>0.1</v>
      </c>
      <c r="UC103" s="13">
        <v>0.1</v>
      </c>
      <c r="UD103" s="13">
        <v>0.1</v>
      </c>
      <c r="UE103" s="13">
        <v>0.1</v>
      </c>
      <c r="UF103" s="13">
        <v>0.1</v>
      </c>
      <c r="UG103" s="13">
        <v>0.1</v>
      </c>
      <c r="UH103" s="13">
        <v>0.1</v>
      </c>
      <c r="UI103" s="13">
        <v>0.1</v>
      </c>
      <c r="UJ103" s="13">
        <v>0.1</v>
      </c>
      <c r="UK103" s="13">
        <v>0.1</v>
      </c>
      <c r="UL103" s="13">
        <v>0.1</v>
      </c>
      <c r="UM103" s="13">
        <v>0.1</v>
      </c>
      <c r="UN103" s="13">
        <v>0.1</v>
      </c>
      <c r="UO103" s="13">
        <v>0.1</v>
      </c>
      <c r="UP103" s="13">
        <v>0.1</v>
      </c>
      <c r="UQ103" s="13">
        <v>0.1</v>
      </c>
      <c r="UR103" s="13">
        <v>0.1</v>
      </c>
      <c r="US103" s="13">
        <v>0.1</v>
      </c>
      <c r="UT103" s="13">
        <v>0.1</v>
      </c>
      <c r="UU103" s="13">
        <v>0.1</v>
      </c>
      <c r="UV103" s="13">
        <v>0.1</v>
      </c>
      <c r="UW103" s="13">
        <v>0.1</v>
      </c>
      <c r="UX103" s="13">
        <v>0.1</v>
      </c>
      <c r="UY103" s="13">
        <v>0.1</v>
      </c>
      <c r="UZ103" s="13">
        <v>0.1</v>
      </c>
      <c r="VA103" s="13">
        <v>0.1</v>
      </c>
      <c r="VB103" s="13">
        <v>0.1</v>
      </c>
      <c r="VC103" s="13">
        <v>0.1</v>
      </c>
      <c r="VD103" s="13">
        <v>0.1</v>
      </c>
      <c r="VE103" s="13">
        <v>0.1</v>
      </c>
      <c r="VF103" s="13">
        <v>0.1</v>
      </c>
      <c r="VG103" s="13">
        <v>0.1</v>
      </c>
      <c r="VH103" s="13">
        <v>0.1</v>
      </c>
      <c r="VI103" s="13">
        <v>0.1</v>
      </c>
      <c r="VJ103" s="13">
        <v>0.1</v>
      </c>
      <c r="VK103" s="13">
        <v>0.1</v>
      </c>
      <c r="VL103" s="13">
        <v>0.1</v>
      </c>
      <c r="VM103" s="13">
        <v>0.1</v>
      </c>
      <c r="VN103" s="13">
        <v>0.1</v>
      </c>
      <c r="VO103" s="13">
        <v>0.1</v>
      </c>
      <c r="VP103" s="13">
        <v>0.1</v>
      </c>
      <c r="VQ103" s="13">
        <v>0.1</v>
      </c>
      <c r="VR103" s="13">
        <v>0.1</v>
      </c>
      <c r="VS103" s="13">
        <v>0.1</v>
      </c>
      <c r="VT103" s="13">
        <v>0.1</v>
      </c>
      <c r="VU103" s="13">
        <v>0.1</v>
      </c>
      <c r="VV103" s="13">
        <v>0.1</v>
      </c>
      <c r="VW103" s="13">
        <v>0.1</v>
      </c>
      <c r="VX103" s="13">
        <v>0.1</v>
      </c>
      <c r="VY103" s="13">
        <v>0.1</v>
      </c>
      <c r="VZ103" s="13">
        <v>0.1</v>
      </c>
      <c r="WA103" s="13">
        <v>0.1</v>
      </c>
      <c r="WB103" s="13">
        <v>0.1</v>
      </c>
      <c r="WC103" s="13">
        <v>0.1</v>
      </c>
      <c r="WD103" s="13">
        <v>0.1</v>
      </c>
      <c r="WE103" s="13">
        <v>0.1</v>
      </c>
      <c r="WF103" s="13">
        <v>0.1</v>
      </c>
      <c r="WG103" s="13">
        <v>0.1</v>
      </c>
      <c r="WH103" s="13">
        <v>0.1</v>
      </c>
      <c r="WI103" s="13">
        <v>0.1</v>
      </c>
      <c r="WJ103" s="13">
        <v>0.1</v>
      </c>
      <c r="WK103" s="13">
        <v>0.1</v>
      </c>
      <c r="WL103" s="13">
        <v>0.1</v>
      </c>
      <c r="WM103" s="13">
        <v>0.1</v>
      </c>
      <c r="WN103" s="13">
        <v>0.1</v>
      </c>
      <c r="WO103" s="13">
        <v>0.1</v>
      </c>
      <c r="WP103" s="13">
        <v>0.1</v>
      </c>
      <c r="WQ103" s="13">
        <v>0.1</v>
      </c>
      <c r="WR103" s="13">
        <v>0.1</v>
      </c>
      <c r="WS103" s="13">
        <v>0.1</v>
      </c>
      <c r="WT103" s="13">
        <v>0.1</v>
      </c>
      <c r="WU103" s="13">
        <v>0.1</v>
      </c>
      <c r="WV103" s="13">
        <v>0.1</v>
      </c>
      <c r="WW103" s="13">
        <v>0.1</v>
      </c>
      <c r="WX103" s="13">
        <v>0.1</v>
      </c>
      <c r="WY103" s="13">
        <v>0.1</v>
      </c>
      <c r="WZ103" s="13">
        <v>0.1</v>
      </c>
      <c r="XA103" s="13">
        <v>0.1</v>
      </c>
      <c r="XB103" s="13">
        <v>0.1</v>
      </c>
      <c r="XC103" s="13">
        <v>0.1</v>
      </c>
      <c r="XD103" s="13">
        <v>0.1</v>
      </c>
      <c r="XE103" s="13">
        <v>0.1</v>
      </c>
      <c r="XF103" s="13">
        <v>0.1</v>
      </c>
      <c r="XG103" s="13">
        <v>0.1</v>
      </c>
      <c r="XH103" s="13">
        <v>0.1</v>
      </c>
      <c r="XI103" s="13">
        <v>0.1</v>
      </c>
      <c r="XJ103" s="13">
        <v>0.1</v>
      </c>
      <c r="XK103" s="13">
        <v>0.1</v>
      </c>
      <c r="XL103" s="13">
        <v>0.1</v>
      </c>
      <c r="XM103" s="13">
        <v>0.1</v>
      </c>
      <c r="XN103" s="13">
        <v>0.1</v>
      </c>
      <c r="XO103" s="13">
        <v>0.1</v>
      </c>
      <c r="XP103" s="13">
        <v>0.1</v>
      </c>
      <c r="XQ103" s="13">
        <v>0.1</v>
      </c>
      <c r="XR103" s="13">
        <v>0.1</v>
      </c>
      <c r="XS103" s="13">
        <v>0.1</v>
      </c>
      <c r="XT103" s="13">
        <v>0.1</v>
      </c>
      <c r="XU103" s="13">
        <v>0.1</v>
      </c>
      <c r="XV103" s="13">
        <v>0.1</v>
      </c>
      <c r="XW103" s="13">
        <v>0.1</v>
      </c>
      <c r="XX103" s="13">
        <v>0.1</v>
      </c>
      <c r="XY103" s="13">
        <v>0.1</v>
      </c>
      <c r="XZ103" s="13">
        <v>0.1</v>
      </c>
      <c r="YA103" s="13">
        <v>0.1</v>
      </c>
      <c r="YB103" s="13">
        <v>0.1</v>
      </c>
      <c r="YC103" s="13">
        <v>0.1</v>
      </c>
      <c r="YD103" s="13">
        <v>0.1</v>
      </c>
      <c r="YE103" s="13">
        <v>0.1</v>
      </c>
      <c r="YF103" s="13">
        <v>0.1</v>
      </c>
      <c r="YG103" s="13">
        <v>0.1</v>
      </c>
      <c r="YH103" s="13">
        <v>0.1</v>
      </c>
      <c r="YI103" s="13">
        <v>0.1</v>
      </c>
      <c r="YJ103" s="13">
        <v>0.1</v>
      </c>
      <c r="YK103" s="13">
        <v>0.1</v>
      </c>
      <c r="YL103" s="13">
        <v>0.1</v>
      </c>
      <c r="YM103" s="13">
        <v>0.1</v>
      </c>
      <c r="YN103" s="13">
        <v>0.1</v>
      </c>
      <c r="YO103" s="13">
        <v>0.1</v>
      </c>
      <c r="YP103" s="13">
        <v>0.1</v>
      </c>
      <c r="YQ103" s="13">
        <v>0.1</v>
      </c>
      <c r="YR103" s="13">
        <v>0.1</v>
      </c>
      <c r="YS103" s="13">
        <v>0.1</v>
      </c>
      <c r="YT103" s="13">
        <v>0.1</v>
      </c>
      <c r="YU103" s="13">
        <v>0.1</v>
      </c>
      <c r="YV103" s="13">
        <v>0.1</v>
      </c>
      <c r="YW103" s="13">
        <v>0.1</v>
      </c>
      <c r="YX103" s="13">
        <v>0.1</v>
      </c>
      <c r="YY103" s="13">
        <v>0.1</v>
      </c>
      <c r="YZ103" s="13">
        <v>0.1</v>
      </c>
      <c r="ZA103" s="13">
        <v>0.1</v>
      </c>
      <c r="ZB103" s="13">
        <v>0.1</v>
      </c>
      <c r="ZC103" s="13">
        <v>0.1</v>
      </c>
      <c r="ZD103" s="13">
        <v>0.1</v>
      </c>
      <c r="ZE103" s="13">
        <v>0.1</v>
      </c>
      <c r="ZF103" s="13">
        <v>0.1</v>
      </c>
      <c r="ZG103" s="13">
        <v>0.1</v>
      </c>
      <c r="ZH103" s="13">
        <v>0.1</v>
      </c>
      <c r="ZI103" s="13">
        <v>0.1</v>
      </c>
      <c r="ZJ103" s="13">
        <v>0.1</v>
      </c>
      <c r="ZK103" s="13">
        <v>0.1</v>
      </c>
      <c r="ZL103" s="13">
        <v>0.1</v>
      </c>
      <c r="ZM103" s="13">
        <v>0.1</v>
      </c>
      <c r="ZN103" s="13">
        <v>0.1</v>
      </c>
      <c r="ZO103" s="13">
        <v>0.1</v>
      </c>
      <c r="ZP103" s="13">
        <v>0.1</v>
      </c>
      <c r="ZQ103" s="13">
        <v>0.1</v>
      </c>
      <c r="ZR103" s="13">
        <v>0.1</v>
      </c>
      <c r="ZS103" s="13">
        <v>0.1</v>
      </c>
      <c r="ZT103" s="13">
        <v>0.1</v>
      </c>
      <c r="ZU103" s="13">
        <v>0.1</v>
      </c>
      <c r="ZV103" s="13">
        <v>0.1</v>
      </c>
      <c r="ZW103" s="13">
        <v>0.1</v>
      </c>
      <c r="ZX103" s="13">
        <v>0.1</v>
      </c>
      <c r="ZY103" s="13">
        <v>0.1</v>
      </c>
      <c r="ZZ103" s="13">
        <v>0.1</v>
      </c>
      <c r="AAA103" s="13">
        <v>0.1</v>
      </c>
      <c r="AAB103" s="13">
        <v>0.1</v>
      </c>
      <c r="AAC103" s="13">
        <v>0.1</v>
      </c>
      <c r="AAD103" s="13">
        <v>0.1</v>
      </c>
      <c r="AAE103" s="13">
        <v>0.1</v>
      </c>
      <c r="AAF103" s="13">
        <v>0.1</v>
      </c>
      <c r="AAG103" s="13">
        <v>0.1</v>
      </c>
      <c r="AAH103" s="13">
        <v>0.1</v>
      </c>
      <c r="AAI103" s="13">
        <v>0.1</v>
      </c>
      <c r="AAJ103" s="13">
        <v>0.1</v>
      </c>
      <c r="AAK103" s="13">
        <v>0.1</v>
      </c>
      <c r="AAL103" s="13">
        <v>0.1</v>
      </c>
      <c r="AAM103" s="13">
        <v>0.1</v>
      </c>
      <c r="AAN103" s="13">
        <v>0.1</v>
      </c>
      <c r="AAO103" s="13">
        <v>0.1</v>
      </c>
      <c r="AAP103" s="13">
        <v>0.1</v>
      </c>
      <c r="AAQ103" s="13">
        <v>0.1</v>
      </c>
      <c r="AAR103" s="13">
        <v>0.1</v>
      </c>
      <c r="AAS103" s="13">
        <v>0.1</v>
      </c>
      <c r="AAT103" s="13">
        <v>0.1</v>
      </c>
      <c r="AAU103" s="13">
        <v>0.1</v>
      </c>
      <c r="AAV103" s="13">
        <v>0.1</v>
      </c>
      <c r="AAW103" s="13">
        <v>0.1</v>
      </c>
      <c r="AAX103" s="13">
        <v>0.1</v>
      </c>
      <c r="AAY103" s="13">
        <v>0.1</v>
      </c>
      <c r="AAZ103" s="13">
        <v>0.1</v>
      </c>
      <c r="ABA103" s="13">
        <v>0.1</v>
      </c>
      <c r="ABB103" s="13">
        <v>0.1</v>
      </c>
      <c r="ABC103" s="13">
        <v>0.1</v>
      </c>
      <c r="ABD103" s="13">
        <v>0.1</v>
      </c>
      <c r="ABE103" s="13">
        <v>0.1</v>
      </c>
      <c r="ABF103" s="13">
        <v>0.1</v>
      </c>
      <c r="ABG103" s="13">
        <v>0.1</v>
      </c>
      <c r="ABH103" s="13">
        <v>0.1</v>
      </c>
      <c r="ABI103" s="13">
        <v>0.1</v>
      </c>
      <c r="ABJ103" s="13">
        <v>0.1</v>
      </c>
      <c r="ABK103" s="13">
        <v>0.1</v>
      </c>
      <c r="ABL103" s="13">
        <v>0.1</v>
      </c>
      <c r="ABM103" s="13">
        <v>0.1</v>
      </c>
      <c r="ABN103" s="13">
        <v>0.1</v>
      </c>
      <c r="ABO103" s="13">
        <v>0.1</v>
      </c>
      <c r="ABP103" s="13">
        <v>0.1</v>
      </c>
      <c r="ABQ103" s="13">
        <v>0.1</v>
      </c>
      <c r="ABR103" s="13">
        <v>0.1</v>
      </c>
      <c r="ABS103" s="13">
        <v>0.1</v>
      </c>
      <c r="ABT103" s="13">
        <v>0.1</v>
      </c>
      <c r="ABU103" s="13">
        <v>0.1</v>
      </c>
      <c r="ABV103" s="13">
        <v>0.1</v>
      </c>
      <c r="ABW103" s="13">
        <v>0.1</v>
      </c>
      <c r="ABX103" s="13">
        <v>0.1</v>
      </c>
      <c r="ABY103" s="13">
        <v>0.1</v>
      </c>
      <c r="ABZ103" s="13">
        <v>0.1</v>
      </c>
      <c r="ACA103" s="13">
        <v>0.1</v>
      </c>
      <c r="ACB103" s="13">
        <v>0.1</v>
      </c>
      <c r="ACC103" s="13">
        <v>0.1</v>
      </c>
      <c r="ACD103" s="13">
        <v>0.1</v>
      </c>
      <c r="ACE103" s="13">
        <v>0.1</v>
      </c>
      <c r="ACF103" s="13">
        <v>0.1</v>
      </c>
      <c r="ACG103" s="13">
        <v>0.1</v>
      </c>
      <c r="ACH103" s="13">
        <v>0.1</v>
      </c>
      <c r="ACI103" s="13">
        <v>0.1</v>
      </c>
      <c r="ACJ103" s="13">
        <v>0.1</v>
      </c>
      <c r="ACK103" s="13">
        <v>0.1</v>
      </c>
      <c r="ACL103" s="13">
        <v>0.1</v>
      </c>
      <c r="ACM103" s="13">
        <v>0.1</v>
      </c>
      <c r="ACN103" s="13">
        <v>0.1</v>
      </c>
      <c r="ACO103" s="13">
        <v>0.1</v>
      </c>
      <c r="ACP103" s="13">
        <v>0.1</v>
      </c>
      <c r="ACQ103" s="13">
        <v>0.1</v>
      </c>
      <c r="ACR103" s="13">
        <v>0.1</v>
      </c>
      <c r="ACS103" s="13">
        <v>0.1</v>
      </c>
      <c r="ACT103" s="13">
        <v>0.1</v>
      </c>
      <c r="ACU103" s="13">
        <v>0.1</v>
      </c>
      <c r="ACV103" s="13">
        <v>0.1</v>
      </c>
      <c r="ACW103" s="13">
        <v>0.1</v>
      </c>
      <c r="ACX103" s="13">
        <v>0.1</v>
      </c>
      <c r="ACY103" s="13">
        <v>0.1</v>
      </c>
      <c r="ACZ103" s="13">
        <v>0.1</v>
      </c>
      <c r="ADA103" s="13">
        <v>0.1</v>
      </c>
      <c r="ADB103" s="13">
        <v>0.1</v>
      </c>
      <c r="ADC103" s="13">
        <v>0.1</v>
      </c>
      <c r="ADD103" s="13">
        <v>0.1</v>
      </c>
      <c r="ADE103" s="13">
        <v>0.1</v>
      </c>
      <c r="ADF103" s="13">
        <v>0.1</v>
      </c>
      <c r="ADG103" s="13">
        <v>0.1</v>
      </c>
      <c r="ADH103" s="13">
        <v>0.1</v>
      </c>
      <c r="ADI103" s="13">
        <v>0.1</v>
      </c>
      <c r="ADJ103" s="13">
        <v>0.1</v>
      </c>
      <c r="ADK103" s="13">
        <v>0.1</v>
      </c>
      <c r="ADL103" s="13">
        <v>0.1</v>
      </c>
      <c r="ADM103" s="13">
        <v>0.1</v>
      </c>
      <c r="ADN103" s="13">
        <v>0.1</v>
      </c>
      <c r="ADO103" s="13">
        <v>0.1</v>
      </c>
      <c r="ADP103" s="13">
        <v>0.1</v>
      </c>
      <c r="ADQ103" s="13">
        <v>0.1</v>
      </c>
      <c r="ADR103" s="13">
        <v>0.1</v>
      </c>
      <c r="ADS103" s="13">
        <v>0.1</v>
      </c>
      <c r="ADT103" s="13">
        <v>0.1</v>
      </c>
      <c r="ADU103" s="13">
        <v>0.1</v>
      </c>
      <c r="ADV103" s="13">
        <v>0.1</v>
      </c>
      <c r="ADW103" s="13">
        <v>0.1</v>
      </c>
      <c r="ADX103" s="13">
        <v>0.1</v>
      </c>
      <c r="ADY103" s="13">
        <v>0.1</v>
      </c>
      <c r="ADZ103" s="13">
        <v>0.1</v>
      </c>
      <c r="AEA103" s="13">
        <v>0.1</v>
      </c>
      <c r="AEB103" s="13">
        <v>0.1</v>
      </c>
      <c r="AEC103" s="13">
        <v>0.1</v>
      </c>
      <c r="AED103" s="13">
        <v>0.1</v>
      </c>
      <c r="AEE103" s="13">
        <v>0.1</v>
      </c>
      <c r="AEF103" s="13">
        <v>0.1</v>
      </c>
      <c r="AEG103" s="13">
        <v>0.1</v>
      </c>
      <c r="AEH103" s="13">
        <v>0.1</v>
      </c>
      <c r="AEI103" s="13">
        <v>0.1</v>
      </c>
      <c r="AEJ103" s="13">
        <v>0.1</v>
      </c>
      <c r="AEK103" s="13">
        <v>0.1</v>
      </c>
      <c r="AEL103" s="13">
        <v>0.1</v>
      </c>
      <c r="AEM103" s="13">
        <v>0.1</v>
      </c>
      <c r="AEN103" s="13">
        <v>0.1</v>
      </c>
      <c r="AEO103" s="13">
        <v>0.1</v>
      </c>
      <c r="AEP103" s="13">
        <v>0.1</v>
      </c>
      <c r="AEQ103" s="13">
        <v>0.1</v>
      </c>
      <c r="AER103" s="13">
        <v>0.1</v>
      </c>
      <c r="AES103" s="13">
        <v>0.1</v>
      </c>
      <c r="AET103" s="13">
        <v>0.1</v>
      </c>
      <c r="AEU103" s="13">
        <v>0.1</v>
      </c>
      <c r="AEV103" s="13">
        <v>0.1</v>
      </c>
      <c r="AEW103" s="13">
        <v>0.1</v>
      </c>
      <c r="AEX103" s="13">
        <v>0.1</v>
      </c>
      <c r="AEY103" s="13">
        <v>0.1</v>
      </c>
      <c r="AEZ103" s="13">
        <v>0.1</v>
      </c>
      <c r="AFA103" s="13">
        <v>0.1</v>
      </c>
      <c r="AFB103" s="13">
        <v>0.1</v>
      </c>
      <c r="AFC103" s="13">
        <v>0.1</v>
      </c>
      <c r="AFD103" s="13">
        <v>0.1</v>
      </c>
      <c r="AFE103" s="13">
        <v>0.1</v>
      </c>
      <c r="AFF103" s="13">
        <v>0.1</v>
      </c>
      <c r="AFG103" s="13">
        <v>0.1</v>
      </c>
      <c r="AFH103" s="13">
        <v>0.1</v>
      </c>
      <c r="AFI103" s="13">
        <v>0.1</v>
      </c>
      <c r="AFJ103" s="13">
        <v>0.1</v>
      </c>
      <c r="AFK103" s="13">
        <v>0.1</v>
      </c>
      <c r="AFL103" s="13">
        <v>0.1</v>
      </c>
      <c r="AFM103" s="13">
        <v>0.1</v>
      </c>
      <c r="AFN103" s="13">
        <v>0.1</v>
      </c>
      <c r="AFO103" s="13">
        <v>0.1</v>
      </c>
      <c r="AFP103" s="13">
        <v>0.1</v>
      </c>
      <c r="AFQ103" s="13">
        <v>0.1</v>
      </c>
      <c r="AFR103" s="13">
        <v>0.1</v>
      </c>
      <c r="AFS103" s="13">
        <v>0.1</v>
      </c>
      <c r="AFT103" s="13">
        <v>0.1</v>
      </c>
      <c r="AFU103" s="13">
        <v>0.1</v>
      </c>
      <c r="AFV103" s="13">
        <v>0.1</v>
      </c>
      <c r="AFW103" s="13">
        <v>0.1</v>
      </c>
      <c r="AFX103" s="13">
        <v>0.1</v>
      </c>
      <c r="AFY103" s="13">
        <v>0.1</v>
      </c>
      <c r="AFZ103" s="13">
        <v>0.1</v>
      </c>
      <c r="AGA103" s="13">
        <v>0.1</v>
      </c>
      <c r="AGB103" s="13">
        <v>0.1</v>
      </c>
      <c r="AGC103" s="13">
        <v>0.1</v>
      </c>
      <c r="AGD103" s="13">
        <v>0.1</v>
      </c>
      <c r="AGE103" s="13">
        <v>0.1</v>
      </c>
      <c r="AGF103" s="13">
        <v>0.1</v>
      </c>
      <c r="AGG103" s="13">
        <v>0.1</v>
      </c>
      <c r="AGH103" s="13">
        <v>0.1</v>
      </c>
      <c r="AGI103" s="13">
        <v>0.1</v>
      </c>
      <c r="AGJ103" s="13">
        <v>0.1</v>
      </c>
      <c r="AGK103" s="13">
        <v>0.1</v>
      </c>
      <c r="AGL103" s="13">
        <v>0.1</v>
      </c>
      <c r="AGM103" s="13">
        <v>0.1</v>
      </c>
      <c r="AGN103" s="13">
        <v>0.1</v>
      </c>
      <c r="AGO103" s="13">
        <v>0.1</v>
      </c>
      <c r="AGP103" s="13">
        <v>0.1</v>
      </c>
      <c r="AGQ103" s="13">
        <v>0.1</v>
      </c>
      <c r="AGR103" s="13">
        <v>0.1</v>
      </c>
      <c r="AGS103" s="13">
        <v>0.1</v>
      </c>
      <c r="AGT103" s="13">
        <v>0.1</v>
      </c>
      <c r="AGU103" s="13">
        <v>0.1</v>
      </c>
      <c r="AGV103" s="13">
        <v>0.1</v>
      </c>
      <c r="AGW103" s="13">
        <v>0.1</v>
      </c>
      <c r="AGX103" s="13">
        <v>0.1</v>
      </c>
      <c r="AGY103" s="13">
        <v>0.1</v>
      </c>
      <c r="AGZ103" s="13">
        <v>0.1</v>
      </c>
      <c r="AHA103" s="13">
        <v>0.1</v>
      </c>
      <c r="AHB103" s="13">
        <v>0.1</v>
      </c>
      <c r="AHC103" s="13">
        <v>0.1</v>
      </c>
      <c r="AHD103" s="13">
        <v>0.1</v>
      </c>
      <c r="AHE103" s="13">
        <v>0.1</v>
      </c>
      <c r="AHF103" s="13">
        <v>0.1</v>
      </c>
      <c r="AHG103" s="13">
        <v>0.1</v>
      </c>
      <c r="AHH103" s="13">
        <v>0.1</v>
      </c>
      <c r="AHI103" s="13">
        <v>0.1</v>
      </c>
      <c r="AHJ103" s="13">
        <v>0.1</v>
      </c>
      <c r="AHK103" s="13">
        <v>0.1</v>
      </c>
      <c r="AHL103" s="13">
        <v>0.1</v>
      </c>
      <c r="AHM103" s="13">
        <v>0.1</v>
      </c>
      <c r="AHN103" s="13">
        <v>0.1</v>
      </c>
      <c r="AHO103" s="13">
        <v>0.1</v>
      </c>
      <c r="AHP103" s="13">
        <v>0.1</v>
      </c>
      <c r="AHQ103" s="13">
        <v>0.1</v>
      </c>
      <c r="AHR103" s="13">
        <v>0.1</v>
      </c>
      <c r="AHS103" s="13">
        <v>0.1</v>
      </c>
      <c r="AHT103" s="13">
        <v>0.1</v>
      </c>
      <c r="AHU103" s="13">
        <v>0.1</v>
      </c>
      <c r="AHV103" s="13">
        <v>0.1</v>
      </c>
      <c r="AHW103" s="13">
        <v>0.1</v>
      </c>
      <c r="AHX103" s="13">
        <v>0.1</v>
      </c>
      <c r="AHY103" s="13">
        <v>0.1</v>
      </c>
      <c r="AHZ103" s="13">
        <v>0.1</v>
      </c>
      <c r="AIA103" s="13">
        <v>0.1</v>
      </c>
      <c r="AIB103" s="13">
        <v>0.1</v>
      </c>
      <c r="AIC103" s="13">
        <v>0.1</v>
      </c>
      <c r="AID103" s="13">
        <v>0.1</v>
      </c>
      <c r="AIE103" s="13">
        <v>0.1</v>
      </c>
      <c r="AIF103" s="13">
        <v>0.1</v>
      </c>
      <c r="AIG103" s="13">
        <v>0.1</v>
      </c>
      <c r="AIH103" s="13">
        <v>0.1</v>
      </c>
      <c r="AII103" s="13">
        <v>0.1</v>
      </c>
      <c r="AIJ103" s="13">
        <v>0.1</v>
      </c>
      <c r="AIK103" s="13">
        <v>0.1</v>
      </c>
      <c r="AIL103" s="13">
        <v>0.1</v>
      </c>
      <c r="AIM103" s="13">
        <v>0.1</v>
      </c>
      <c r="AIN103" s="13">
        <v>0.1</v>
      </c>
      <c r="AIO103" s="13">
        <v>0.1</v>
      </c>
      <c r="AIP103" s="13">
        <v>0.1</v>
      </c>
      <c r="AIQ103" s="13">
        <v>0.1</v>
      </c>
      <c r="AIR103" s="13">
        <v>0.1</v>
      </c>
      <c r="AIS103" s="13">
        <v>0.1</v>
      </c>
      <c r="AIT103" s="13">
        <v>0.1</v>
      </c>
      <c r="AIU103" s="13">
        <v>0.1</v>
      </c>
      <c r="AIV103" s="13">
        <v>0.1</v>
      </c>
      <c r="AIW103" s="13">
        <v>0.1</v>
      </c>
      <c r="AIX103" s="13">
        <v>0.1</v>
      </c>
      <c r="AIY103" s="13">
        <v>0.1</v>
      </c>
      <c r="AIZ103" s="13">
        <v>0.1</v>
      </c>
      <c r="AJA103" s="13">
        <v>0.1</v>
      </c>
      <c r="AJB103" s="13">
        <v>0.1</v>
      </c>
      <c r="AJC103" s="13">
        <v>0.1</v>
      </c>
      <c r="AJD103" s="13">
        <v>0.1</v>
      </c>
      <c r="AJE103" s="13">
        <v>0.1</v>
      </c>
      <c r="AJF103" s="13">
        <v>0.1</v>
      </c>
      <c r="AJG103" s="13">
        <v>0.1</v>
      </c>
      <c r="AJH103" s="13">
        <v>0.1</v>
      </c>
      <c r="AJI103" s="13">
        <v>0.1</v>
      </c>
      <c r="AJJ103" s="13">
        <v>0.1</v>
      </c>
      <c r="AJK103" s="13">
        <v>0.1</v>
      </c>
      <c r="AJL103" s="13">
        <v>0.1</v>
      </c>
      <c r="AJM103" s="13">
        <v>0.1</v>
      </c>
      <c r="AJN103" s="13">
        <v>0.1</v>
      </c>
      <c r="AJO103" s="13">
        <v>0.1</v>
      </c>
      <c r="AJP103" s="13">
        <v>0.1</v>
      </c>
      <c r="AJQ103" s="13">
        <v>0.1</v>
      </c>
      <c r="AJR103" s="13">
        <v>0.1</v>
      </c>
      <c r="AJS103" s="13">
        <v>0.1</v>
      </c>
      <c r="AJT103" s="13">
        <v>0.1</v>
      </c>
      <c r="AJU103" s="13">
        <v>0.1</v>
      </c>
      <c r="AJV103" s="13">
        <v>0.1</v>
      </c>
      <c r="AJW103" s="13">
        <v>0.1</v>
      </c>
      <c r="AJX103" s="13">
        <v>0.1</v>
      </c>
      <c r="AJY103" s="13">
        <v>0.1</v>
      </c>
      <c r="AJZ103" s="13">
        <v>0.1</v>
      </c>
      <c r="AKA103" s="13">
        <v>0.1</v>
      </c>
      <c r="AKB103" s="13">
        <v>0.1</v>
      </c>
      <c r="AKC103" s="13">
        <v>0.1</v>
      </c>
      <c r="AKD103" s="13">
        <v>0.1</v>
      </c>
      <c r="AKE103" s="13">
        <v>0.1</v>
      </c>
      <c r="AKF103" s="13">
        <v>0.1</v>
      </c>
      <c r="AKG103" s="13">
        <v>0.1</v>
      </c>
      <c r="AKH103" s="13">
        <v>0.1</v>
      </c>
      <c r="AKI103" s="13">
        <v>0.1</v>
      </c>
      <c r="AKJ103" s="13">
        <v>0.1</v>
      </c>
      <c r="AKK103" s="13">
        <v>0.1</v>
      </c>
      <c r="AKL103" s="13">
        <v>0.1</v>
      </c>
      <c r="AKM103" s="13">
        <v>0.1</v>
      </c>
      <c r="AKN103" s="13">
        <v>0.1</v>
      </c>
      <c r="AKO103" s="13">
        <v>0.1</v>
      </c>
      <c r="AKP103" s="13">
        <v>0.1</v>
      </c>
      <c r="AKQ103" s="13">
        <v>0.1</v>
      </c>
      <c r="AKR103" s="13">
        <v>0.1</v>
      </c>
      <c r="AKS103" s="13">
        <v>0.1</v>
      </c>
      <c r="AKT103" s="13">
        <v>0.1</v>
      </c>
      <c r="AKU103" s="13">
        <v>0.1</v>
      </c>
      <c r="AKV103" s="13">
        <v>0.1</v>
      </c>
      <c r="AKW103" s="13">
        <v>0.1</v>
      </c>
      <c r="AKX103" s="13">
        <v>0.1</v>
      </c>
      <c r="AKY103" s="13">
        <v>0.1</v>
      </c>
      <c r="AKZ103" s="13">
        <v>0.1</v>
      </c>
      <c r="ALA103" s="13">
        <v>0.1</v>
      </c>
      <c r="ALB103" s="13">
        <v>0.1</v>
      </c>
      <c r="ALC103" s="13">
        <v>0.1</v>
      </c>
      <c r="ALD103" s="13">
        <v>0.1</v>
      </c>
      <c r="ALE103" s="13">
        <v>0.1</v>
      </c>
      <c r="ALF103" s="13">
        <v>0.1</v>
      </c>
      <c r="ALG103" s="13">
        <v>0.1</v>
      </c>
      <c r="ALH103" s="13">
        <v>0.1</v>
      </c>
      <c r="ALI103" s="13">
        <v>0.1</v>
      </c>
      <c r="ALJ103" s="13">
        <v>0.1</v>
      </c>
      <c r="ALK103" s="13">
        <v>0.1</v>
      </c>
      <c r="ALL103" s="13">
        <v>0.1</v>
      </c>
      <c r="ALM103" s="13">
        <v>0.1</v>
      </c>
      <c r="ALN103" s="13">
        <v>0.1</v>
      </c>
      <c r="ALO103" s="13">
        <v>0.1</v>
      </c>
      <c r="ALP103" s="13">
        <v>0.1</v>
      </c>
      <c r="ALQ103" s="13">
        <v>0.1</v>
      </c>
      <c r="ALR103" s="13">
        <v>0.1</v>
      </c>
      <c r="ALS103" s="13">
        <v>0.1</v>
      </c>
      <c r="ALT103" s="13">
        <v>0.1</v>
      </c>
      <c r="ALU103" s="13">
        <v>0.1</v>
      </c>
      <c r="ALV103" s="13">
        <v>0.1</v>
      </c>
      <c r="ALW103" s="13">
        <v>0.1</v>
      </c>
      <c r="ALX103" s="13">
        <v>0.1</v>
      </c>
      <c r="ALY103" s="13">
        <v>0.1</v>
      </c>
      <c r="ALZ103" s="13">
        <v>0.1</v>
      </c>
      <c r="AMA103" s="13">
        <v>0.1</v>
      </c>
      <c r="AMB103" s="13">
        <v>0.1</v>
      </c>
      <c r="AMC103" s="13">
        <v>0.1</v>
      </c>
      <c r="AMD103" s="13">
        <v>0.1</v>
      </c>
      <c r="AME103" s="13">
        <v>0.1</v>
      </c>
      <c r="AMF103" s="13">
        <v>0.1</v>
      </c>
      <c r="AMG103" s="13">
        <v>0.1</v>
      </c>
      <c r="AMH103" s="13">
        <v>0.1</v>
      </c>
      <c r="AMI103" s="13">
        <v>0.1</v>
      </c>
      <c r="AMJ103" s="13">
        <v>0.1</v>
      </c>
      <c r="AMK103" s="13">
        <v>0.1</v>
      </c>
      <c r="AML103" s="13">
        <v>0.1</v>
      </c>
      <c r="AMM103" s="13">
        <v>0.1</v>
      </c>
      <c r="AMN103" s="13">
        <v>0.1</v>
      </c>
      <c r="AMO103" s="13">
        <v>0.1</v>
      </c>
      <c r="AMP103" s="13">
        <v>0.1</v>
      </c>
      <c r="AMQ103" s="13">
        <v>0.1</v>
      </c>
      <c r="AMR103" s="13">
        <v>0.1</v>
      </c>
      <c r="AMS103" s="13">
        <v>0.1</v>
      </c>
      <c r="AMT103" s="13">
        <v>0.1</v>
      </c>
      <c r="AMU103" s="13">
        <v>0.1</v>
      </c>
      <c r="AMV103" s="13">
        <v>0.1</v>
      </c>
      <c r="AMW103" s="13">
        <v>0.1</v>
      </c>
      <c r="AMX103" s="13">
        <v>0.1</v>
      </c>
      <c r="AMY103" s="13">
        <v>0.1</v>
      </c>
      <c r="AMZ103" s="13">
        <v>0.1</v>
      </c>
      <c r="ANA103" s="13">
        <v>0.1</v>
      </c>
      <c r="ANB103" s="13">
        <v>0.1</v>
      </c>
      <c r="ANC103" s="13">
        <v>0.1</v>
      </c>
      <c r="AND103" s="13">
        <v>0.1</v>
      </c>
      <c r="ANE103" s="13">
        <v>0.1</v>
      </c>
      <c r="ANF103" s="13">
        <v>0.1</v>
      </c>
      <c r="ANG103" s="13">
        <v>0.1</v>
      </c>
      <c r="ANH103" s="13">
        <v>0.1</v>
      </c>
      <c r="ANI103" s="13">
        <v>0.1</v>
      </c>
      <c r="ANJ103" s="13">
        <v>0.1</v>
      </c>
      <c r="ANK103" s="13">
        <v>0.1</v>
      </c>
      <c r="ANL103" s="13">
        <v>0.1</v>
      </c>
      <c r="ANM103" s="13">
        <v>0.1</v>
      </c>
      <c r="ANN103" s="13">
        <v>0.1</v>
      </c>
      <c r="ANO103" s="13">
        <v>0.1</v>
      </c>
      <c r="ANP103" s="13">
        <v>0.1</v>
      </c>
      <c r="ANQ103" s="13">
        <v>0.1</v>
      </c>
      <c r="ANR103" s="13">
        <v>0.1</v>
      </c>
      <c r="ANS103" s="13">
        <v>0.1</v>
      </c>
      <c r="ANT103" s="13">
        <v>0.1</v>
      </c>
      <c r="ANU103" s="13">
        <v>0.1</v>
      </c>
      <c r="ANV103" s="13">
        <v>0.1</v>
      </c>
      <c r="ANW103" s="13">
        <v>0.1</v>
      </c>
      <c r="ANX103" s="13">
        <v>0.1</v>
      </c>
      <c r="ANY103" s="13">
        <v>0.1</v>
      </c>
      <c r="ANZ103" s="13">
        <v>0.1</v>
      </c>
      <c r="AOA103" s="13">
        <v>0.1</v>
      </c>
      <c r="AOB103" s="13">
        <v>0.1</v>
      </c>
      <c r="AOC103" s="13">
        <v>0.1</v>
      </c>
      <c r="AOD103" s="13">
        <v>0.1</v>
      </c>
      <c r="AOE103" s="13">
        <v>0.1</v>
      </c>
      <c r="AOF103" s="13">
        <v>0.1</v>
      </c>
      <c r="AOG103" s="13">
        <v>0.1</v>
      </c>
      <c r="AOH103" s="13">
        <v>0.1</v>
      </c>
      <c r="AOI103" s="13">
        <v>0.1</v>
      </c>
      <c r="AOJ103" s="13">
        <v>0.1</v>
      </c>
      <c r="AOK103" s="13">
        <v>0.1</v>
      </c>
      <c r="AOL103" s="13">
        <v>0.1</v>
      </c>
      <c r="AOM103" s="13">
        <v>0.1</v>
      </c>
      <c r="AON103" s="13">
        <v>0.1</v>
      </c>
      <c r="AOO103" s="13">
        <v>0.1</v>
      </c>
      <c r="AOP103" s="13">
        <v>0.1</v>
      </c>
      <c r="AOQ103" s="13">
        <v>0.1</v>
      </c>
      <c r="AOR103" s="13">
        <v>0.1</v>
      </c>
      <c r="AOS103" s="13">
        <v>0.1</v>
      </c>
      <c r="AOT103" s="13">
        <v>0.1</v>
      </c>
      <c r="AOU103" s="13">
        <v>0.1</v>
      </c>
      <c r="AOV103" s="13">
        <v>0.1</v>
      </c>
      <c r="AOW103" s="13">
        <v>0.1</v>
      </c>
      <c r="AOX103" s="13">
        <v>0.1</v>
      </c>
      <c r="AOY103" s="13">
        <v>0.1</v>
      </c>
      <c r="AOZ103" s="13">
        <v>0.1</v>
      </c>
      <c r="APA103" s="13">
        <v>0.1</v>
      </c>
      <c r="APB103" s="13">
        <v>0.1</v>
      </c>
      <c r="APC103" s="13">
        <v>0.1</v>
      </c>
      <c r="APD103" s="13">
        <v>0.1</v>
      </c>
      <c r="APE103" s="13">
        <v>0.1</v>
      </c>
      <c r="APF103" s="13">
        <v>0.1</v>
      </c>
      <c r="APG103" s="13">
        <v>0.1</v>
      </c>
      <c r="APH103" s="13">
        <v>0.1</v>
      </c>
      <c r="API103" s="13">
        <v>0.1</v>
      </c>
      <c r="APJ103" s="13">
        <v>0.1</v>
      </c>
      <c r="APK103" s="13">
        <v>0.1</v>
      </c>
      <c r="APL103" s="13">
        <v>0.1</v>
      </c>
      <c r="APM103" s="13">
        <v>0.1</v>
      </c>
      <c r="APN103" s="13">
        <v>0.1</v>
      </c>
      <c r="APO103" s="13">
        <v>0.1</v>
      </c>
      <c r="APP103" s="13">
        <v>0.1</v>
      </c>
      <c r="APQ103" s="13">
        <v>0.1</v>
      </c>
      <c r="APR103" s="13">
        <v>0.1</v>
      </c>
      <c r="APS103" s="13">
        <v>0.1</v>
      </c>
      <c r="APT103" s="13">
        <v>0.1</v>
      </c>
      <c r="APU103" s="13">
        <v>0.1</v>
      </c>
      <c r="APV103" s="13">
        <v>0.1</v>
      </c>
      <c r="APW103" s="13">
        <v>0.1</v>
      </c>
      <c r="APX103" s="13">
        <v>0.1</v>
      </c>
      <c r="APY103" s="13">
        <v>0.1</v>
      </c>
      <c r="APZ103" s="13">
        <v>0.1</v>
      </c>
      <c r="AQA103" s="13">
        <v>0.1</v>
      </c>
      <c r="AQB103" s="13">
        <v>0.1</v>
      </c>
      <c r="AQC103" s="13">
        <v>0.1</v>
      </c>
      <c r="AQD103" s="13">
        <v>0.1</v>
      </c>
      <c r="AQE103" s="13">
        <v>0.1</v>
      </c>
      <c r="AQF103" s="13">
        <v>0.1</v>
      </c>
      <c r="AQG103" s="13">
        <v>0.1</v>
      </c>
      <c r="AQH103" s="13">
        <v>0.1</v>
      </c>
      <c r="AQI103" s="13">
        <v>0.1</v>
      </c>
      <c r="AQJ103" s="13">
        <v>0.1</v>
      </c>
      <c r="AQK103" s="13">
        <v>0.1</v>
      </c>
      <c r="AQL103" s="13">
        <v>0.1</v>
      </c>
      <c r="AQM103" s="13">
        <v>0.1</v>
      </c>
      <c r="AQN103" s="13">
        <v>0.1</v>
      </c>
      <c r="AQO103" s="13">
        <v>0.1</v>
      </c>
      <c r="AQP103" s="13">
        <v>0.1</v>
      </c>
      <c r="AQQ103" s="13">
        <v>0.1</v>
      </c>
      <c r="AQR103" s="13">
        <v>0.1</v>
      </c>
      <c r="AQS103" s="13">
        <v>0.1</v>
      </c>
      <c r="AQT103" s="13">
        <v>0.1</v>
      </c>
      <c r="AQU103" s="13">
        <v>0.1</v>
      </c>
      <c r="AQV103" s="13">
        <v>0.1</v>
      </c>
      <c r="AQW103" s="13">
        <v>0.1</v>
      </c>
      <c r="AQX103" s="13">
        <v>0.1</v>
      </c>
      <c r="AQY103" s="13">
        <v>0.1</v>
      </c>
      <c r="AQZ103" s="13">
        <v>0.1</v>
      </c>
      <c r="ARA103" s="13">
        <v>0.1</v>
      </c>
      <c r="ARB103" s="13">
        <v>0.1</v>
      </c>
      <c r="ARC103" s="13">
        <v>0.1</v>
      </c>
      <c r="ARD103" s="13">
        <v>0.1</v>
      </c>
      <c r="ARE103" s="13">
        <v>0.1</v>
      </c>
      <c r="ARF103" s="13">
        <v>0.1</v>
      </c>
      <c r="ARG103" s="13">
        <v>0.1</v>
      </c>
      <c r="ARH103" s="13">
        <v>0.1</v>
      </c>
      <c r="ARI103" s="13">
        <v>0.1</v>
      </c>
      <c r="ARJ103" s="13">
        <v>0.1</v>
      </c>
      <c r="ARK103" s="13">
        <v>0.1</v>
      </c>
      <c r="ARL103" s="13">
        <v>0.1</v>
      </c>
      <c r="ARM103" s="13">
        <v>0.1</v>
      </c>
      <c r="ARN103" s="13">
        <v>0.1</v>
      </c>
      <c r="ARO103" s="13">
        <v>0.1</v>
      </c>
      <c r="ARP103" s="13">
        <v>0.1</v>
      </c>
      <c r="ARQ103" s="13">
        <v>0.1</v>
      </c>
      <c r="ARR103" s="13">
        <v>0.1</v>
      </c>
      <c r="ARS103" s="13">
        <v>0.1</v>
      </c>
      <c r="ART103" s="13">
        <v>0.1</v>
      </c>
      <c r="ARU103" s="13">
        <v>0.1</v>
      </c>
      <c r="ARV103" s="13">
        <v>0.1</v>
      </c>
      <c r="ARW103" s="13">
        <v>0.1</v>
      </c>
      <c r="ARX103" s="13">
        <v>0.1</v>
      </c>
      <c r="ARY103" s="13">
        <v>0.1</v>
      </c>
      <c r="ARZ103" s="13">
        <v>0.1</v>
      </c>
      <c r="ASA103" s="13">
        <v>0.1</v>
      </c>
      <c r="ASB103" s="13">
        <v>0.1</v>
      </c>
      <c r="ASC103" s="13">
        <v>0.1</v>
      </c>
      <c r="ASD103" s="13">
        <v>0.1</v>
      </c>
      <c r="ASE103" s="13">
        <v>0.1</v>
      </c>
      <c r="ASF103" s="13">
        <v>0.1</v>
      </c>
      <c r="ASG103" s="13">
        <v>0.1</v>
      </c>
      <c r="ASH103" s="13">
        <v>0.1</v>
      </c>
      <c r="ASI103" s="13">
        <v>0.1</v>
      </c>
      <c r="ASJ103" s="13">
        <v>0.1</v>
      </c>
      <c r="ASK103" s="13">
        <v>0.1</v>
      </c>
      <c r="ASL103" s="13">
        <v>0.1</v>
      </c>
      <c r="ASM103" s="13">
        <v>0.1</v>
      </c>
      <c r="ASN103" s="13">
        <v>0.1</v>
      </c>
      <c r="ASO103" s="13">
        <v>0.1</v>
      </c>
      <c r="ASP103" s="13">
        <v>0.1</v>
      </c>
      <c r="ASQ103" s="13">
        <v>0.1</v>
      </c>
      <c r="ASR103" s="13">
        <v>0.1</v>
      </c>
      <c r="ASS103" s="13">
        <v>0.1</v>
      </c>
      <c r="AST103" s="13">
        <v>0.1</v>
      </c>
      <c r="ASU103" s="13">
        <v>0.1</v>
      </c>
      <c r="ASV103" s="13">
        <v>0.1</v>
      </c>
      <c r="ASW103" s="13">
        <v>0.1</v>
      </c>
      <c r="ASX103" s="13">
        <v>0.1</v>
      </c>
      <c r="ASY103" s="13">
        <v>0.1</v>
      </c>
      <c r="ASZ103" s="13">
        <v>0.1</v>
      </c>
      <c r="ATA103" s="13">
        <v>0.1</v>
      </c>
      <c r="ATB103" s="13">
        <v>0.1</v>
      </c>
      <c r="ATC103" s="13">
        <v>0.1</v>
      </c>
      <c r="ATD103" s="13">
        <v>0.1</v>
      </c>
      <c r="ATE103" s="13">
        <v>0.1</v>
      </c>
      <c r="ATF103" s="13">
        <v>0.1</v>
      </c>
      <c r="ATG103" s="13">
        <v>0.1</v>
      </c>
      <c r="ATH103" s="13">
        <v>0.1</v>
      </c>
      <c r="ATI103" s="13">
        <v>0.1</v>
      </c>
      <c r="ATJ103" s="13">
        <v>0.1</v>
      </c>
      <c r="ATK103" s="13">
        <v>0.1</v>
      </c>
      <c r="ATL103" s="13">
        <v>0.1</v>
      </c>
      <c r="ATM103" s="13">
        <v>0.1</v>
      </c>
      <c r="ATN103" s="13">
        <v>0.1</v>
      </c>
      <c r="ATO103" s="13">
        <v>0.1</v>
      </c>
      <c r="ATP103" s="13">
        <v>0.1</v>
      </c>
      <c r="ATQ103" s="13">
        <v>0.1</v>
      </c>
      <c r="ATR103" s="13">
        <v>0.1</v>
      </c>
      <c r="ATS103" s="13">
        <v>0.1</v>
      </c>
      <c r="ATT103" s="13">
        <v>0.1</v>
      </c>
      <c r="ATU103" s="13">
        <v>0.1</v>
      </c>
      <c r="ATV103" s="13">
        <v>0.1</v>
      </c>
      <c r="ATW103" s="13">
        <v>0.1</v>
      </c>
      <c r="ATX103" s="13">
        <v>0.1</v>
      </c>
      <c r="ATY103" s="13">
        <v>0.1</v>
      </c>
      <c r="ATZ103" s="13">
        <v>0.1</v>
      </c>
      <c r="AUA103" s="13">
        <v>0.1</v>
      </c>
      <c r="AUB103" s="13">
        <v>0.1</v>
      </c>
      <c r="AUC103" s="13">
        <v>0.1</v>
      </c>
      <c r="AUD103" s="13">
        <v>0.1</v>
      </c>
      <c r="AUE103" s="13">
        <v>0.1</v>
      </c>
      <c r="AUF103" s="13">
        <v>0.1</v>
      </c>
      <c r="AUG103" s="13">
        <v>0.1</v>
      </c>
      <c r="AUH103" s="13">
        <v>0.1</v>
      </c>
      <c r="AUI103" s="13">
        <v>0.1</v>
      </c>
      <c r="AUJ103" s="13">
        <v>0.1</v>
      </c>
      <c r="AUK103" s="13">
        <v>0.1</v>
      </c>
      <c r="AUL103" s="13">
        <v>0.1</v>
      </c>
      <c r="AUM103" s="13">
        <v>0.1</v>
      </c>
      <c r="AUN103" s="13">
        <v>0.1</v>
      </c>
      <c r="AUO103" s="13">
        <v>0.1</v>
      </c>
      <c r="AUP103" s="13">
        <v>0.1</v>
      </c>
      <c r="AUQ103" s="13">
        <v>0.1</v>
      </c>
      <c r="AUR103" s="13">
        <v>0.1</v>
      </c>
      <c r="AUS103" s="13">
        <v>0.1</v>
      </c>
      <c r="AUT103" s="13">
        <v>0.1</v>
      </c>
      <c r="AUU103" s="13">
        <v>0.1</v>
      </c>
      <c r="AUV103" s="13">
        <v>0.1</v>
      </c>
      <c r="AUW103" s="13">
        <v>0.1</v>
      </c>
      <c r="AUX103" s="13">
        <v>0.1</v>
      </c>
      <c r="AUY103" s="13">
        <v>0.1</v>
      </c>
      <c r="AUZ103" s="13">
        <v>0.1</v>
      </c>
      <c r="AVA103" s="13">
        <v>0.1</v>
      </c>
      <c r="AVB103" s="13">
        <v>0.1</v>
      </c>
      <c r="AVC103" s="13">
        <v>0.1</v>
      </c>
      <c r="AVD103" s="13">
        <v>0.1</v>
      </c>
      <c r="AVE103" s="13">
        <v>0.1</v>
      </c>
      <c r="AVF103" s="13">
        <v>0.1</v>
      </c>
      <c r="AVG103" s="13">
        <v>0.1</v>
      </c>
      <c r="AVH103" s="13">
        <v>0.1</v>
      </c>
      <c r="AVI103" s="13">
        <v>0.1</v>
      </c>
      <c r="AVJ103" s="13">
        <v>0.1</v>
      </c>
      <c r="AVK103" s="13">
        <v>0.1</v>
      </c>
      <c r="AVL103" s="13">
        <v>0.1</v>
      </c>
      <c r="AVM103" s="13">
        <v>0.1</v>
      </c>
      <c r="AVN103" s="13">
        <v>0.1</v>
      </c>
      <c r="AVO103" s="13">
        <v>0.1</v>
      </c>
      <c r="AVP103" s="13">
        <v>0.1</v>
      </c>
      <c r="AVQ103" s="13">
        <v>0.1</v>
      </c>
      <c r="AVR103" s="13">
        <v>0.1</v>
      </c>
      <c r="AVS103" s="13">
        <v>0.1</v>
      </c>
      <c r="AVT103" s="13">
        <v>0.1</v>
      </c>
      <c r="AVU103" s="13">
        <v>0.1</v>
      </c>
      <c r="AVV103" s="13">
        <v>0.1</v>
      </c>
      <c r="AVW103" s="13">
        <v>0.1</v>
      </c>
      <c r="AVX103" s="13">
        <v>0.1</v>
      </c>
      <c r="AVY103" s="13">
        <v>0.1</v>
      </c>
      <c r="AVZ103" s="13">
        <v>0.1</v>
      </c>
      <c r="AWA103" s="13">
        <v>0.1</v>
      </c>
      <c r="AWB103" s="13">
        <v>0.1</v>
      </c>
      <c r="AWC103" s="13">
        <v>0.1</v>
      </c>
      <c r="AWD103" s="13">
        <v>0.1</v>
      </c>
      <c r="AWE103" s="13">
        <v>0.1</v>
      </c>
      <c r="AWF103" s="13">
        <v>0.1</v>
      </c>
      <c r="AWG103" s="13">
        <v>0.1</v>
      </c>
      <c r="AWH103" s="13">
        <v>0.1</v>
      </c>
      <c r="AWI103" s="13">
        <v>0.1</v>
      </c>
      <c r="AWJ103" s="13">
        <v>0.1</v>
      </c>
      <c r="AWK103" s="13">
        <v>0.1</v>
      </c>
      <c r="AWL103" s="13">
        <v>0.1</v>
      </c>
      <c r="AWM103" s="13">
        <v>0.1</v>
      </c>
      <c r="AWN103" s="13">
        <v>0.1</v>
      </c>
      <c r="AWO103" s="13">
        <v>0.1</v>
      </c>
      <c r="AWP103" s="13">
        <v>0.1</v>
      </c>
      <c r="AWQ103" s="13">
        <v>0.1</v>
      </c>
      <c r="AWR103" s="13">
        <v>0.1</v>
      </c>
      <c r="AWS103" s="13">
        <v>0.1</v>
      </c>
      <c r="AWT103" s="13">
        <v>0.1</v>
      </c>
      <c r="AWU103" s="13">
        <v>0.1</v>
      </c>
      <c r="AWV103" s="13">
        <v>0.1</v>
      </c>
      <c r="AWW103" s="13">
        <v>0.1</v>
      </c>
      <c r="AWX103" s="13">
        <v>0.1</v>
      </c>
      <c r="AWY103" s="13">
        <v>0.1</v>
      </c>
      <c r="AWZ103" s="13">
        <v>0.1</v>
      </c>
      <c r="AXA103" s="13">
        <v>0.1</v>
      </c>
      <c r="AXB103" s="13">
        <v>0.1</v>
      </c>
      <c r="AXC103" s="13">
        <v>0.1</v>
      </c>
      <c r="AXD103" s="13">
        <v>0.1</v>
      </c>
      <c r="AXE103" s="13">
        <v>0.1</v>
      </c>
      <c r="AXF103" s="13">
        <v>0.1</v>
      </c>
      <c r="AXG103" s="13">
        <v>0.1</v>
      </c>
      <c r="AXH103" s="13">
        <v>0.1</v>
      </c>
      <c r="AXI103" s="13">
        <v>0.1</v>
      </c>
      <c r="AXJ103" s="13">
        <v>0.1</v>
      </c>
      <c r="AXK103" s="13">
        <v>0.1</v>
      </c>
      <c r="AXL103" s="13">
        <v>0.1</v>
      </c>
      <c r="AXM103" s="13">
        <v>0.1</v>
      </c>
      <c r="AXN103" s="13">
        <v>0.1</v>
      </c>
      <c r="AXO103" s="13">
        <v>0.1</v>
      </c>
      <c r="AXP103" s="13">
        <v>0.1</v>
      </c>
      <c r="AXQ103" s="13">
        <v>0.1</v>
      </c>
      <c r="AXR103" s="13">
        <v>0.1</v>
      </c>
      <c r="AXS103" s="13">
        <v>0.1</v>
      </c>
      <c r="AXT103" s="13">
        <v>0.1</v>
      </c>
      <c r="AXU103" s="13">
        <v>0.1</v>
      </c>
      <c r="AXV103" s="13">
        <v>0.1</v>
      </c>
      <c r="AXW103" s="13">
        <v>0.1</v>
      </c>
      <c r="AXX103" s="13">
        <v>0.1</v>
      </c>
      <c r="AXY103" s="13">
        <v>0.1</v>
      </c>
      <c r="AXZ103" s="13">
        <v>0.1</v>
      </c>
      <c r="AYA103" s="13">
        <v>0.1</v>
      </c>
      <c r="AYB103" s="13">
        <v>0.1</v>
      </c>
      <c r="AYC103" s="13">
        <v>0.1</v>
      </c>
      <c r="AYD103" s="13">
        <v>0.1</v>
      </c>
      <c r="AYE103" s="13">
        <v>0.1</v>
      </c>
      <c r="AYF103" s="13">
        <v>0.1</v>
      </c>
      <c r="AYG103" s="13">
        <v>0.1</v>
      </c>
      <c r="AYH103" s="13">
        <v>0.1</v>
      </c>
      <c r="AYI103" s="13">
        <v>0.1</v>
      </c>
      <c r="AYJ103" s="13">
        <v>0.1</v>
      </c>
      <c r="AYK103" s="13">
        <v>0.1</v>
      </c>
      <c r="AYL103" s="13">
        <v>0.1</v>
      </c>
      <c r="AYM103" s="13">
        <v>0.1</v>
      </c>
      <c r="AYN103" s="13">
        <v>0.1</v>
      </c>
      <c r="AYO103" s="13">
        <v>0.1</v>
      </c>
      <c r="AYP103" s="13">
        <v>0.1</v>
      </c>
      <c r="AYQ103" s="13">
        <v>0.1</v>
      </c>
      <c r="AYR103" s="13">
        <v>0.1</v>
      </c>
      <c r="AYS103" s="13">
        <v>0.1</v>
      </c>
      <c r="AYT103" s="13">
        <v>0.1</v>
      </c>
      <c r="AYU103" s="13">
        <v>0.1</v>
      </c>
      <c r="AYV103" s="13">
        <v>0.1</v>
      </c>
      <c r="AYW103" s="13">
        <v>0.1</v>
      </c>
      <c r="AYX103" s="13">
        <v>0.1</v>
      </c>
      <c r="AYY103" s="13">
        <v>0.1</v>
      </c>
      <c r="AYZ103" s="13">
        <v>0.1</v>
      </c>
      <c r="AZA103" s="13">
        <v>0.1</v>
      </c>
      <c r="AZB103" s="13">
        <v>0.1</v>
      </c>
      <c r="AZC103" s="13">
        <v>0.1</v>
      </c>
      <c r="AZD103" s="13">
        <v>0.1</v>
      </c>
      <c r="AZE103" s="13">
        <v>0.1</v>
      </c>
      <c r="AZF103" s="13">
        <v>0.1</v>
      </c>
      <c r="AZG103" s="13">
        <v>0.1</v>
      </c>
      <c r="AZH103" s="13">
        <v>0.1</v>
      </c>
      <c r="AZI103" s="13">
        <v>0.1</v>
      </c>
      <c r="AZJ103" s="13">
        <v>0.1</v>
      </c>
      <c r="AZK103" s="13">
        <v>0.1</v>
      </c>
      <c r="AZL103" s="13">
        <v>0.1</v>
      </c>
      <c r="AZM103" s="13">
        <v>0.1</v>
      </c>
      <c r="AZN103" s="13">
        <v>0.1</v>
      </c>
      <c r="AZO103" s="13">
        <v>0.1</v>
      </c>
      <c r="AZP103" s="13">
        <v>0.1</v>
      </c>
      <c r="AZQ103" s="13">
        <v>0.1</v>
      </c>
      <c r="AZR103" s="13">
        <v>0.1</v>
      </c>
      <c r="AZS103" s="13">
        <v>0.1</v>
      </c>
      <c r="AZT103" s="13">
        <v>0.1</v>
      </c>
      <c r="AZU103" s="13">
        <v>0.1</v>
      </c>
      <c r="AZV103" s="13">
        <v>0.1</v>
      </c>
      <c r="AZW103" s="13">
        <v>0.1</v>
      </c>
      <c r="AZX103" s="13">
        <v>0.1</v>
      </c>
      <c r="AZY103" s="13">
        <v>0.1</v>
      </c>
      <c r="AZZ103" s="13">
        <v>0.1</v>
      </c>
      <c r="BAA103" s="13">
        <v>0.1</v>
      </c>
      <c r="BAB103" s="13">
        <v>0.1</v>
      </c>
      <c r="BAC103" s="13">
        <v>0.1</v>
      </c>
      <c r="BAD103" s="13">
        <v>0.1</v>
      </c>
      <c r="BAE103" s="13">
        <v>0.1</v>
      </c>
      <c r="BAF103" s="13">
        <v>0.1</v>
      </c>
      <c r="BAG103" s="13">
        <v>0.1</v>
      </c>
      <c r="BAH103" s="13">
        <v>0.1</v>
      </c>
      <c r="BAI103" s="13">
        <v>0.1</v>
      </c>
      <c r="BAJ103" s="13">
        <v>0.1</v>
      </c>
      <c r="BAK103" s="13">
        <v>0.1</v>
      </c>
      <c r="BAL103" s="13">
        <v>0.1</v>
      </c>
      <c r="BAM103" s="13">
        <v>0.1</v>
      </c>
      <c r="BAN103" s="13">
        <v>0.1</v>
      </c>
      <c r="BAO103" s="13">
        <v>0.1</v>
      </c>
      <c r="BAP103" s="13">
        <v>0.1</v>
      </c>
      <c r="BAQ103" s="13">
        <v>0.1</v>
      </c>
      <c r="BAR103" s="13">
        <v>0.1</v>
      </c>
      <c r="BAS103" s="13">
        <v>0.1</v>
      </c>
      <c r="BAT103" s="13">
        <v>0.1</v>
      </c>
      <c r="BAU103" s="13">
        <v>0.1</v>
      </c>
      <c r="BAV103" s="13">
        <v>0.1</v>
      </c>
      <c r="BAW103" s="13">
        <v>0.1</v>
      </c>
      <c r="BAX103" s="13">
        <v>0.1</v>
      </c>
      <c r="BAY103" s="13">
        <v>0.1</v>
      </c>
      <c r="BAZ103" s="13">
        <v>0.1</v>
      </c>
      <c r="BBA103" s="13">
        <v>0.1</v>
      </c>
      <c r="BBB103" s="13">
        <v>0.1</v>
      </c>
      <c r="BBC103" s="13">
        <v>0.1</v>
      </c>
      <c r="BBD103" s="13">
        <v>0.1</v>
      </c>
      <c r="BBE103" s="13">
        <v>0.1</v>
      </c>
      <c r="BBF103" s="13">
        <v>0.1</v>
      </c>
      <c r="BBG103" s="13">
        <v>0.1</v>
      </c>
      <c r="BBH103" s="13">
        <v>0.1</v>
      </c>
      <c r="BBI103" s="13">
        <v>0.1</v>
      </c>
      <c r="BBJ103" s="13">
        <v>0.1</v>
      </c>
      <c r="BBK103" s="13">
        <v>0.1</v>
      </c>
      <c r="BBL103" s="13">
        <v>0.1</v>
      </c>
      <c r="BBM103" s="13">
        <v>0.1</v>
      </c>
      <c r="BBN103" s="13">
        <v>0.1</v>
      </c>
      <c r="BBO103" s="13">
        <v>0.1</v>
      </c>
      <c r="BBP103" s="13">
        <v>0.1</v>
      </c>
      <c r="BBQ103" s="13">
        <v>0.1</v>
      </c>
      <c r="BBR103" s="13">
        <v>0.1</v>
      </c>
      <c r="BBS103" s="13">
        <v>0.1</v>
      </c>
      <c r="BBT103" s="13">
        <v>0.1</v>
      </c>
      <c r="BBU103" s="13">
        <v>0.1</v>
      </c>
      <c r="BBV103" s="13">
        <v>0.1</v>
      </c>
      <c r="BBW103" s="13">
        <v>0.1</v>
      </c>
      <c r="BBX103" s="13">
        <v>0.1</v>
      </c>
      <c r="BBY103" s="13">
        <v>0.1</v>
      </c>
      <c r="BBZ103" s="13">
        <v>0.1</v>
      </c>
      <c r="BCA103" s="13">
        <v>0.1</v>
      </c>
      <c r="BCB103" s="13">
        <v>0.1</v>
      </c>
      <c r="BCC103" s="13">
        <v>0.1</v>
      </c>
      <c r="BCD103" s="13">
        <v>0.1</v>
      </c>
      <c r="BCE103" s="13">
        <v>0.1</v>
      </c>
      <c r="BCF103" s="13">
        <v>0.1</v>
      </c>
      <c r="BCG103" s="13">
        <v>0.1</v>
      </c>
      <c r="BCH103" s="13">
        <v>0.1</v>
      </c>
      <c r="BCI103" s="13">
        <v>0.1</v>
      </c>
      <c r="BCJ103" s="13">
        <v>0.1</v>
      </c>
      <c r="BCK103" s="13">
        <v>0.1</v>
      </c>
      <c r="BCL103" s="13">
        <v>0.1</v>
      </c>
      <c r="BCM103" s="13">
        <v>0.1</v>
      </c>
      <c r="BCN103" s="13">
        <v>0.1</v>
      </c>
      <c r="BCO103" s="13">
        <v>0.1</v>
      </c>
      <c r="BCP103" s="13">
        <v>0.1</v>
      </c>
      <c r="BCQ103" s="13">
        <v>0.1</v>
      </c>
      <c r="BCR103" s="13">
        <v>0.1</v>
      </c>
      <c r="BCS103" s="13">
        <v>0.1</v>
      </c>
      <c r="BCT103" s="13">
        <v>0.1</v>
      </c>
      <c r="BCU103" s="13">
        <v>0.1</v>
      </c>
      <c r="BCV103" s="13">
        <v>0.1</v>
      </c>
      <c r="BCW103" s="13">
        <v>0.1</v>
      </c>
      <c r="BCX103" s="13">
        <v>0.1</v>
      </c>
      <c r="BCY103" s="13">
        <v>0.1</v>
      </c>
      <c r="BCZ103" s="13">
        <v>0.1</v>
      </c>
      <c r="BDA103" s="13">
        <v>0.1</v>
      </c>
      <c r="BDB103" s="13">
        <v>0.1</v>
      </c>
      <c r="BDC103" s="13">
        <v>0.1</v>
      </c>
      <c r="BDD103" s="13">
        <v>0.1</v>
      </c>
      <c r="BDE103" s="13">
        <v>0.1</v>
      </c>
      <c r="BDF103" s="13">
        <v>0.1</v>
      </c>
      <c r="BDG103" s="13">
        <v>0.1</v>
      </c>
      <c r="BDH103" s="13">
        <v>0.1</v>
      </c>
      <c r="BDI103" s="13">
        <v>0.1</v>
      </c>
      <c r="BDJ103" s="13">
        <v>0.1</v>
      </c>
      <c r="BDK103" s="13">
        <v>0.1</v>
      </c>
      <c r="BDL103" s="13">
        <v>0.1</v>
      </c>
      <c r="BDM103" s="13">
        <v>0.1</v>
      </c>
      <c r="BDN103" s="13">
        <v>0.1</v>
      </c>
      <c r="BDO103" s="13">
        <v>0.1</v>
      </c>
      <c r="BDP103" s="13">
        <v>0.1</v>
      </c>
      <c r="BDQ103" s="13">
        <v>0.1</v>
      </c>
      <c r="BDR103" s="13">
        <v>0.1</v>
      </c>
      <c r="BDS103" s="13">
        <v>0.1</v>
      </c>
      <c r="BDT103" s="13">
        <v>0.1</v>
      </c>
      <c r="BDU103" s="13">
        <v>0.1</v>
      </c>
      <c r="BDV103" s="13">
        <v>0.1</v>
      </c>
      <c r="BDW103" s="13">
        <v>0.1</v>
      </c>
      <c r="BDX103" s="13">
        <v>0.1</v>
      </c>
      <c r="BDY103" s="13">
        <v>0.1</v>
      </c>
      <c r="BDZ103" s="13">
        <v>0.1</v>
      </c>
      <c r="BEA103" s="13">
        <v>0.1</v>
      </c>
      <c r="BEB103" s="13">
        <v>0.1</v>
      </c>
      <c r="BEC103" s="13">
        <v>0.1</v>
      </c>
      <c r="BED103" s="13">
        <v>0.1</v>
      </c>
      <c r="BEE103" s="13">
        <v>0.1</v>
      </c>
      <c r="BEF103" s="13">
        <v>0.1</v>
      </c>
      <c r="BEG103" s="13">
        <v>0.1</v>
      </c>
      <c r="BEH103" s="13">
        <v>0.1</v>
      </c>
      <c r="BEI103" s="13">
        <v>0.1</v>
      </c>
      <c r="BEJ103" s="13">
        <v>0.1</v>
      </c>
      <c r="BEK103" s="13">
        <v>0.1</v>
      </c>
      <c r="BEL103" s="13">
        <v>0.1</v>
      </c>
      <c r="BEM103" s="13">
        <v>0.1</v>
      </c>
      <c r="BEN103" s="13">
        <v>0.1</v>
      </c>
      <c r="BEO103" s="13">
        <v>0.1</v>
      </c>
      <c r="BEP103" s="13">
        <v>0.1</v>
      </c>
      <c r="BEQ103" s="13">
        <v>0.1</v>
      </c>
      <c r="BER103" s="13">
        <v>0.1</v>
      </c>
      <c r="BES103" s="13">
        <v>0.1</v>
      </c>
      <c r="BET103" s="13">
        <v>0.1</v>
      </c>
      <c r="BEU103" s="13">
        <v>0.1</v>
      </c>
      <c r="BEV103" s="13">
        <v>0.1</v>
      </c>
      <c r="BEW103" s="13">
        <v>0.1</v>
      </c>
      <c r="BEX103" s="13">
        <v>0.1</v>
      </c>
      <c r="BEY103" s="13">
        <v>0.1</v>
      </c>
      <c r="BEZ103" s="13">
        <v>0.1</v>
      </c>
      <c r="BFA103" s="13">
        <v>0.1</v>
      </c>
      <c r="BFB103" s="13">
        <v>0.1</v>
      </c>
      <c r="BFC103" s="13">
        <v>0.1</v>
      </c>
      <c r="BFD103" s="13">
        <v>0.1</v>
      </c>
      <c r="BFE103" s="13">
        <v>0.1</v>
      </c>
      <c r="BFF103" s="13">
        <v>0.1</v>
      </c>
      <c r="BFG103" s="13">
        <v>0.1</v>
      </c>
      <c r="BFH103" s="13">
        <v>0.1</v>
      </c>
      <c r="BFI103" s="13">
        <v>0.1</v>
      </c>
      <c r="BFJ103" s="13">
        <v>0.1</v>
      </c>
      <c r="BFK103" s="13">
        <v>0.1</v>
      </c>
      <c r="BFL103" s="13">
        <v>0.1</v>
      </c>
      <c r="BFM103" s="13">
        <v>0.1</v>
      </c>
      <c r="BFN103" s="13">
        <v>0.1</v>
      </c>
      <c r="BFO103" s="13">
        <v>0.1</v>
      </c>
      <c r="BFP103" s="13">
        <v>0.1</v>
      </c>
      <c r="BFQ103" s="13">
        <v>0.1</v>
      </c>
      <c r="BFR103" s="13">
        <v>0.1</v>
      </c>
      <c r="BFS103" s="13">
        <v>0.1</v>
      </c>
      <c r="BFT103" s="13">
        <v>0.1</v>
      </c>
      <c r="BFU103" s="13">
        <v>0.1</v>
      </c>
      <c r="BFV103" s="13">
        <v>0.1</v>
      </c>
      <c r="BFW103" s="13">
        <v>0.1</v>
      </c>
      <c r="BFX103" s="13">
        <v>0.1</v>
      </c>
      <c r="BFY103" s="13">
        <v>0.1</v>
      </c>
      <c r="BFZ103" s="13">
        <v>0.1</v>
      </c>
      <c r="BGA103" s="13">
        <v>0.1</v>
      </c>
      <c r="BGB103" s="13">
        <v>0.1</v>
      </c>
      <c r="BGC103" s="13">
        <v>0.1</v>
      </c>
      <c r="BGD103" s="13">
        <v>0.1</v>
      </c>
      <c r="BGE103" s="13">
        <v>0.1</v>
      </c>
      <c r="BGF103" s="13">
        <v>0.1</v>
      </c>
      <c r="BGG103" s="13">
        <v>0.1</v>
      </c>
      <c r="BGH103" s="13">
        <v>0.1</v>
      </c>
      <c r="BGI103" s="13">
        <v>0.1</v>
      </c>
      <c r="BGJ103" s="13">
        <v>0.1</v>
      </c>
      <c r="BGK103" s="13">
        <v>0.1</v>
      </c>
      <c r="BGL103" s="13">
        <v>0.1</v>
      </c>
      <c r="BGM103" s="13">
        <v>0.1</v>
      </c>
      <c r="BGN103" s="13">
        <v>0.1</v>
      </c>
      <c r="BGO103" s="13">
        <v>0.1</v>
      </c>
      <c r="BGP103" s="13">
        <v>0.1</v>
      </c>
      <c r="BGQ103" s="13">
        <v>0.1</v>
      </c>
      <c r="BGR103" s="13">
        <v>0.1</v>
      </c>
      <c r="BGS103" s="13">
        <v>0.1</v>
      </c>
      <c r="BGT103" s="13">
        <v>0.1</v>
      </c>
      <c r="BGU103" s="13">
        <v>0.1</v>
      </c>
      <c r="BGV103" s="13">
        <v>0.1</v>
      </c>
      <c r="BGW103" s="13">
        <v>0.1</v>
      </c>
      <c r="BGX103" s="13">
        <v>0.1</v>
      </c>
      <c r="BGY103" s="13">
        <v>0.1</v>
      </c>
      <c r="BGZ103" s="13">
        <v>0.1</v>
      </c>
      <c r="BHA103" s="13">
        <v>0.1</v>
      </c>
      <c r="BHB103" s="13">
        <v>0.1</v>
      </c>
      <c r="BHC103" s="13">
        <v>0.1</v>
      </c>
      <c r="BHD103" s="13">
        <v>0.1</v>
      </c>
      <c r="BHE103" s="13">
        <v>0.1</v>
      </c>
      <c r="BHF103" s="13">
        <v>0.1</v>
      </c>
      <c r="BHG103" s="13">
        <v>0.1</v>
      </c>
      <c r="BHH103" s="13">
        <v>0.1</v>
      </c>
      <c r="BHI103" s="13">
        <v>0.1</v>
      </c>
      <c r="BHJ103" s="13">
        <v>0.1</v>
      </c>
      <c r="BHK103" s="13">
        <v>0.1</v>
      </c>
      <c r="BHL103" s="13">
        <v>0.1</v>
      </c>
      <c r="BHM103" s="13">
        <v>0.1</v>
      </c>
      <c r="BHN103" s="13">
        <v>0.1</v>
      </c>
      <c r="BHO103" s="13">
        <v>0.1</v>
      </c>
      <c r="BHP103" s="13">
        <v>0.1</v>
      </c>
      <c r="BHQ103" s="13">
        <v>0.1</v>
      </c>
      <c r="BHR103" s="13">
        <v>0.1</v>
      </c>
      <c r="BHS103" s="13">
        <v>0.1</v>
      </c>
      <c r="BHT103" s="13">
        <v>0.1</v>
      </c>
      <c r="BHU103" s="13">
        <v>0.1</v>
      </c>
      <c r="BHV103" s="13">
        <v>0.1</v>
      </c>
      <c r="BHW103" s="13">
        <v>0.1</v>
      </c>
      <c r="BHX103" s="13">
        <v>0.1</v>
      </c>
      <c r="BHY103" s="13">
        <v>0.1</v>
      </c>
      <c r="BHZ103" s="13">
        <v>0.1</v>
      </c>
      <c r="BIA103" s="13">
        <v>0.1</v>
      </c>
      <c r="BIB103" s="13">
        <v>0.1</v>
      </c>
      <c r="BIC103" s="13">
        <v>0.1</v>
      </c>
      <c r="BID103" s="13">
        <v>0.1</v>
      </c>
      <c r="BIE103" s="13">
        <v>0.1</v>
      </c>
      <c r="BIF103" s="13">
        <v>0.1</v>
      </c>
      <c r="BIG103" s="13">
        <v>0.1</v>
      </c>
      <c r="BIH103" s="13">
        <v>0.1</v>
      </c>
      <c r="BII103" s="13">
        <v>0.1</v>
      </c>
      <c r="BIJ103" s="13">
        <v>0.1</v>
      </c>
      <c r="BIK103" s="13">
        <v>0.1</v>
      </c>
      <c r="BIL103" s="13">
        <v>0.1</v>
      </c>
      <c r="BIM103" s="13">
        <v>0.1</v>
      </c>
      <c r="BIN103" s="13">
        <v>0.1</v>
      </c>
      <c r="BIO103" s="13">
        <v>0.1</v>
      </c>
      <c r="BIP103" s="13">
        <v>0.1</v>
      </c>
      <c r="BIQ103" s="13">
        <v>0.1</v>
      </c>
      <c r="BIR103" s="13">
        <v>0.1</v>
      </c>
      <c r="BIS103" s="13">
        <v>0.1</v>
      </c>
      <c r="BIT103" s="13">
        <v>0.1</v>
      </c>
      <c r="BIU103" s="13">
        <v>0.1</v>
      </c>
      <c r="BIV103" s="13">
        <v>0.1</v>
      </c>
      <c r="BIW103" s="13">
        <v>0.1</v>
      </c>
      <c r="BIX103" s="13">
        <v>0.1</v>
      </c>
      <c r="BIY103" s="13">
        <v>0.1</v>
      </c>
      <c r="BIZ103" s="13">
        <v>0.1</v>
      </c>
      <c r="BJA103" s="13">
        <v>0.1</v>
      </c>
      <c r="BJB103" s="13">
        <v>0.1</v>
      </c>
      <c r="BJC103" s="13">
        <v>0.1</v>
      </c>
      <c r="BJD103" s="13">
        <v>0.1</v>
      </c>
      <c r="BJE103" s="13">
        <v>0.1</v>
      </c>
      <c r="BJF103" s="13">
        <v>0.1</v>
      </c>
      <c r="BJG103" s="13">
        <v>0.1</v>
      </c>
      <c r="BJH103" s="13">
        <v>0.1</v>
      </c>
      <c r="BJI103" s="13">
        <v>0.1</v>
      </c>
      <c r="BJJ103" s="13">
        <v>0.1</v>
      </c>
      <c r="BJK103" s="13">
        <v>0.1</v>
      </c>
      <c r="BJL103" s="13">
        <v>0.1</v>
      </c>
      <c r="BJM103" s="13">
        <v>0.1</v>
      </c>
      <c r="BJN103" s="13">
        <v>0.1</v>
      </c>
      <c r="BJO103" s="13">
        <v>0.1</v>
      </c>
      <c r="BJP103" s="13">
        <v>0.1</v>
      </c>
      <c r="BJQ103" s="13">
        <v>0.1</v>
      </c>
      <c r="BJR103" s="13">
        <v>0.1</v>
      </c>
      <c r="BJS103" s="13">
        <v>0.1</v>
      </c>
      <c r="BJT103" s="13">
        <v>0.1</v>
      </c>
      <c r="BJU103" s="13">
        <v>0.1</v>
      </c>
      <c r="BJV103" s="13">
        <v>0.1</v>
      </c>
      <c r="BJW103" s="13">
        <v>0.1</v>
      </c>
      <c r="BJX103" s="13">
        <v>0.1</v>
      </c>
      <c r="BJY103" s="13">
        <v>0.1</v>
      </c>
      <c r="BJZ103" s="13">
        <v>0.1</v>
      </c>
      <c r="BKA103" s="13">
        <v>0.1</v>
      </c>
      <c r="BKB103" s="13">
        <v>0.1</v>
      </c>
      <c r="BKC103" s="13">
        <v>0.1</v>
      </c>
      <c r="BKD103" s="13">
        <v>0.1</v>
      </c>
      <c r="BKE103" s="13">
        <v>0.1</v>
      </c>
      <c r="BKF103" s="13">
        <v>0.1</v>
      </c>
      <c r="BKG103" s="13">
        <v>0.1</v>
      </c>
      <c r="BKH103" s="13">
        <v>0.1</v>
      </c>
      <c r="BKI103" s="13">
        <v>0.1</v>
      </c>
      <c r="BKJ103" s="13">
        <v>0.1</v>
      </c>
      <c r="BKK103" s="13">
        <v>0.1</v>
      </c>
      <c r="BKL103" s="13">
        <v>0.1</v>
      </c>
      <c r="BKM103" s="13">
        <v>0.1</v>
      </c>
      <c r="BKN103" s="13">
        <v>0.1</v>
      </c>
      <c r="BKO103" s="13">
        <v>0.1</v>
      </c>
      <c r="BKP103" s="13">
        <v>0.1</v>
      </c>
      <c r="BKQ103" s="13">
        <v>0.1</v>
      </c>
      <c r="BKR103" s="13">
        <v>0.1</v>
      </c>
      <c r="BKS103" s="13">
        <v>0.1</v>
      </c>
      <c r="BKT103" s="13">
        <v>0.1</v>
      </c>
      <c r="BKU103" s="13">
        <v>0.1</v>
      </c>
      <c r="BKV103" s="13">
        <v>0.1</v>
      </c>
      <c r="BKW103" s="13">
        <v>0.1</v>
      </c>
      <c r="BKX103" s="13">
        <v>0.1</v>
      </c>
      <c r="BKY103" s="13">
        <v>0.1</v>
      </c>
      <c r="BKZ103" s="13">
        <v>0.1</v>
      </c>
      <c r="BLA103" s="13">
        <v>0.1</v>
      </c>
      <c r="BLB103" s="13">
        <v>0.1</v>
      </c>
      <c r="BLC103" s="13">
        <v>0.1</v>
      </c>
      <c r="BLD103" s="13">
        <v>0.1</v>
      </c>
      <c r="BLE103" s="13">
        <v>0.1</v>
      </c>
      <c r="BLF103" s="13">
        <v>0.1</v>
      </c>
      <c r="BLG103" s="13">
        <v>0.1</v>
      </c>
      <c r="BLH103" s="13">
        <v>0.1</v>
      </c>
      <c r="BLI103" s="13">
        <v>0.1</v>
      </c>
      <c r="BLJ103" s="13">
        <v>0.1</v>
      </c>
      <c r="BLK103" s="13">
        <v>0.1</v>
      </c>
      <c r="BLL103" s="13">
        <v>0.1</v>
      </c>
      <c r="BLM103" s="13">
        <v>0.1</v>
      </c>
      <c r="BLN103" s="13">
        <v>0.1</v>
      </c>
      <c r="BLO103" s="13">
        <v>0.1</v>
      </c>
      <c r="BLP103" s="13">
        <v>0.1</v>
      </c>
      <c r="BLQ103" s="13">
        <v>0.1</v>
      </c>
      <c r="BLR103" s="13">
        <v>0.1</v>
      </c>
      <c r="BLS103" s="13">
        <v>0.1</v>
      </c>
      <c r="BLT103" s="13">
        <v>0.1</v>
      </c>
      <c r="BLU103" s="13">
        <v>0.1</v>
      </c>
      <c r="BLV103" s="13">
        <v>0.1</v>
      </c>
      <c r="BLW103" s="13">
        <v>0.1</v>
      </c>
      <c r="BLX103" s="13">
        <v>0.1</v>
      </c>
      <c r="BLY103" s="13">
        <v>0.1</v>
      </c>
      <c r="BLZ103" s="13">
        <v>0.1</v>
      </c>
      <c r="BMA103" s="13">
        <v>0.1</v>
      </c>
      <c r="BMB103" s="13">
        <v>0.1</v>
      </c>
      <c r="BMC103" s="13">
        <v>0.1</v>
      </c>
      <c r="BMD103" s="13">
        <v>0.1</v>
      </c>
      <c r="BME103" s="13">
        <v>0.1</v>
      </c>
      <c r="BMF103" s="13">
        <v>0.1</v>
      </c>
      <c r="BMG103" s="13">
        <v>0.1</v>
      </c>
      <c r="BMH103" s="13">
        <v>0.1</v>
      </c>
      <c r="BMI103" s="13">
        <v>0.1</v>
      </c>
      <c r="BMJ103" s="13">
        <v>0.1</v>
      </c>
      <c r="BMK103" s="13">
        <v>0.1</v>
      </c>
      <c r="BML103" s="13">
        <v>0.1</v>
      </c>
      <c r="BMM103" s="13">
        <v>0.1</v>
      </c>
      <c r="BMN103" s="13">
        <v>0.1</v>
      </c>
      <c r="BMO103" s="13">
        <v>0.1</v>
      </c>
      <c r="BMP103" s="13">
        <v>0.1</v>
      </c>
      <c r="BMQ103" s="13">
        <v>0.1</v>
      </c>
      <c r="BMR103" s="13">
        <v>0.1</v>
      </c>
      <c r="BMS103" s="13">
        <v>0.1</v>
      </c>
      <c r="BMT103" s="13">
        <v>0.1</v>
      </c>
      <c r="BMU103" s="13">
        <v>0.1</v>
      </c>
      <c r="BMV103" s="13">
        <v>0.1</v>
      </c>
      <c r="BMW103" s="13">
        <v>0.1</v>
      </c>
      <c r="BMX103" s="13">
        <v>0.1</v>
      </c>
      <c r="BMY103" s="13">
        <v>0.1</v>
      </c>
      <c r="BMZ103" s="13">
        <v>0.1</v>
      </c>
      <c r="BNA103" s="13">
        <v>0.1</v>
      </c>
      <c r="BNB103" s="13">
        <v>0.1</v>
      </c>
      <c r="BNC103" s="13">
        <v>0.1</v>
      </c>
      <c r="BND103" s="13">
        <v>0.1</v>
      </c>
      <c r="BNE103" s="13">
        <v>0.1</v>
      </c>
      <c r="BNF103" s="13">
        <v>0.1</v>
      </c>
      <c r="BNG103" s="13">
        <v>0.1</v>
      </c>
      <c r="BNH103" s="13">
        <v>0.1</v>
      </c>
      <c r="BNI103" s="13">
        <v>0.1</v>
      </c>
      <c r="BNJ103" s="13">
        <v>0.1</v>
      </c>
      <c r="BNK103" s="13">
        <v>0.1</v>
      </c>
      <c r="BNL103" s="13">
        <v>0.1</v>
      </c>
      <c r="BNM103" s="13">
        <v>0.1</v>
      </c>
      <c r="BNN103" s="13">
        <v>0.1</v>
      </c>
      <c r="BNO103" s="13">
        <v>0.1</v>
      </c>
      <c r="BNP103" s="13">
        <v>0.1</v>
      </c>
      <c r="BNQ103" s="13">
        <v>0.1</v>
      </c>
      <c r="BNR103" s="13">
        <v>0.1</v>
      </c>
      <c r="BNS103" s="13">
        <v>0.1</v>
      </c>
      <c r="BNT103" s="13">
        <v>0.1</v>
      </c>
      <c r="BNU103" s="13">
        <v>0.1</v>
      </c>
      <c r="BNV103" s="13">
        <v>0.1</v>
      </c>
      <c r="BNW103" s="13">
        <v>0.1</v>
      </c>
      <c r="BNX103" s="13">
        <v>0.1</v>
      </c>
      <c r="BNY103" s="13">
        <v>0.1</v>
      </c>
      <c r="BNZ103" s="13">
        <v>0.1</v>
      </c>
      <c r="BOA103" s="13">
        <v>0.1</v>
      </c>
      <c r="BOB103" s="13">
        <v>0.1</v>
      </c>
      <c r="BOC103" s="13">
        <v>0.1</v>
      </c>
      <c r="BOD103" s="13">
        <v>0.1</v>
      </c>
      <c r="BOE103" s="13">
        <v>0.1</v>
      </c>
      <c r="BOF103" s="13">
        <v>0.1</v>
      </c>
      <c r="BOG103" s="13">
        <v>0.1</v>
      </c>
      <c r="BOH103" s="13">
        <v>0.1</v>
      </c>
      <c r="BOI103" s="13">
        <v>0.1</v>
      </c>
      <c r="BOJ103" s="13">
        <v>0.1</v>
      </c>
      <c r="BOK103" s="13">
        <v>0.1</v>
      </c>
      <c r="BOL103" s="13">
        <v>0.1</v>
      </c>
      <c r="BOM103" s="13">
        <v>0.1</v>
      </c>
      <c r="BON103" s="13">
        <v>0.1</v>
      </c>
      <c r="BOO103" s="13">
        <v>0.1</v>
      </c>
      <c r="BOP103" s="13">
        <v>0.1</v>
      </c>
      <c r="BOQ103" s="13">
        <v>0.1</v>
      </c>
      <c r="BOR103" s="13">
        <v>0.1</v>
      </c>
      <c r="BOS103" s="13">
        <v>0.1</v>
      </c>
      <c r="BOT103" s="13">
        <v>0.1</v>
      </c>
      <c r="BOU103" s="13">
        <v>0.1</v>
      </c>
      <c r="BOV103" s="13">
        <v>0.1</v>
      </c>
      <c r="BOW103" s="13">
        <v>0.1</v>
      </c>
      <c r="BOX103" s="13">
        <v>0.1</v>
      </c>
      <c r="BOY103" s="13">
        <v>0.1</v>
      </c>
      <c r="BOZ103" s="13">
        <v>0.1</v>
      </c>
      <c r="BPA103" s="13">
        <v>0.1</v>
      </c>
      <c r="BPB103" s="13">
        <v>0.1</v>
      </c>
      <c r="BPC103" s="13">
        <v>0.1</v>
      </c>
      <c r="BPD103" s="13">
        <v>0.1</v>
      </c>
      <c r="BPE103" s="13">
        <v>0.1</v>
      </c>
      <c r="BPF103" s="13">
        <v>0.1</v>
      </c>
      <c r="BPG103" s="13">
        <v>0.1</v>
      </c>
      <c r="BPH103" s="13">
        <v>0.1</v>
      </c>
      <c r="BPI103" s="13">
        <v>0.1</v>
      </c>
      <c r="BPJ103" s="13">
        <v>0.1</v>
      </c>
      <c r="BPK103" s="13">
        <v>0.1</v>
      </c>
      <c r="BPL103" s="13">
        <v>0.1</v>
      </c>
      <c r="BPM103" s="13">
        <v>0.1</v>
      </c>
      <c r="BPN103" s="13">
        <v>0.1</v>
      </c>
      <c r="BPO103" s="13">
        <v>0.1</v>
      </c>
      <c r="BPP103" s="13">
        <v>0.1</v>
      </c>
      <c r="BPQ103" s="13">
        <v>0.1</v>
      </c>
      <c r="BPR103" s="13">
        <v>0.1</v>
      </c>
      <c r="BPS103" s="13">
        <v>0.1</v>
      </c>
      <c r="BPT103" s="13">
        <v>0.1</v>
      </c>
      <c r="BPU103" s="13">
        <v>0.1</v>
      </c>
      <c r="BPV103" s="13">
        <v>0.1</v>
      </c>
      <c r="BPW103" s="13">
        <v>0.1</v>
      </c>
      <c r="BPX103" s="13">
        <v>0.1</v>
      </c>
      <c r="BPY103" s="13">
        <v>0.1</v>
      </c>
      <c r="BPZ103" s="13">
        <v>0.1</v>
      </c>
      <c r="BQA103" s="13">
        <v>0.1</v>
      </c>
      <c r="BQB103" s="13">
        <v>0.1</v>
      </c>
      <c r="BQC103" s="13">
        <v>0.1</v>
      </c>
      <c r="BQD103" s="13">
        <v>0.1</v>
      </c>
      <c r="BQE103" s="13">
        <v>0.1</v>
      </c>
      <c r="BQF103" s="13">
        <v>0.1</v>
      </c>
      <c r="BQG103" s="13">
        <v>0.1</v>
      </c>
      <c r="BQH103" s="13">
        <v>0.1</v>
      </c>
      <c r="BQI103" s="13">
        <v>0.1</v>
      </c>
      <c r="BQJ103" s="13">
        <v>0.1</v>
      </c>
      <c r="BQK103" s="13">
        <v>0.1</v>
      </c>
      <c r="BQL103" s="13">
        <v>0.1</v>
      </c>
      <c r="BQM103" s="13">
        <v>0.1</v>
      </c>
      <c r="BQN103" s="13">
        <v>0.1</v>
      </c>
      <c r="BQO103" s="13">
        <v>0.1</v>
      </c>
      <c r="BQP103" s="13">
        <v>0.1</v>
      </c>
      <c r="BQQ103" s="13">
        <v>0.1</v>
      </c>
      <c r="BQR103" s="13">
        <v>0.1</v>
      </c>
      <c r="BQS103" s="13">
        <v>0.1</v>
      </c>
      <c r="BQT103" s="13">
        <v>0.1</v>
      </c>
      <c r="BQU103" s="13">
        <v>0.1</v>
      </c>
      <c r="BQV103" s="13">
        <v>0.1</v>
      </c>
      <c r="BQW103" s="13">
        <v>0.1</v>
      </c>
      <c r="BQX103" s="13">
        <v>0.1</v>
      </c>
      <c r="BQY103" s="13">
        <v>0.1</v>
      </c>
      <c r="BQZ103" s="13">
        <v>0.1</v>
      </c>
      <c r="BRA103" s="13">
        <v>0.1</v>
      </c>
      <c r="BRB103" s="13">
        <v>0.1</v>
      </c>
      <c r="BRC103" s="13">
        <v>0.1</v>
      </c>
      <c r="BRD103" s="13">
        <v>0.1</v>
      </c>
      <c r="BRE103" s="13">
        <v>0.1</v>
      </c>
      <c r="BRF103" s="13">
        <v>0.1</v>
      </c>
      <c r="BRG103" s="13">
        <v>0.1</v>
      </c>
      <c r="BRH103" s="13">
        <v>0.1</v>
      </c>
      <c r="BRI103" s="13">
        <v>0.1</v>
      </c>
      <c r="BRJ103" s="13">
        <v>0.1</v>
      </c>
      <c r="BRK103" s="13">
        <v>0.1</v>
      </c>
      <c r="BRL103" s="13">
        <v>0.1</v>
      </c>
      <c r="BRM103" s="13">
        <v>0.1</v>
      </c>
      <c r="BRN103" s="13">
        <v>0.1</v>
      </c>
      <c r="BRO103" s="13">
        <v>0.1</v>
      </c>
      <c r="BRP103" s="13">
        <v>0.1</v>
      </c>
      <c r="BRQ103" s="13">
        <v>0.1</v>
      </c>
      <c r="BRR103" s="13">
        <v>0.1</v>
      </c>
      <c r="BRS103" s="13">
        <v>0.1</v>
      </c>
      <c r="BRT103" s="13">
        <v>0.1</v>
      </c>
      <c r="BRU103" s="13">
        <v>0.1</v>
      </c>
      <c r="BRV103" s="13">
        <v>0.1</v>
      </c>
      <c r="BRW103" s="13">
        <v>0.1</v>
      </c>
      <c r="BRX103" s="13">
        <v>0.1</v>
      </c>
      <c r="BRY103" s="13">
        <v>0.1</v>
      </c>
      <c r="BRZ103" s="13">
        <v>0.1</v>
      </c>
      <c r="BSA103" s="13">
        <v>0.1</v>
      </c>
      <c r="BSB103" s="13">
        <v>0.1</v>
      </c>
      <c r="BSC103" s="13">
        <v>0.1</v>
      </c>
      <c r="BSD103" s="13">
        <v>0.1</v>
      </c>
      <c r="BSE103" s="13">
        <v>0.1</v>
      </c>
      <c r="BSF103" s="13">
        <v>0.1</v>
      </c>
      <c r="BSG103" s="13">
        <v>0.1</v>
      </c>
      <c r="BSH103" s="13">
        <v>0.1</v>
      </c>
      <c r="BSI103" s="13">
        <v>0.1</v>
      </c>
      <c r="BSJ103" s="13">
        <v>0.1</v>
      </c>
      <c r="BSK103" s="13">
        <v>0.1</v>
      </c>
      <c r="BSL103" s="13">
        <v>0.1</v>
      </c>
      <c r="BSM103" s="13">
        <v>0.1</v>
      </c>
      <c r="BSN103" s="13">
        <v>0.1</v>
      </c>
      <c r="BSO103" s="13">
        <v>0.1</v>
      </c>
      <c r="BSP103" s="13">
        <v>0.1</v>
      </c>
      <c r="BSQ103" s="13">
        <v>0.1</v>
      </c>
      <c r="BSR103" s="13">
        <v>0.1</v>
      </c>
      <c r="BSS103" s="13">
        <v>0.1</v>
      </c>
      <c r="BST103" s="13">
        <v>0.1</v>
      </c>
      <c r="BSU103" s="13">
        <v>0.1</v>
      </c>
      <c r="BSV103" s="13">
        <v>0.1</v>
      </c>
      <c r="BSW103" s="13">
        <v>0.1</v>
      </c>
      <c r="BSX103" s="13">
        <v>0.1</v>
      </c>
      <c r="BSY103" s="13">
        <v>0.1</v>
      </c>
      <c r="BSZ103" s="13">
        <v>0.1</v>
      </c>
      <c r="BTA103" s="13">
        <v>0.1</v>
      </c>
      <c r="BTB103" s="13">
        <v>0.1</v>
      </c>
      <c r="BTC103" s="13">
        <v>0.1</v>
      </c>
      <c r="BTD103" s="13">
        <v>0.1</v>
      </c>
      <c r="BTE103" s="13">
        <v>0.1</v>
      </c>
      <c r="BTF103" s="13">
        <v>0.1</v>
      </c>
      <c r="BTG103" s="13">
        <v>0.1</v>
      </c>
      <c r="BTH103" s="13">
        <v>0.1</v>
      </c>
      <c r="BTI103" s="13">
        <v>0.1</v>
      </c>
      <c r="BTJ103" s="13">
        <v>0.1</v>
      </c>
      <c r="BTK103" s="13">
        <v>0.1</v>
      </c>
      <c r="BTL103" s="13">
        <v>0.1</v>
      </c>
      <c r="BTM103" s="13">
        <v>0.1</v>
      </c>
      <c r="BTN103" s="13">
        <v>0.1</v>
      </c>
      <c r="BTO103" s="13">
        <v>0.1</v>
      </c>
      <c r="BTP103" s="13">
        <v>0.1</v>
      </c>
      <c r="BTQ103" s="13">
        <v>0.1</v>
      </c>
      <c r="BTR103" s="13">
        <v>0.1</v>
      </c>
      <c r="BTS103" s="13">
        <v>0.1</v>
      </c>
      <c r="BTT103" s="13">
        <v>0.1</v>
      </c>
      <c r="BTU103" s="13">
        <v>0.1</v>
      </c>
      <c r="BTV103" s="13">
        <v>0.1</v>
      </c>
      <c r="BTW103" s="13">
        <v>0.1</v>
      </c>
      <c r="BTX103" s="13">
        <v>0.1</v>
      </c>
      <c r="BTY103" s="13">
        <v>0.1</v>
      </c>
      <c r="BTZ103" s="13">
        <v>0.1</v>
      </c>
      <c r="BUA103" s="13">
        <v>0.1</v>
      </c>
      <c r="BUB103" s="13">
        <v>0.1</v>
      </c>
      <c r="BUC103" s="13">
        <v>0.1</v>
      </c>
      <c r="BUD103" s="13">
        <v>0.1</v>
      </c>
      <c r="BUE103" s="13">
        <v>0.1</v>
      </c>
      <c r="BUF103" s="13">
        <v>0.1</v>
      </c>
      <c r="BUG103" s="13">
        <v>0.1</v>
      </c>
      <c r="BUH103" s="13">
        <v>0.1</v>
      </c>
      <c r="BUI103" s="13">
        <v>0.1</v>
      </c>
      <c r="BUJ103" s="13">
        <v>0.1</v>
      </c>
      <c r="BUK103" s="13">
        <v>0.1</v>
      </c>
      <c r="BUL103" s="13">
        <v>0.1</v>
      </c>
      <c r="BUM103" s="13">
        <v>0.1</v>
      </c>
      <c r="BUN103" s="13">
        <v>0.1</v>
      </c>
      <c r="BUO103" s="13">
        <v>0.1</v>
      </c>
      <c r="BUP103" s="13">
        <v>0.1</v>
      </c>
      <c r="BUQ103" s="13">
        <v>0.1</v>
      </c>
      <c r="BUR103" s="13">
        <v>0.1</v>
      </c>
      <c r="BUS103" s="13">
        <v>0.1</v>
      </c>
      <c r="BUT103" s="13">
        <v>0.1</v>
      </c>
      <c r="BUU103" s="13">
        <v>0.1</v>
      </c>
      <c r="BUV103" s="13">
        <v>0.1</v>
      </c>
      <c r="BUW103" s="13">
        <v>0.1</v>
      </c>
      <c r="BUX103" s="13">
        <v>0.1</v>
      </c>
      <c r="BUY103" s="13">
        <v>0.1</v>
      </c>
      <c r="BUZ103" s="13">
        <v>0.1</v>
      </c>
      <c r="BVA103" s="13">
        <v>0.1</v>
      </c>
      <c r="BVB103" s="13">
        <v>0.1</v>
      </c>
      <c r="BVC103" s="13">
        <v>0.1</v>
      </c>
      <c r="BVD103" s="13">
        <v>0.1</v>
      </c>
      <c r="BVE103" s="13">
        <v>0.1</v>
      </c>
      <c r="BVF103" s="13">
        <v>0.1</v>
      </c>
      <c r="BVG103" s="13">
        <v>0.1</v>
      </c>
      <c r="BVH103" s="13">
        <v>0.1</v>
      </c>
      <c r="BVI103" s="13">
        <v>0.1</v>
      </c>
      <c r="BVJ103" s="13">
        <v>0.1</v>
      </c>
      <c r="BVK103" s="13">
        <v>0.1</v>
      </c>
      <c r="BVL103" s="13">
        <v>0.1</v>
      </c>
      <c r="BVM103" s="13">
        <v>0.1</v>
      </c>
      <c r="BVN103" s="13">
        <v>0.1</v>
      </c>
      <c r="BVO103" s="13">
        <v>0.1</v>
      </c>
      <c r="BVP103" s="13">
        <v>0.1</v>
      </c>
      <c r="BVQ103" s="13">
        <v>0.1</v>
      </c>
      <c r="BVR103" s="13">
        <v>0.1</v>
      </c>
      <c r="BVS103" s="13">
        <v>0.1</v>
      </c>
      <c r="BVT103" s="13">
        <v>0.1</v>
      </c>
      <c r="BVU103" s="13">
        <v>0.1</v>
      </c>
      <c r="BVV103" s="13">
        <v>0.1</v>
      </c>
      <c r="BVW103" s="13">
        <v>0.1</v>
      </c>
      <c r="BVX103" s="13">
        <v>0.1</v>
      </c>
      <c r="BVY103" s="13">
        <v>0.1</v>
      </c>
      <c r="BVZ103" s="13">
        <v>0.1</v>
      </c>
      <c r="BWA103" s="13">
        <v>0.1</v>
      </c>
      <c r="BWB103" s="13">
        <v>0.1</v>
      </c>
      <c r="BWC103" s="13">
        <v>0.1</v>
      </c>
      <c r="BWD103" s="13">
        <v>0.1</v>
      </c>
      <c r="BWE103" s="13">
        <v>0.1</v>
      </c>
      <c r="BWF103" s="13">
        <v>0.1</v>
      </c>
      <c r="BWG103" s="13">
        <v>0.1</v>
      </c>
      <c r="BWH103" s="13">
        <v>0.1</v>
      </c>
      <c r="BWI103" s="13">
        <v>0.1</v>
      </c>
      <c r="BWJ103" s="13">
        <v>0.1</v>
      </c>
      <c r="BWK103" s="13">
        <v>0.1</v>
      </c>
      <c r="BWL103" s="13">
        <v>0.1</v>
      </c>
      <c r="BWM103" s="13">
        <v>0.1</v>
      </c>
      <c r="BWN103" s="13">
        <v>0.1</v>
      </c>
      <c r="BWO103" s="13">
        <v>0.1</v>
      </c>
      <c r="BWP103" s="13">
        <v>0.1</v>
      </c>
      <c r="BWQ103" s="13">
        <v>0.1</v>
      </c>
      <c r="BWR103" s="13">
        <v>0.1</v>
      </c>
      <c r="BWS103" s="13">
        <v>0.1</v>
      </c>
      <c r="BWT103" s="13">
        <v>0.1</v>
      </c>
      <c r="BWU103" s="13">
        <v>0.1</v>
      </c>
      <c r="BWV103" s="13">
        <v>0.1</v>
      </c>
      <c r="BWW103" s="13">
        <v>0.1</v>
      </c>
      <c r="BWX103" s="13">
        <v>0.1</v>
      </c>
      <c r="BWY103" s="13">
        <v>0.1</v>
      </c>
      <c r="BWZ103" s="13">
        <v>0.1</v>
      </c>
      <c r="BXA103" s="13">
        <v>0.1</v>
      </c>
      <c r="BXB103" s="13">
        <v>0.1</v>
      </c>
      <c r="BXC103" s="13">
        <v>0.1</v>
      </c>
      <c r="BXD103" s="13">
        <v>0.1</v>
      </c>
      <c r="BXE103" s="13">
        <v>0.1</v>
      </c>
      <c r="BXF103" s="13">
        <v>0.1</v>
      </c>
      <c r="BXG103" s="13">
        <v>0.1</v>
      </c>
      <c r="BXH103" s="13">
        <v>0.1</v>
      </c>
      <c r="BXI103" s="13">
        <v>0.1</v>
      </c>
      <c r="BXJ103" s="13">
        <v>0.1</v>
      </c>
      <c r="BXK103" s="13">
        <v>0.1</v>
      </c>
      <c r="BXL103" s="13">
        <v>0.1</v>
      </c>
      <c r="BXM103" s="13">
        <v>0.1</v>
      </c>
      <c r="BXN103" s="13">
        <v>0.1</v>
      </c>
      <c r="BXO103" s="13">
        <v>0.1</v>
      </c>
      <c r="BXP103" s="13">
        <v>0.1</v>
      </c>
      <c r="BXQ103" s="13">
        <v>0.1</v>
      </c>
      <c r="BXR103" s="13">
        <v>0.1</v>
      </c>
      <c r="BXS103" s="13">
        <v>0.1</v>
      </c>
      <c r="BXT103" s="13">
        <v>0.1</v>
      </c>
      <c r="BXU103" s="13">
        <v>0.1</v>
      </c>
      <c r="BXV103" s="13">
        <v>0.1</v>
      </c>
      <c r="BXW103" s="13">
        <v>0.1</v>
      </c>
      <c r="BXX103" s="13">
        <v>0.1</v>
      </c>
      <c r="BXY103" s="13">
        <v>0.1</v>
      </c>
      <c r="BXZ103" s="13">
        <v>0.1</v>
      </c>
      <c r="BYA103" s="13">
        <v>0.1</v>
      </c>
      <c r="BYB103" s="13">
        <v>0.1</v>
      </c>
      <c r="BYC103" s="13">
        <v>0.1</v>
      </c>
      <c r="BYD103" s="13">
        <v>0.1</v>
      </c>
      <c r="BYE103" s="13">
        <v>0.1</v>
      </c>
      <c r="BYF103" s="13">
        <v>0.1</v>
      </c>
      <c r="BYG103" s="13">
        <v>0.1</v>
      </c>
      <c r="BYH103" s="13">
        <v>0.1</v>
      </c>
      <c r="BYI103" s="13">
        <v>0.1</v>
      </c>
      <c r="BYJ103" s="13">
        <v>0.1</v>
      </c>
      <c r="BYK103" s="13">
        <v>0.1</v>
      </c>
      <c r="BYL103" s="13">
        <v>0.1</v>
      </c>
      <c r="BYM103" s="13">
        <v>0.1</v>
      </c>
      <c r="BYN103" s="13">
        <v>0.1</v>
      </c>
      <c r="BYO103" s="13">
        <v>0.1</v>
      </c>
      <c r="BYP103" s="13">
        <v>0.1</v>
      </c>
      <c r="BYQ103" s="13">
        <v>0.1</v>
      </c>
      <c r="BYR103" s="13">
        <v>0.1</v>
      </c>
      <c r="BYS103" s="13">
        <v>0.1</v>
      </c>
      <c r="BYT103" s="13">
        <v>0.1</v>
      </c>
      <c r="BYU103" s="13">
        <v>0.1</v>
      </c>
      <c r="BYV103" s="13">
        <v>0.1</v>
      </c>
      <c r="BYW103" s="13">
        <v>0.1</v>
      </c>
      <c r="BYX103" s="13">
        <v>0.1</v>
      </c>
      <c r="BYY103" s="13">
        <v>0.1</v>
      </c>
      <c r="BYZ103" s="13">
        <v>0.1</v>
      </c>
      <c r="BZA103" s="13">
        <v>0.1</v>
      </c>
      <c r="BZB103" s="13">
        <v>0.1</v>
      </c>
      <c r="BZC103" s="13">
        <v>0.1</v>
      </c>
      <c r="BZD103" s="13">
        <v>0.1</v>
      </c>
      <c r="BZE103" s="13">
        <v>0.1</v>
      </c>
      <c r="BZF103" s="13">
        <v>0.1</v>
      </c>
      <c r="BZG103" s="13">
        <v>0.1</v>
      </c>
      <c r="BZH103" s="13">
        <v>0.1</v>
      </c>
      <c r="BZI103" s="13">
        <v>0.1</v>
      </c>
      <c r="BZJ103" s="13">
        <v>0.1</v>
      </c>
      <c r="BZK103" s="13">
        <v>0.1</v>
      </c>
      <c r="BZL103" s="13">
        <v>0.1</v>
      </c>
      <c r="BZM103" s="13">
        <v>0.1</v>
      </c>
      <c r="BZN103" s="13">
        <v>0.1</v>
      </c>
      <c r="BZO103" s="13">
        <v>0.1</v>
      </c>
      <c r="BZP103" s="13">
        <v>0.1</v>
      </c>
      <c r="BZQ103" s="13">
        <v>0.1</v>
      </c>
      <c r="BZR103" s="13">
        <v>0.1</v>
      </c>
      <c r="BZS103" s="13">
        <v>0.1</v>
      </c>
      <c r="BZT103" s="13">
        <v>0.1</v>
      </c>
      <c r="BZU103" s="13">
        <v>0.1</v>
      </c>
      <c r="BZV103" s="13">
        <v>0.1</v>
      </c>
      <c r="BZW103" s="13">
        <v>0.1</v>
      </c>
      <c r="BZX103" s="13">
        <v>0.1</v>
      </c>
      <c r="BZY103" s="13">
        <v>0.1</v>
      </c>
      <c r="BZZ103" s="13">
        <v>0.1</v>
      </c>
      <c r="CAA103" s="13">
        <v>0.1</v>
      </c>
      <c r="CAB103" s="13">
        <v>0.1</v>
      </c>
      <c r="CAC103" s="13">
        <v>0.1</v>
      </c>
      <c r="CAD103" s="13">
        <v>0.1</v>
      </c>
      <c r="CAE103" s="13">
        <v>0.1</v>
      </c>
      <c r="CAF103" s="13">
        <v>0.1</v>
      </c>
      <c r="CAG103" s="13">
        <v>0.1</v>
      </c>
      <c r="CAH103" s="13">
        <v>0.1</v>
      </c>
      <c r="CAI103" s="13">
        <v>0.1</v>
      </c>
      <c r="CAJ103" s="13">
        <v>0.1</v>
      </c>
      <c r="CAK103" s="13">
        <v>0.1</v>
      </c>
      <c r="CAL103" s="13">
        <v>0.1</v>
      </c>
      <c r="CAM103" s="13">
        <v>0.1</v>
      </c>
      <c r="CAN103" s="13">
        <v>0.1</v>
      </c>
      <c r="CAO103" s="13">
        <v>0.1</v>
      </c>
      <c r="CAP103" s="13">
        <v>0.1</v>
      </c>
      <c r="CAQ103" s="13">
        <v>0.1</v>
      </c>
      <c r="CAR103" s="13">
        <v>0.1</v>
      </c>
      <c r="CAS103" s="13">
        <v>0.1</v>
      </c>
      <c r="CAT103" s="13">
        <v>0.1</v>
      </c>
      <c r="CAU103" s="13">
        <v>0.1</v>
      </c>
      <c r="CAV103" s="13">
        <v>0.1</v>
      </c>
      <c r="CAW103" s="13">
        <v>0.1</v>
      </c>
      <c r="CAX103" s="13">
        <v>0.1</v>
      </c>
      <c r="CAY103" s="13">
        <v>0.1</v>
      </c>
      <c r="CAZ103" s="13">
        <v>0.1</v>
      </c>
      <c r="CBA103" s="13">
        <v>0.1</v>
      </c>
      <c r="CBB103" s="13">
        <v>0.1</v>
      </c>
      <c r="CBC103" s="13">
        <v>0.1</v>
      </c>
      <c r="CBD103" s="13">
        <v>0.1</v>
      </c>
      <c r="CBE103" s="13">
        <v>0.1</v>
      </c>
      <c r="CBF103" s="13">
        <v>0.1</v>
      </c>
      <c r="CBG103" s="13">
        <v>0.1</v>
      </c>
      <c r="CBH103" s="13">
        <v>0.1</v>
      </c>
      <c r="CBI103" s="13">
        <v>0.1</v>
      </c>
      <c r="CBJ103" s="13">
        <v>0.1</v>
      </c>
      <c r="CBK103" s="13">
        <v>0.1</v>
      </c>
      <c r="CBL103" s="13">
        <v>0.1</v>
      </c>
      <c r="CBM103" s="13">
        <v>0.1</v>
      </c>
      <c r="CBN103" s="13">
        <v>0.1</v>
      </c>
      <c r="CBO103" s="13">
        <v>0.1</v>
      </c>
      <c r="CBP103" s="13">
        <v>0.1</v>
      </c>
      <c r="CBQ103" s="13">
        <v>0.1</v>
      </c>
      <c r="CBR103" s="13">
        <v>0.1</v>
      </c>
      <c r="CBS103" s="13">
        <v>0.1</v>
      </c>
      <c r="CBT103" s="13">
        <v>0.1</v>
      </c>
      <c r="CBU103" s="13">
        <v>0.1</v>
      </c>
      <c r="CBV103" s="13">
        <v>0.1</v>
      </c>
      <c r="CBW103" s="13">
        <v>0.1</v>
      </c>
      <c r="CBX103" s="13">
        <v>0.1</v>
      </c>
      <c r="CBY103" s="13">
        <v>0.1</v>
      </c>
      <c r="CBZ103" s="13">
        <v>0.1</v>
      </c>
      <c r="CCA103" s="13">
        <v>0.1</v>
      </c>
      <c r="CCB103" s="13">
        <v>0.1</v>
      </c>
      <c r="CCC103" s="13">
        <v>0.1</v>
      </c>
      <c r="CCD103" s="13">
        <v>0.1</v>
      </c>
      <c r="CCE103" s="13">
        <v>0.1</v>
      </c>
      <c r="CCF103" s="13">
        <v>0.1</v>
      </c>
      <c r="CCG103" s="13">
        <v>0.1</v>
      </c>
      <c r="CCH103" s="13">
        <v>0.1</v>
      </c>
      <c r="CCI103" s="13">
        <v>0.1</v>
      </c>
      <c r="CCJ103" s="13">
        <v>0.1</v>
      </c>
      <c r="CCK103" s="13">
        <v>0.1</v>
      </c>
      <c r="CCL103" s="13">
        <v>0.1</v>
      </c>
      <c r="CCM103" s="13">
        <v>0.1</v>
      </c>
      <c r="CCN103" s="13">
        <v>0.1</v>
      </c>
      <c r="CCO103" s="13">
        <v>0.1</v>
      </c>
      <c r="CCP103" s="13">
        <v>0.1</v>
      </c>
      <c r="CCQ103" s="13">
        <v>0.1</v>
      </c>
      <c r="CCR103" s="13">
        <v>0.1</v>
      </c>
      <c r="CCS103" s="13">
        <v>0.1</v>
      </c>
      <c r="CCT103" s="13">
        <v>0.1</v>
      </c>
      <c r="CCU103" s="13">
        <v>0.1</v>
      </c>
      <c r="CCV103" s="13">
        <v>0.1</v>
      </c>
      <c r="CCW103" s="13">
        <v>0.1</v>
      </c>
      <c r="CCX103" s="13">
        <v>0.1</v>
      </c>
      <c r="CCY103" s="13">
        <v>0.1</v>
      </c>
      <c r="CCZ103" s="13">
        <v>0.1</v>
      </c>
      <c r="CDA103" s="13">
        <v>0.1</v>
      </c>
      <c r="CDB103" s="13">
        <v>0.1</v>
      </c>
      <c r="CDC103" s="13">
        <v>0.1</v>
      </c>
      <c r="CDD103" s="13">
        <v>0.1</v>
      </c>
      <c r="CDE103" s="13">
        <v>0.1</v>
      </c>
      <c r="CDF103" s="13">
        <v>0.1</v>
      </c>
      <c r="CDG103" s="13">
        <v>0.1</v>
      </c>
      <c r="CDH103" s="13">
        <v>0.1</v>
      </c>
      <c r="CDI103" s="13">
        <v>0.1</v>
      </c>
      <c r="CDJ103" s="13">
        <v>0.1</v>
      </c>
      <c r="CDK103" s="13">
        <v>0.1</v>
      </c>
      <c r="CDL103" s="13">
        <v>0.1</v>
      </c>
      <c r="CDM103" s="13">
        <v>0.1</v>
      </c>
      <c r="CDN103" s="13">
        <v>0.1</v>
      </c>
      <c r="CDO103" s="13">
        <v>0.1</v>
      </c>
      <c r="CDP103" s="13">
        <v>0.1</v>
      </c>
      <c r="CDQ103" s="13">
        <v>0.1</v>
      </c>
      <c r="CDR103" s="13">
        <v>0.1</v>
      </c>
      <c r="CDS103" s="13">
        <v>0.1</v>
      </c>
      <c r="CDT103" s="13">
        <v>0.1</v>
      </c>
      <c r="CDU103" s="13">
        <v>0.1</v>
      </c>
      <c r="CDV103" s="13">
        <v>0.1</v>
      </c>
      <c r="CDW103" s="13">
        <v>0.1</v>
      </c>
      <c r="CDX103" s="13">
        <v>0.1</v>
      </c>
      <c r="CDY103" s="13">
        <v>0.1</v>
      </c>
      <c r="CDZ103" s="13">
        <v>0.1</v>
      </c>
      <c r="CEA103" s="13">
        <v>0.1</v>
      </c>
      <c r="CEB103" s="13">
        <v>0.1</v>
      </c>
      <c r="CEC103" s="13">
        <v>0.1</v>
      </c>
      <c r="CED103" s="13">
        <v>0.1</v>
      </c>
      <c r="CEE103" s="13">
        <v>0.1</v>
      </c>
      <c r="CEF103" s="13">
        <v>0.1</v>
      </c>
      <c r="CEG103" s="13">
        <v>0.1</v>
      </c>
      <c r="CEH103" s="13">
        <v>0.1</v>
      </c>
      <c r="CEI103" s="13">
        <v>0.1</v>
      </c>
      <c r="CEJ103" s="13">
        <v>0.1</v>
      </c>
      <c r="CEK103" s="13">
        <v>0.1</v>
      </c>
      <c r="CEL103" s="13">
        <v>0.1</v>
      </c>
      <c r="CEM103" s="13">
        <v>0.1</v>
      </c>
      <c r="CEN103" s="13">
        <v>0.1</v>
      </c>
      <c r="CEO103" s="13">
        <v>0.1</v>
      </c>
      <c r="CEP103" s="13">
        <v>0.1</v>
      </c>
      <c r="CEQ103" s="13">
        <v>0.1</v>
      </c>
      <c r="CER103" s="13">
        <v>0.1</v>
      </c>
      <c r="CES103" s="13">
        <v>0.1</v>
      </c>
      <c r="CET103" s="13">
        <v>0.1</v>
      </c>
      <c r="CEU103" s="13">
        <v>0.1</v>
      </c>
      <c r="CEV103" s="13">
        <v>0.1</v>
      </c>
      <c r="CEW103" s="13">
        <v>0.1</v>
      </c>
      <c r="CEX103" s="13">
        <v>0.1</v>
      </c>
      <c r="CEY103" s="13">
        <v>0.1</v>
      </c>
      <c r="CEZ103" s="13">
        <v>0.1</v>
      </c>
      <c r="CFA103" s="13">
        <v>0.1</v>
      </c>
      <c r="CFB103" s="13">
        <v>0.1</v>
      </c>
      <c r="CFC103" s="13">
        <v>0.1</v>
      </c>
      <c r="CFD103" s="13">
        <v>0.1</v>
      </c>
      <c r="CFE103" s="13">
        <v>0.1</v>
      </c>
      <c r="CFF103" s="13">
        <v>0.1</v>
      </c>
      <c r="CFG103" s="13">
        <v>0.1</v>
      </c>
      <c r="CFH103" s="13">
        <v>0.1</v>
      </c>
      <c r="CFI103" s="13">
        <v>0.1</v>
      </c>
      <c r="CFJ103" s="13">
        <v>0.1</v>
      </c>
      <c r="CFK103" s="13">
        <v>0.1</v>
      </c>
      <c r="CFL103" s="13">
        <v>0.1</v>
      </c>
      <c r="CFM103" s="13">
        <v>0.1</v>
      </c>
      <c r="CFN103" s="13">
        <v>0.1</v>
      </c>
      <c r="CFO103" s="13">
        <v>0.1</v>
      </c>
      <c r="CFP103" s="13">
        <v>0.1</v>
      </c>
      <c r="CFQ103" s="13">
        <v>0.1</v>
      </c>
      <c r="CFR103" s="13">
        <v>0.1</v>
      </c>
      <c r="CFS103" s="13">
        <v>0.1</v>
      </c>
      <c r="CFT103" s="13">
        <v>0.1</v>
      </c>
      <c r="CFU103" s="13">
        <v>0.1</v>
      </c>
      <c r="CFV103" s="13">
        <v>0.1</v>
      </c>
      <c r="CFW103" s="13">
        <v>0.1</v>
      </c>
      <c r="CFX103" s="13">
        <v>0.1</v>
      </c>
      <c r="CFY103" s="13">
        <v>0.1</v>
      </c>
      <c r="CFZ103" s="13">
        <v>0.1</v>
      </c>
      <c r="CGA103" s="13">
        <v>0.1</v>
      </c>
      <c r="CGB103" s="13">
        <v>0.1</v>
      </c>
      <c r="CGC103" s="13">
        <v>0.1</v>
      </c>
      <c r="CGD103" s="13">
        <v>0.1</v>
      </c>
      <c r="CGE103" s="13">
        <v>0.1</v>
      </c>
      <c r="CGF103" s="13">
        <v>0.1</v>
      </c>
      <c r="CGG103" s="13">
        <v>0.1</v>
      </c>
      <c r="CGH103" s="13">
        <v>0.1</v>
      </c>
      <c r="CGI103" s="13">
        <v>0.1</v>
      </c>
      <c r="CGJ103" s="13">
        <v>0.1</v>
      </c>
      <c r="CGK103" s="13">
        <v>0.1</v>
      </c>
      <c r="CGL103" s="13">
        <v>0.1</v>
      </c>
      <c r="CGM103" s="13">
        <v>0.1</v>
      </c>
      <c r="CGN103" s="13">
        <v>0.1</v>
      </c>
      <c r="CGO103" s="13">
        <v>0.1</v>
      </c>
      <c r="CGP103" s="13">
        <v>0.1</v>
      </c>
      <c r="CGQ103" s="13">
        <v>0.1</v>
      </c>
      <c r="CGR103" s="13">
        <v>0.1</v>
      </c>
      <c r="CGS103" s="13">
        <v>0.1</v>
      </c>
      <c r="CGT103" s="13">
        <v>0.1</v>
      </c>
      <c r="CGU103" s="13">
        <v>0.1</v>
      </c>
      <c r="CGV103" s="13">
        <v>0.1</v>
      </c>
      <c r="CGW103" s="13">
        <v>0.1</v>
      </c>
      <c r="CGX103" s="13">
        <v>0.1</v>
      </c>
      <c r="CGY103" s="13">
        <v>0.1</v>
      </c>
      <c r="CGZ103" s="13">
        <v>0.1</v>
      </c>
      <c r="CHA103" s="13">
        <v>0.1</v>
      </c>
      <c r="CHB103" s="13">
        <v>0.1</v>
      </c>
      <c r="CHC103" s="13">
        <v>0.1</v>
      </c>
      <c r="CHD103" s="13">
        <v>0.1</v>
      </c>
      <c r="CHE103" s="13">
        <v>0.1</v>
      </c>
      <c r="CHF103" s="13">
        <v>0.1</v>
      </c>
      <c r="CHG103" s="13">
        <v>0.1</v>
      </c>
      <c r="CHH103" s="13">
        <v>0.1</v>
      </c>
      <c r="CHI103" s="13">
        <v>0.1</v>
      </c>
      <c r="CHJ103" s="13">
        <v>0.1</v>
      </c>
      <c r="CHK103" s="13">
        <v>0.1</v>
      </c>
      <c r="CHL103" s="13">
        <v>0.1</v>
      </c>
      <c r="CHM103" s="13">
        <v>0.1</v>
      </c>
      <c r="CHN103" s="13">
        <v>0.1</v>
      </c>
      <c r="CHO103" s="13">
        <v>0.1</v>
      </c>
      <c r="CHP103" s="13">
        <v>0.1</v>
      </c>
      <c r="CHQ103" s="13">
        <v>0.1</v>
      </c>
      <c r="CHR103" s="13">
        <v>0.1</v>
      </c>
      <c r="CHS103" s="13">
        <v>0.1</v>
      </c>
      <c r="CHT103" s="13">
        <v>0.1</v>
      </c>
      <c r="CHU103" s="13">
        <v>0.1</v>
      </c>
      <c r="CHV103" s="13">
        <v>0.1</v>
      </c>
      <c r="CHW103" s="13">
        <v>0.1</v>
      </c>
      <c r="CHX103" s="13">
        <v>0.1</v>
      </c>
      <c r="CHY103" s="13">
        <v>0.1</v>
      </c>
      <c r="CHZ103" s="13">
        <v>0.1</v>
      </c>
      <c r="CIA103" s="13">
        <v>0.1</v>
      </c>
      <c r="CIB103" s="13">
        <v>0.1</v>
      </c>
      <c r="CIC103" s="13">
        <v>0.1</v>
      </c>
      <c r="CID103" s="13">
        <v>0.1</v>
      </c>
      <c r="CIE103" s="13">
        <v>0.1</v>
      </c>
      <c r="CIF103" s="13">
        <v>0.1</v>
      </c>
      <c r="CIG103" s="13">
        <v>0.1</v>
      </c>
      <c r="CIH103" s="13">
        <v>0.1</v>
      </c>
      <c r="CII103" s="13">
        <v>0.1</v>
      </c>
      <c r="CIJ103" s="13">
        <v>0.1</v>
      </c>
      <c r="CIK103" s="13">
        <v>0.1</v>
      </c>
      <c r="CIL103" s="13">
        <v>0.1</v>
      </c>
      <c r="CIM103" s="13">
        <v>0.1</v>
      </c>
      <c r="CIN103" s="13">
        <v>0.1</v>
      </c>
      <c r="CIO103" s="13">
        <v>0.1</v>
      </c>
      <c r="CIP103" s="13">
        <v>0.1</v>
      </c>
      <c r="CIQ103" s="13">
        <v>0.1</v>
      </c>
      <c r="CIR103" s="13">
        <v>0.1</v>
      </c>
      <c r="CIS103" s="13">
        <v>0.1</v>
      </c>
      <c r="CIT103" s="13">
        <v>0.1</v>
      </c>
      <c r="CIU103" s="13">
        <v>0.1</v>
      </c>
      <c r="CIV103" s="13">
        <v>0.1</v>
      </c>
      <c r="CIW103" s="13">
        <v>0.1</v>
      </c>
      <c r="CIX103" s="13">
        <v>0.1</v>
      </c>
      <c r="CIY103" s="13">
        <v>0.1</v>
      </c>
      <c r="CIZ103" s="13">
        <v>0.1</v>
      </c>
      <c r="CJA103" s="13">
        <v>0.1</v>
      </c>
      <c r="CJB103" s="13">
        <v>0.1</v>
      </c>
      <c r="CJC103" s="13">
        <v>0.1</v>
      </c>
      <c r="CJD103" s="13">
        <v>0.1</v>
      </c>
      <c r="CJE103" s="13">
        <v>0.1</v>
      </c>
      <c r="CJF103" s="13">
        <v>0.1</v>
      </c>
      <c r="CJG103" s="13">
        <v>0.1</v>
      </c>
      <c r="CJH103" s="13">
        <v>0.1</v>
      </c>
      <c r="CJI103" s="13">
        <v>0.1</v>
      </c>
      <c r="CJJ103" s="13">
        <v>0.1</v>
      </c>
      <c r="CJK103" s="13">
        <v>0.1</v>
      </c>
      <c r="CJL103" s="13">
        <v>0.1</v>
      </c>
      <c r="CJM103" s="13">
        <v>0.1</v>
      </c>
      <c r="CJN103" s="13">
        <v>0.1</v>
      </c>
      <c r="CJO103" s="13">
        <v>0.1</v>
      </c>
      <c r="CJP103" s="13">
        <v>0.1</v>
      </c>
      <c r="CJQ103" s="13">
        <v>0.1</v>
      </c>
      <c r="CJR103" s="13">
        <v>0.1</v>
      </c>
      <c r="CJS103" s="13">
        <v>0.1</v>
      </c>
      <c r="CJT103" s="13">
        <v>0.1</v>
      </c>
      <c r="CJU103" s="13">
        <v>0.1</v>
      </c>
      <c r="CJV103" s="13">
        <v>0.1</v>
      </c>
      <c r="CJW103" s="13">
        <v>0.1</v>
      </c>
      <c r="CJX103" s="13">
        <v>0.1</v>
      </c>
      <c r="CJY103" s="13">
        <v>0.1</v>
      </c>
      <c r="CJZ103" s="13">
        <v>0.1</v>
      </c>
      <c r="CKA103" s="13">
        <v>0.1</v>
      </c>
      <c r="CKB103" s="13">
        <v>0.1</v>
      </c>
      <c r="CKC103" s="13">
        <v>0.1</v>
      </c>
      <c r="CKD103" s="13">
        <v>0.1</v>
      </c>
      <c r="CKE103" s="13">
        <v>0.1</v>
      </c>
      <c r="CKF103" s="13">
        <v>0.1</v>
      </c>
      <c r="CKG103" s="13">
        <v>0.1</v>
      </c>
      <c r="CKH103" s="13">
        <v>0.1</v>
      </c>
      <c r="CKI103" s="13">
        <v>0.1</v>
      </c>
      <c r="CKJ103" s="13">
        <v>0.1</v>
      </c>
      <c r="CKK103" s="13">
        <v>0.1</v>
      </c>
      <c r="CKL103" s="13">
        <v>0.1</v>
      </c>
      <c r="CKM103" s="13">
        <v>0.1</v>
      </c>
      <c r="CKN103" s="13">
        <v>0.1</v>
      </c>
      <c r="CKO103" s="13">
        <v>0.1</v>
      </c>
      <c r="CKP103" s="13">
        <v>0.1</v>
      </c>
      <c r="CKQ103" s="13">
        <v>0.1</v>
      </c>
      <c r="CKR103" s="13">
        <v>0.1</v>
      </c>
      <c r="CKS103" s="13">
        <v>0.1</v>
      </c>
      <c r="CKT103" s="13">
        <v>0.1</v>
      </c>
      <c r="CKU103" s="13">
        <v>0.1</v>
      </c>
      <c r="CKV103" s="13">
        <v>0.1</v>
      </c>
      <c r="CKW103" s="13">
        <v>0.1</v>
      </c>
      <c r="CKX103" s="13">
        <v>0.1</v>
      </c>
      <c r="CKY103" s="13">
        <v>0.1</v>
      </c>
      <c r="CKZ103" s="13">
        <v>0.1</v>
      </c>
      <c r="CLA103" s="13">
        <v>0.1</v>
      </c>
      <c r="CLB103" s="13">
        <v>0.1</v>
      </c>
      <c r="CLC103" s="13">
        <v>0.1</v>
      </c>
      <c r="CLD103" s="13">
        <v>0.1</v>
      </c>
      <c r="CLE103" s="13">
        <v>0.1</v>
      </c>
      <c r="CLF103" s="13">
        <v>0.1</v>
      </c>
      <c r="CLG103" s="13">
        <v>0.1</v>
      </c>
      <c r="CLH103" s="13">
        <v>0.1</v>
      </c>
      <c r="CLI103" s="13">
        <v>0.1</v>
      </c>
      <c r="CLJ103" s="13">
        <v>0.1</v>
      </c>
      <c r="CLK103" s="13">
        <v>0.1</v>
      </c>
      <c r="CLL103" s="13">
        <v>0.1</v>
      </c>
      <c r="CLM103" s="13">
        <v>0.1</v>
      </c>
      <c r="CLN103" s="13">
        <v>0.1</v>
      </c>
      <c r="CLO103" s="13">
        <v>0.1</v>
      </c>
      <c r="CLP103" s="13">
        <v>0.1</v>
      </c>
      <c r="CLQ103" s="13">
        <v>0.1</v>
      </c>
      <c r="CLR103" s="13">
        <v>0.1</v>
      </c>
      <c r="CLS103" s="13">
        <v>0.1</v>
      </c>
      <c r="CLT103" s="13">
        <v>0.1</v>
      </c>
      <c r="CLU103" s="13">
        <v>0.1</v>
      </c>
      <c r="CLV103" s="13">
        <v>0.1</v>
      </c>
      <c r="CLW103" s="13">
        <v>0.1</v>
      </c>
      <c r="CLX103" s="13">
        <v>0.1</v>
      </c>
      <c r="CLY103" s="13">
        <v>0.1</v>
      </c>
      <c r="CLZ103" s="13">
        <v>0.1</v>
      </c>
      <c r="CMA103" s="13">
        <v>0.1</v>
      </c>
      <c r="CMB103" s="13">
        <v>0.1</v>
      </c>
      <c r="CMC103" s="13">
        <v>0.1</v>
      </c>
      <c r="CMD103" s="13">
        <v>0.1</v>
      </c>
      <c r="CME103" s="13">
        <v>0.1</v>
      </c>
      <c r="CMF103" s="13">
        <v>0.1</v>
      </c>
      <c r="CMG103" s="13">
        <v>0.1</v>
      </c>
      <c r="CMH103" s="13">
        <v>0.1</v>
      </c>
      <c r="CMI103" s="13">
        <v>0.1</v>
      </c>
      <c r="CMJ103" s="13">
        <v>0.1</v>
      </c>
      <c r="CMK103" s="13">
        <v>0.1</v>
      </c>
      <c r="CML103" s="13">
        <v>0.1</v>
      </c>
      <c r="CMM103" s="13">
        <v>0.1</v>
      </c>
      <c r="CMN103" s="13">
        <v>0.1</v>
      </c>
      <c r="CMO103" s="13">
        <v>0.1</v>
      </c>
      <c r="CMP103" s="13">
        <v>0.1</v>
      </c>
      <c r="CMQ103" s="13">
        <v>0.1</v>
      </c>
      <c r="CMR103" s="13">
        <v>0.1</v>
      </c>
      <c r="CMS103" s="13">
        <v>0.1</v>
      </c>
      <c r="CMT103" s="13">
        <v>0.1</v>
      </c>
      <c r="CMU103" s="13">
        <v>0.1</v>
      </c>
      <c r="CMV103" s="13">
        <v>0.1</v>
      </c>
      <c r="CMW103" s="13">
        <v>0.1</v>
      </c>
      <c r="CMX103" s="13">
        <v>0.1</v>
      </c>
      <c r="CMY103" s="13">
        <v>0.1</v>
      </c>
      <c r="CMZ103" s="13">
        <v>0.1</v>
      </c>
      <c r="CNA103" s="13">
        <v>0.1</v>
      </c>
      <c r="CNB103" s="13">
        <v>0.1</v>
      </c>
      <c r="CNC103" s="13">
        <v>0.1</v>
      </c>
      <c r="CND103" s="13">
        <v>0.1</v>
      </c>
      <c r="CNE103" s="13">
        <v>0.1</v>
      </c>
      <c r="CNF103" s="13">
        <v>0.1</v>
      </c>
      <c r="CNG103" s="13">
        <v>0.1</v>
      </c>
      <c r="CNH103" s="13">
        <v>0.1</v>
      </c>
      <c r="CNI103" s="13">
        <v>0.1</v>
      </c>
      <c r="CNJ103" s="13">
        <v>0.1</v>
      </c>
      <c r="CNK103" s="13">
        <v>0.1</v>
      </c>
      <c r="CNL103" s="13">
        <v>0.1</v>
      </c>
      <c r="CNM103" s="13">
        <v>0.1</v>
      </c>
      <c r="CNN103" s="13">
        <v>0.1</v>
      </c>
      <c r="CNO103" s="13">
        <v>0.1</v>
      </c>
      <c r="CNP103" s="13">
        <v>0.1</v>
      </c>
      <c r="CNQ103" s="13">
        <v>0.1</v>
      </c>
      <c r="CNR103" s="13">
        <v>0.1</v>
      </c>
      <c r="CNS103" s="13">
        <v>0.1</v>
      </c>
      <c r="CNT103" s="13">
        <v>0.1</v>
      </c>
      <c r="CNU103" s="13">
        <v>0.1</v>
      </c>
      <c r="CNV103" s="13">
        <v>0.1</v>
      </c>
      <c r="CNW103" s="13">
        <v>0.1</v>
      </c>
      <c r="CNX103" s="13">
        <v>0.1</v>
      </c>
      <c r="CNY103" s="13">
        <v>0.1</v>
      </c>
      <c r="CNZ103" s="13">
        <v>0.1</v>
      </c>
      <c r="COA103" s="13">
        <v>0.1</v>
      </c>
      <c r="COB103" s="13">
        <v>0.1</v>
      </c>
      <c r="COC103" s="13">
        <v>0.1</v>
      </c>
      <c r="COD103" s="13">
        <v>0.1</v>
      </c>
      <c r="COE103" s="13">
        <v>0.1</v>
      </c>
      <c r="COF103" s="13">
        <v>0.1</v>
      </c>
      <c r="COG103" s="13">
        <v>0.1</v>
      </c>
      <c r="COH103" s="13">
        <v>0.1</v>
      </c>
      <c r="COI103" s="13">
        <v>0.1</v>
      </c>
      <c r="COJ103" s="13">
        <v>0.1</v>
      </c>
      <c r="COK103" s="13">
        <v>0.1</v>
      </c>
      <c r="COL103" s="13">
        <v>0.1</v>
      </c>
      <c r="COM103" s="13">
        <v>0.1</v>
      </c>
      <c r="CON103" s="13">
        <v>0.1</v>
      </c>
      <c r="COO103" s="13">
        <v>0.1</v>
      </c>
      <c r="COP103" s="13">
        <v>0.1</v>
      </c>
      <c r="COQ103" s="13">
        <v>0.1</v>
      </c>
      <c r="COR103" s="13">
        <v>0.1</v>
      </c>
      <c r="COS103" s="13">
        <v>0.1</v>
      </c>
      <c r="COT103" s="13">
        <v>0.1</v>
      </c>
      <c r="COU103" s="13">
        <v>0.1</v>
      </c>
      <c r="COV103" s="13">
        <v>0.1</v>
      </c>
      <c r="COW103" s="13">
        <v>0.1</v>
      </c>
      <c r="COX103" s="13">
        <v>0.1</v>
      </c>
      <c r="COY103" s="13">
        <v>0.1</v>
      </c>
      <c r="COZ103" s="13">
        <v>0.1</v>
      </c>
      <c r="CPA103" s="13">
        <v>0.1</v>
      </c>
      <c r="CPB103" s="13">
        <v>0.1</v>
      </c>
      <c r="CPC103" s="13">
        <v>0.1</v>
      </c>
      <c r="CPD103" s="13">
        <v>0.1</v>
      </c>
      <c r="CPE103" s="13">
        <v>0.1</v>
      </c>
      <c r="CPF103" s="13">
        <v>0.1</v>
      </c>
      <c r="CPG103" s="13">
        <v>0.1</v>
      </c>
      <c r="CPH103" s="13">
        <v>0.1</v>
      </c>
      <c r="CPI103" s="13">
        <v>0.1</v>
      </c>
      <c r="CPJ103" s="13">
        <v>0.1</v>
      </c>
      <c r="CPK103" s="13">
        <v>0.1</v>
      </c>
      <c r="CPL103" s="13">
        <v>0.1</v>
      </c>
      <c r="CPM103" s="13">
        <v>0.1</v>
      </c>
      <c r="CPN103" s="13">
        <v>0.1</v>
      </c>
      <c r="CPO103" s="13">
        <v>0.1</v>
      </c>
      <c r="CPP103" s="13">
        <v>0.1</v>
      </c>
      <c r="CPQ103" s="13">
        <v>0.1</v>
      </c>
      <c r="CPR103" s="13">
        <v>0.1</v>
      </c>
      <c r="CPS103" s="13">
        <v>0.1</v>
      </c>
      <c r="CPT103" s="13">
        <v>0.1</v>
      </c>
      <c r="CPU103" s="13">
        <v>0.1</v>
      </c>
      <c r="CPV103" s="13">
        <v>0.1</v>
      </c>
      <c r="CPW103" s="13">
        <v>0.1</v>
      </c>
      <c r="CPX103" s="13">
        <v>0.1</v>
      </c>
      <c r="CPY103" s="13">
        <v>0.1</v>
      </c>
      <c r="CPZ103" s="13">
        <v>0.1</v>
      </c>
      <c r="CQA103" s="13">
        <v>0.1</v>
      </c>
      <c r="CQB103" s="13">
        <v>0.1</v>
      </c>
      <c r="CQC103" s="13">
        <v>0.1</v>
      </c>
      <c r="CQD103" s="13">
        <v>0.1</v>
      </c>
      <c r="CQE103" s="13">
        <v>0.1</v>
      </c>
      <c r="CQF103" s="13">
        <v>0.1</v>
      </c>
      <c r="CQG103" s="13">
        <v>0.1</v>
      </c>
      <c r="CQH103" s="13">
        <v>0.1</v>
      </c>
      <c r="CQI103" s="13">
        <v>0.1</v>
      </c>
      <c r="CQJ103" s="13">
        <v>0.1</v>
      </c>
      <c r="CQK103" s="13">
        <v>0.1</v>
      </c>
      <c r="CQL103" s="13">
        <v>0.1</v>
      </c>
      <c r="CQM103" s="13">
        <v>0.1</v>
      </c>
      <c r="CQN103" s="13">
        <v>0.1</v>
      </c>
      <c r="CQO103" s="13">
        <v>0.1</v>
      </c>
      <c r="CQP103" s="13">
        <v>0.1</v>
      </c>
      <c r="CQQ103" s="13">
        <v>0.1</v>
      </c>
      <c r="CQR103" s="13">
        <v>0.1</v>
      </c>
      <c r="CQS103" s="13">
        <v>0.1</v>
      </c>
      <c r="CQT103" s="13">
        <v>0.1</v>
      </c>
      <c r="CQU103" s="13">
        <v>0.1</v>
      </c>
      <c r="CQV103" s="13">
        <v>0.1</v>
      </c>
      <c r="CQW103" s="13">
        <v>0.1</v>
      </c>
      <c r="CQX103" s="13">
        <v>0.1</v>
      </c>
      <c r="CQY103" s="13">
        <v>0.1</v>
      </c>
      <c r="CQZ103" s="13">
        <v>0.1</v>
      </c>
      <c r="CRA103" s="13">
        <v>0.1</v>
      </c>
      <c r="CRB103" s="13">
        <v>0.1</v>
      </c>
      <c r="CRC103" s="13">
        <v>0.1</v>
      </c>
      <c r="CRD103" s="13">
        <v>0.1</v>
      </c>
      <c r="CRE103" s="13">
        <v>0.1</v>
      </c>
      <c r="CRF103" s="13">
        <v>0.1</v>
      </c>
      <c r="CRG103" s="13">
        <v>0.1</v>
      </c>
      <c r="CRH103" s="13">
        <v>0.1</v>
      </c>
      <c r="CRI103" s="13">
        <v>0.1</v>
      </c>
      <c r="CRJ103" s="13">
        <v>0.1</v>
      </c>
      <c r="CRK103" s="13">
        <v>0.1</v>
      </c>
      <c r="CRL103" s="13">
        <v>0.1</v>
      </c>
      <c r="CRM103" s="13">
        <v>0.1</v>
      </c>
      <c r="CRN103" s="13">
        <v>0.1</v>
      </c>
      <c r="CRO103" s="13">
        <v>0.1</v>
      </c>
      <c r="CRP103" s="13">
        <v>0.1</v>
      </c>
      <c r="CRQ103" s="13">
        <v>0.1</v>
      </c>
      <c r="CRR103" s="13">
        <v>0.1</v>
      </c>
      <c r="CRS103" s="13">
        <v>0.1</v>
      </c>
      <c r="CRT103" s="13">
        <v>0.1</v>
      </c>
      <c r="CRU103" s="13">
        <v>0.1</v>
      </c>
      <c r="CRV103" s="13">
        <v>0.1</v>
      </c>
      <c r="CRW103" s="13">
        <v>0.1</v>
      </c>
      <c r="CRX103" s="13">
        <v>0.1</v>
      </c>
      <c r="CRY103" s="13">
        <v>0.1</v>
      </c>
      <c r="CRZ103" s="13">
        <v>0.1</v>
      </c>
      <c r="CSA103" s="13">
        <v>0.1</v>
      </c>
      <c r="CSB103" s="13">
        <v>0.1</v>
      </c>
      <c r="CSC103" s="13">
        <v>0.1</v>
      </c>
      <c r="CSD103" s="13">
        <v>0.1</v>
      </c>
      <c r="CSE103" s="13">
        <v>0.1</v>
      </c>
      <c r="CSF103" s="13">
        <v>0.1</v>
      </c>
      <c r="CSG103" s="13">
        <v>0.1</v>
      </c>
      <c r="CSH103" s="13">
        <v>0.1</v>
      </c>
      <c r="CSI103" s="13">
        <v>0.1</v>
      </c>
      <c r="CSJ103" s="13">
        <v>0.1</v>
      </c>
      <c r="CSK103" s="13">
        <v>0.1</v>
      </c>
      <c r="CSL103" s="13">
        <v>0.1</v>
      </c>
      <c r="CSM103" s="13">
        <v>0.1</v>
      </c>
      <c r="CSN103" s="13">
        <v>0.1</v>
      </c>
      <c r="CSO103" s="13">
        <v>0.1</v>
      </c>
      <c r="CSP103" s="13">
        <v>0.1</v>
      </c>
      <c r="CSQ103" s="13">
        <v>0.1</v>
      </c>
      <c r="CSR103" s="13">
        <v>0.1</v>
      </c>
      <c r="CSS103" s="13">
        <v>0.1</v>
      </c>
      <c r="CST103" s="13">
        <v>0.1</v>
      </c>
      <c r="CSU103" s="13">
        <v>0.1</v>
      </c>
      <c r="CSV103" s="13">
        <v>0.1</v>
      </c>
      <c r="CSW103" s="13">
        <v>0.1</v>
      </c>
      <c r="CSX103" s="13">
        <v>0.1</v>
      </c>
      <c r="CSY103" s="13">
        <v>0.1</v>
      </c>
      <c r="CSZ103" s="13">
        <v>0.1</v>
      </c>
      <c r="CTA103" s="13">
        <v>0.1</v>
      </c>
      <c r="CTB103" s="13">
        <v>0.1</v>
      </c>
      <c r="CTC103" s="13">
        <v>0.1</v>
      </c>
      <c r="CTD103" s="13">
        <v>0.1</v>
      </c>
      <c r="CTE103" s="13">
        <v>0.1</v>
      </c>
      <c r="CTF103" s="13">
        <v>0.1</v>
      </c>
      <c r="CTG103" s="13">
        <v>0.1</v>
      </c>
      <c r="CTH103" s="13">
        <v>0.1</v>
      </c>
      <c r="CTI103" s="13">
        <v>0.1</v>
      </c>
      <c r="CTJ103" s="13">
        <v>0.1</v>
      </c>
      <c r="CTK103" s="13">
        <v>0.1</v>
      </c>
      <c r="CTL103" s="13">
        <v>0.1</v>
      </c>
      <c r="CTM103" s="13">
        <v>0.1</v>
      </c>
      <c r="CTN103" s="13">
        <v>0.1</v>
      </c>
      <c r="CTO103" s="13">
        <v>0.1</v>
      </c>
      <c r="CTP103" s="13">
        <v>0.1</v>
      </c>
      <c r="CTQ103" s="13">
        <v>0.1</v>
      </c>
      <c r="CTR103" s="13">
        <v>0.1</v>
      </c>
      <c r="CTS103" s="13">
        <v>0.1</v>
      </c>
      <c r="CTT103" s="13">
        <v>0.1</v>
      </c>
      <c r="CTU103" s="13">
        <v>0.1</v>
      </c>
      <c r="CTV103" s="13">
        <v>0.1</v>
      </c>
      <c r="CTW103" s="13">
        <v>0.1</v>
      </c>
      <c r="CTX103" s="13">
        <v>0.1</v>
      </c>
      <c r="CTY103" s="13">
        <v>0.1</v>
      </c>
      <c r="CTZ103" s="13">
        <v>0.1</v>
      </c>
      <c r="CUA103" s="13">
        <v>0.1</v>
      </c>
      <c r="CUB103" s="13">
        <v>0.1</v>
      </c>
      <c r="CUC103" s="13">
        <v>0.1</v>
      </c>
      <c r="CUD103" s="13">
        <v>0.1</v>
      </c>
      <c r="CUE103" s="13">
        <v>0.1</v>
      </c>
      <c r="CUF103" s="13">
        <v>0.1</v>
      </c>
      <c r="CUG103" s="13">
        <v>0.1</v>
      </c>
      <c r="CUH103" s="13">
        <v>0.1</v>
      </c>
      <c r="CUI103" s="13">
        <v>0.1</v>
      </c>
      <c r="CUJ103" s="13">
        <v>0.1</v>
      </c>
      <c r="CUK103" s="13">
        <v>0.1</v>
      </c>
      <c r="CUL103" s="13">
        <v>0.1</v>
      </c>
      <c r="CUM103" s="13">
        <v>0.1</v>
      </c>
      <c r="CUN103" s="13">
        <v>0.1</v>
      </c>
      <c r="CUO103" s="13">
        <v>0.1</v>
      </c>
      <c r="CUP103" s="13">
        <v>0.1</v>
      </c>
      <c r="CUQ103" s="13">
        <v>0.1</v>
      </c>
      <c r="CUR103" s="13">
        <v>0.1</v>
      </c>
      <c r="CUS103" s="13">
        <v>0.1</v>
      </c>
      <c r="CUT103" s="13">
        <v>0.1</v>
      </c>
      <c r="CUU103" s="13">
        <v>0.1</v>
      </c>
      <c r="CUV103" s="13">
        <v>0.1</v>
      </c>
      <c r="CUW103" s="13">
        <v>0.1</v>
      </c>
      <c r="CUX103" s="13">
        <v>0.1</v>
      </c>
      <c r="CUY103" s="13">
        <v>0.1</v>
      </c>
      <c r="CUZ103" s="13">
        <v>0.1</v>
      </c>
      <c r="CVA103" s="13">
        <v>0.1</v>
      </c>
      <c r="CVB103" s="13">
        <v>0.1</v>
      </c>
      <c r="CVC103" s="13">
        <v>0.1</v>
      </c>
      <c r="CVD103" s="13">
        <v>0.1</v>
      </c>
      <c r="CVE103" s="13">
        <v>0.1</v>
      </c>
      <c r="CVF103" s="13">
        <v>0.1</v>
      </c>
      <c r="CVG103" s="13">
        <v>0.1</v>
      </c>
      <c r="CVH103" s="13">
        <v>0.1</v>
      </c>
      <c r="CVI103" s="13">
        <v>0.1</v>
      </c>
      <c r="CVJ103" s="13">
        <v>0.1</v>
      </c>
      <c r="CVK103" s="13">
        <v>0.1</v>
      </c>
      <c r="CVL103" s="13">
        <v>0.1</v>
      </c>
      <c r="CVM103" s="13">
        <v>0.1</v>
      </c>
      <c r="CVN103" s="13">
        <v>0.1</v>
      </c>
      <c r="CVO103" s="13">
        <v>0.1</v>
      </c>
      <c r="CVP103" s="13">
        <v>0.1</v>
      </c>
      <c r="CVQ103" s="13">
        <v>0.1</v>
      </c>
      <c r="CVR103" s="13">
        <v>0.1</v>
      </c>
      <c r="CVS103" s="13">
        <v>0.1</v>
      </c>
      <c r="CVT103" s="13">
        <v>0.1</v>
      </c>
      <c r="CVU103" s="13">
        <v>0.1</v>
      </c>
      <c r="CVV103" s="13">
        <v>0.1</v>
      </c>
      <c r="CVW103" s="13">
        <v>0.1</v>
      </c>
      <c r="CVX103" s="13">
        <v>0.1</v>
      </c>
      <c r="CVY103" s="13">
        <v>0.1</v>
      </c>
      <c r="CVZ103" s="13">
        <v>0.1</v>
      </c>
      <c r="CWA103" s="13">
        <v>0.1</v>
      </c>
      <c r="CWB103" s="13">
        <v>0.1</v>
      </c>
      <c r="CWC103" s="13">
        <v>0.1</v>
      </c>
      <c r="CWD103" s="13">
        <v>0.1</v>
      </c>
      <c r="CWE103" s="13">
        <v>0.1</v>
      </c>
      <c r="CWF103" s="13">
        <v>0.1</v>
      </c>
      <c r="CWG103" s="13">
        <v>0.1</v>
      </c>
      <c r="CWH103" s="13">
        <v>0.1</v>
      </c>
      <c r="CWI103" s="13">
        <v>0.1</v>
      </c>
      <c r="CWJ103" s="13">
        <v>0.1</v>
      </c>
      <c r="CWK103" s="13">
        <v>0.1</v>
      </c>
      <c r="CWL103" s="13">
        <v>0.1</v>
      </c>
      <c r="CWM103" s="13">
        <v>0.1</v>
      </c>
      <c r="CWN103" s="13">
        <v>0.1</v>
      </c>
      <c r="CWO103" s="13">
        <v>0.1</v>
      </c>
      <c r="CWP103" s="13">
        <v>0.1</v>
      </c>
      <c r="CWQ103" s="13">
        <v>0.1</v>
      </c>
      <c r="CWR103" s="13">
        <v>0.1</v>
      </c>
      <c r="CWS103" s="13">
        <v>0.1</v>
      </c>
      <c r="CWT103" s="13">
        <v>0.1</v>
      </c>
      <c r="CWU103" s="13">
        <v>0.1</v>
      </c>
      <c r="CWV103" s="13">
        <v>0.1</v>
      </c>
      <c r="CWW103" s="13">
        <v>0.1</v>
      </c>
      <c r="CWX103" s="13">
        <v>0.1</v>
      </c>
      <c r="CWY103" s="13">
        <v>0.1</v>
      </c>
      <c r="CWZ103" s="13">
        <v>0.1</v>
      </c>
      <c r="CXA103" s="13">
        <v>0.1</v>
      </c>
      <c r="CXB103" s="13">
        <v>0.1</v>
      </c>
      <c r="CXC103" s="13">
        <v>0.1</v>
      </c>
      <c r="CXD103" s="13">
        <v>0.1</v>
      </c>
      <c r="CXE103" s="13">
        <v>0.1</v>
      </c>
      <c r="CXF103" s="13">
        <v>0.1</v>
      </c>
      <c r="CXG103" s="13">
        <v>0.1</v>
      </c>
      <c r="CXH103" s="13">
        <v>0.1</v>
      </c>
      <c r="CXI103" s="13">
        <v>0.1</v>
      </c>
      <c r="CXJ103" s="13">
        <v>0.1</v>
      </c>
      <c r="CXK103" s="13">
        <v>0.1</v>
      </c>
      <c r="CXL103" s="13">
        <v>0.1</v>
      </c>
      <c r="CXM103" s="13">
        <v>0.1</v>
      </c>
      <c r="CXN103" s="13">
        <v>0.1</v>
      </c>
      <c r="CXO103" s="13">
        <v>0.1</v>
      </c>
      <c r="CXP103" s="13">
        <v>0.1</v>
      </c>
      <c r="CXQ103" s="13">
        <v>0.1</v>
      </c>
      <c r="CXR103" s="13">
        <v>0.1</v>
      </c>
      <c r="CXS103" s="13">
        <v>0.1</v>
      </c>
      <c r="CXT103" s="13">
        <v>0.1</v>
      </c>
      <c r="CXU103" s="13">
        <v>0.1</v>
      </c>
      <c r="CXV103" s="13">
        <v>0.1</v>
      </c>
      <c r="CXW103" s="13">
        <v>0.1</v>
      </c>
      <c r="CXX103" s="13">
        <v>0.1</v>
      </c>
      <c r="CXY103" s="13">
        <v>0.1</v>
      </c>
      <c r="CXZ103" s="13">
        <v>0.1</v>
      </c>
      <c r="CYA103" s="13">
        <v>0.1</v>
      </c>
      <c r="CYB103" s="13">
        <v>0.1</v>
      </c>
      <c r="CYC103" s="13">
        <v>0.1</v>
      </c>
      <c r="CYD103" s="13">
        <v>0.1</v>
      </c>
      <c r="CYE103" s="13">
        <v>0.1</v>
      </c>
      <c r="CYF103" s="13">
        <v>0.1</v>
      </c>
      <c r="CYG103" s="13">
        <v>0.1</v>
      </c>
      <c r="CYH103" s="13">
        <v>0.1</v>
      </c>
      <c r="CYI103" s="13">
        <v>0.1</v>
      </c>
      <c r="CYJ103" s="13">
        <v>0.1</v>
      </c>
      <c r="CYK103" s="13">
        <v>0.1</v>
      </c>
      <c r="CYL103" s="13">
        <v>0.1</v>
      </c>
      <c r="CYM103" s="13">
        <v>0.1</v>
      </c>
      <c r="CYN103" s="13">
        <v>0.1</v>
      </c>
      <c r="CYO103" s="13">
        <v>0.1</v>
      </c>
      <c r="CYP103" s="13">
        <v>0.1</v>
      </c>
      <c r="CYQ103" s="13">
        <v>0.1</v>
      </c>
      <c r="CYR103" s="13">
        <v>0.1</v>
      </c>
      <c r="CYS103" s="13">
        <v>0.1</v>
      </c>
      <c r="CYT103" s="13">
        <v>0.1</v>
      </c>
      <c r="CYU103" s="13">
        <v>0.1</v>
      </c>
      <c r="CYV103" s="13">
        <v>0.1</v>
      </c>
      <c r="CYW103" s="13">
        <v>0.1</v>
      </c>
      <c r="CYX103" s="13">
        <v>0.1</v>
      </c>
      <c r="CYY103" s="13">
        <v>0.1</v>
      </c>
      <c r="CYZ103" s="13">
        <v>0.1</v>
      </c>
      <c r="CZA103" s="13">
        <v>0.1</v>
      </c>
      <c r="CZB103" s="13">
        <v>0.1</v>
      </c>
      <c r="CZC103" s="13">
        <v>0.1</v>
      </c>
      <c r="CZD103" s="13">
        <v>0.1</v>
      </c>
      <c r="CZE103" s="13">
        <v>0.1</v>
      </c>
      <c r="CZF103" s="13">
        <v>0.1</v>
      </c>
      <c r="CZG103" s="13">
        <v>0.1</v>
      </c>
      <c r="CZH103" s="13">
        <v>0.1</v>
      </c>
      <c r="CZI103" s="13">
        <v>0.1</v>
      </c>
      <c r="CZJ103" s="13">
        <v>0.1</v>
      </c>
      <c r="CZK103" s="13">
        <v>0.1</v>
      </c>
      <c r="CZL103" s="13">
        <v>0.1</v>
      </c>
      <c r="CZM103" s="13">
        <v>0.1</v>
      </c>
      <c r="CZN103" s="13">
        <v>0.1</v>
      </c>
      <c r="CZO103" s="13">
        <v>0.1</v>
      </c>
      <c r="CZP103" s="13">
        <v>0.1</v>
      </c>
      <c r="CZQ103" s="13">
        <v>0.1</v>
      </c>
      <c r="CZR103" s="13">
        <v>0.1</v>
      </c>
      <c r="CZS103" s="13">
        <v>0.1</v>
      </c>
      <c r="CZT103" s="13">
        <v>0.1</v>
      </c>
      <c r="CZU103" s="13">
        <v>0.1</v>
      </c>
      <c r="CZV103" s="13">
        <v>0.1</v>
      </c>
      <c r="CZW103" s="13">
        <v>0.1</v>
      </c>
      <c r="CZX103" s="13">
        <v>0.1</v>
      </c>
      <c r="CZY103" s="13">
        <v>0.1</v>
      </c>
      <c r="CZZ103" s="13">
        <v>0.1</v>
      </c>
      <c r="DAA103" s="13">
        <v>0.1</v>
      </c>
      <c r="DAB103" s="13">
        <v>0.1</v>
      </c>
      <c r="DAC103" s="13">
        <v>0.1</v>
      </c>
      <c r="DAD103" s="13">
        <v>0.1</v>
      </c>
      <c r="DAE103" s="13">
        <v>0.1</v>
      </c>
      <c r="DAF103" s="13">
        <v>0.1</v>
      </c>
      <c r="DAG103" s="13">
        <v>0.1</v>
      </c>
      <c r="DAH103" s="13">
        <v>0.1</v>
      </c>
      <c r="DAI103" s="13">
        <v>0.1</v>
      </c>
      <c r="DAJ103" s="13">
        <v>0.1</v>
      </c>
      <c r="DAK103" s="13">
        <v>0.1</v>
      </c>
      <c r="DAL103" s="13">
        <v>0.1</v>
      </c>
      <c r="DAM103" s="13">
        <v>0.1</v>
      </c>
      <c r="DAN103" s="13">
        <v>0.1</v>
      </c>
      <c r="DAO103" s="13">
        <v>0.1</v>
      </c>
      <c r="DAP103" s="13">
        <v>0.1</v>
      </c>
      <c r="DAQ103" s="13">
        <v>0.1</v>
      </c>
      <c r="DAR103" s="13">
        <v>0.1</v>
      </c>
      <c r="DAS103" s="13">
        <v>0.1</v>
      </c>
      <c r="DAT103" s="13">
        <v>0.1</v>
      </c>
      <c r="DAU103" s="13">
        <v>0.1</v>
      </c>
      <c r="DAV103" s="13">
        <v>0.1</v>
      </c>
      <c r="DAW103" s="13">
        <v>0.1</v>
      </c>
      <c r="DAX103" s="13">
        <v>0.1</v>
      </c>
      <c r="DAY103" s="13">
        <v>0.1</v>
      </c>
      <c r="DAZ103" s="13">
        <v>0.1</v>
      </c>
      <c r="DBA103" s="13">
        <v>0.1</v>
      </c>
      <c r="DBB103" s="13">
        <v>0.1</v>
      </c>
      <c r="DBC103" s="13">
        <v>0.1</v>
      </c>
      <c r="DBD103" s="13">
        <v>0.1</v>
      </c>
      <c r="DBE103" s="13">
        <v>0.1</v>
      </c>
      <c r="DBF103" s="13">
        <v>0.1</v>
      </c>
      <c r="DBG103" s="13">
        <v>0.1</v>
      </c>
      <c r="DBH103" s="13">
        <v>0.1</v>
      </c>
      <c r="DBI103" s="13">
        <v>0.1</v>
      </c>
      <c r="DBJ103" s="13">
        <v>0.1</v>
      </c>
      <c r="DBK103" s="13">
        <v>0.1</v>
      </c>
      <c r="DBL103" s="13">
        <v>0.1</v>
      </c>
      <c r="DBM103" s="13">
        <v>0.1</v>
      </c>
      <c r="DBN103" s="13">
        <v>0.1</v>
      </c>
      <c r="DBO103" s="13">
        <v>0.1</v>
      </c>
      <c r="DBP103" s="13">
        <v>0.1</v>
      </c>
      <c r="DBQ103" s="13">
        <v>0.1</v>
      </c>
      <c r="DBR103" s="13">
        <v>0.1</v>
      </c>
      <c r="DBS103" s="13">
        <v>0.1</v>
      </c>
      <c r="DBT103" s="13">
        <v>0.1</v>
      </c>
      <c r="DBU103" s="13">
        <v>0.1</v>
      </c>
      <c r="DBV103" s="13">
        <v>0.1</v>
      </c>
      <c r="DBW103" s="13">
        <v>0.1</v>
      </c>
      <c r="DBX103" s="13">
        <v>0.1</v>
      </c>
      <c r="DBY103" s="13">
        <v>0.1</v>
      </c>
      <c r="DBZ103" s="13">
        <v>0.1</v>
      </c>
      <c r="DCA103" s="13">
        <v>0.1</v>
      </c>
      <c r="DCB103" s="13">
        <v>0.1</v>
      </c>
      <c r="DCC103" s="13">
        <v>0.1</v>
      </c>
      <c r="DCD103" s="13">
        <v>0.1</v>
      </c>
      <c r="DCE103" s="13">
        <v>0.1</v>
      </c>
      <c r="DCF103" s="13">
        <v>0.1</v>
      </c>
      <c r="DCG103" s="13">
        <v>0.1</v>
      </c>
      <c r="DCH103" s="13">
        <v>0.1</v>
      </c>
      <c r="DCI103" s="13">
        <v>0.1</v>
      </c>
      <c r="DCJ103" s="13">
        <v>0.1</v>
      </c>
      <c r="DCK103" s="13">
        <v>0.1</v>
      </c>
      <c r="DCL103" s="13">
        <v>0.1</v>
      </c>
      <c r="DCM103" s="13">
        <v>0.1</v>
      </c>
      <c r="DCN103" s="13">
        <v>0.1</v>
      </c>
      <c r="DCO103" s="13">
        <v>0.1</v>
      </c>
      <c r="DCP103" s="13">
        <v>0.1</v>
      </c>
      <c r="DCQ103" s="13">
        <v>0.1</v>
      </c>
      <c r="DCR103" s="13">
        <v>0.1</v>
      </c>
      <c r="DCS103" s="13">
        <v>0.1</v>
      </c>
      <c r="DCT103" s="13">
        <v>0.1</v>
      </c>
      <c r="DCU103" s="13">
        <v>0.1</v>
      </c>
      <c r="DCV103" s="13">
        <v>0.1</v>
      </c>
      <c r="DCW103" s="13">
        <v>0.1</v>
      </c>
      <c r="DCX103" s="13">
        <v>0.1</v>
      </c>
      <c r="DCY103" s="13">
        <v>0.1</v>
      </c>
      <c r="DCZ103" s="13">
        <v>0.1</v>
      </c>
      <c r="DDA103" s="13">
        <v>0.1</v>
      </c>
      <c r="DDB103" s="13">
        <v>0.1</v>
      </c>
      <c r="DDC103" s="13">
        <v>0.1</v>
      </c>
      <c r="DDD103" s="13">
        <v>0.1</v>
      </c>
      <c r="DDE103" s="13">
        <v>0.1</v>
      </c>
      <c r="DDF103" s="13">
        <v>0.1</v>
      </c>
      <c r="DDG103" s="13">
        <v>0.1</v>
      </c>
      <c r="DDH103" s="13">
        <v>0.1</v>
      </c>
      <c r="DDI103" s="13">
        <v>0.1</v>
      </c>
      <c r="DDJ103" s="13">
        <v>0.1</v>
      </c>
      <c r="DDK103" s="13">
        <v>0.1</v>
      </c>
      <c r="DDL103" s="13">
        <v>0.1</v>
      </c>
      <c r="DDM103" s="13">
        <v>0.1</v>
      </c>
      <c r="DDN103" s="13">
        <v>0.1</v>
      </c>
      <c r="DDO103" s="13">
        <v>0.1</v>
      </c>
      <c r="DDP103" s="13">
        <v>0.1</v>
      </c>
      <c r="DDQ103" s="13">
        <v>0.1</v>
      </c>
      <c r="DDR103" s="13">
        <v>0.1</v>
      </c>
      <c r="DDS103" s="13">
        <v>0.1</v>
      </c>
      <c r="DDT103" s="13">
        <v>0.1</v>
      </c>
      <c r="DDU103" s="13">
        <v>0.1</v>
      </c>
      <c r="DDV103" s="13">
        <v>0.1</v>
      </c>
      <c r="DDW103" s="13">
        <v>0.1</v>
      </c>
      <c r="DDX103" s="13">
        <v>0.1</v>
      </c>
      <c r="DDY103" s="13">
        <v>0.1</v>
      </c>
      <c r="DDZ103" s="13">
        <v>0.1</v>
      </c>
      <c r="DEA103" s="13">
        <v>0.1</v>
      </c>
      <c r="DEB103" s="13">
        <v>0.1</v>
      </c>
      <c r="DEC103" s="13">
        <v>0.1</v>
      </c>
      <c r="DED103" s="13">
        <v>0.1</v>
      </c>
      <c r="DEE103" s="13">
        <v>0.1</v>
      </c>
      <c r="DEF103" s="13">
        <v>0.1</v>
      </c>
      <c r="DEG103" s="13">
        <v>0.1</v>
      </c>
      <c r="DEH103" s="13">
        <v>0.1</v>
      </c>
      <c r="DEI103" s="13">
        <v>0.1</v>
      </c>
      <c r="DEJ103" s="13">
        <v>0.1</v>
      </c>
      <c r="DEK103" s="13">
        <v>0.1</v>
      </c>
      <c r="DEL103" s="13">
        <v>0.1</v>
      </c>
      <c r="DEM103" s="13">
        <v>0.1</v>
      </c>
      <c r="DEN103" s="13">
        <v>0.1</v>
      </c>
      <c r="DEO103" s="13">
        <v>0.1</v>
      </c>
      <c r="DEP103" s="13">
        <v>0.1</v>
      </c>
      <c r="DEQ103" s="13">
        <v>0.1</v>
      </c>
      <c r="DER103" s="13">
        <v>0.1</v>
      </c>
      <c r="DES103" s="13">
        <v>0.1</v>
      </c>
      <c r="DET103" s="13">
        <v>0.1</v>
      </c>
      <c r="DEU103" s="13">
        <v>0.1</v>
      </c>
      <c r="DEV103" s="13">
        <v>0.1</v>
      </c>
      <c r="DEW103" s="13">
        <v>0.1</v>
      </c>
      <c r="DEX103" s="13">
        <v>0.1</v>
      </c>
      <c r="DEY103" s="13">
        <v>0.1</v>
      </c>
      <c r="DEZ103" s="13">
        <v>0.1</v>
      </c>
      <c r="DFA103" s="13">
        <v>0.1</v>
      </c>
      <c r="DFB103" s="13">
        <v>0.1</v>
      </c>
      <c r="DFC103" s="13">
        <v>0.1</v>
      </c>
      <c r="DFD103" s="13">
        <v>0.1</v>
      </c>
      <c r="DFE103" s="13">
        <v>0.1</v>
      </c>
      <c r="DFF103" s="13">
        <v>0.1</v>
      </c>
      <c r="DFG103" s="13">
        <v>0.1</v>
      </c>
      <c r="DFH103" s="13">
        <v>0.1</v>
      </c>
      <c r="DFI103" s="13">
        <v>0.1</v>
      </c>
      <c r="DFJ103" s="13">
        <v>0.1</v>
      </c>
      <c r="DFK103" s="13">
        <v>0.1</v>
      </c>
      <c r="DFL103" s="13">
        <v>0.1</v>
      </c>
      <c r="DFM103" s="13">
        <v>0.1</v>
      </c>
      <c r="DFN103" s="13">
        <v>0.1</v>
      </c>
      <c r="DFO103" s="13">
        <v>0.1</v>
      </c>
      <c r="DFP103" s="13">
        <v>0.1</v>
      </c>
      <c r="DFQ103" s="13">
        <v>0.1</v>
      </c>
      <c r="DFR103" s="13">
        <v>0.1</v>
      </c>
      <c r="DFS103" s="13">
        <v>0.1</v>
      </c>
      <c r="DFT103" s="13">
        <v>0.1</v>
      </c>
      <c r="DFU103" s="13">
        <v>0.1</v>
      </c>
      <c r="DFV103" s="13">
        <v>0.1</v>
      </c>
      <c r="DFW103" s="13">
        <v>0.1</v>
      </c>
      <c r="DFX103" s="13">
        <v>0.1</v>
      </c>
      <c r="DFY103" s="13">
        <v>0.1</v>
      </c>
      <c r="DFZ103" s="13">
        <v>0.1</v>
      </c>
      <c r="DGA103" s="13">
        <v>0.1</v>
      </c>
      <c r="DGB103" s="13">
        <v>0.1</v>
      </c>
      <c r="DGC103" s="13">
        <v>0.1</v>
      </c>
      <c r="DGD103" s="13">
        <v>0.1</v>
      </c>
      <c r="DGE103" s="13">
        <v>0.1</v>
      </c>
      <c r="DGF103" s="13">
        <v>0.1</v>
      </c>
      <c r="DGG103" s="13">
        <v>0.1</v>
      </c>
      <c r="DGH103" s="13">
        <v>0.1</v>
      </c>
      <c r="DGI103" s="13">
        <v>0.1</v>
      </c>
      <c r="DGJ103" s="13">
        <v>0.1</v>
      </c>
      <c r="DGK103" s="13">
        <v>0.1</v>
      </c>
      <c r="DGL103" s="13">
        <v>0.1</v>
      </c>
      <c r="DGM103" s="13">
        <v>0.1</v>
      </c>
      <c r="DGN103" s="13">
        <v>0.1</v>
      </c>
      <c r="DGO103" s="13">
        <v>0.1</v>
      </c>
      <c r="DGP103" s="13">
        <v>0.1</v>
      </c>
      <c r="DGQ103" s="13">
        <v>0.1</v>
      </c>
      <c r="DGR103" s="13">
        <v>0.1</v>
      </c>
      <c r="DGS103" s="13">
        <v>0.1</v>
      </c>
      <c r="DGT103" s="13">
        <v>0.1</v>
      </c>
      <c r="DGU103" s="13">
        <v>0.1</v>
      </c>
      <c r="DGV103" s="13">
        <v>0.1</v>
      </c>
      <c r="DGW103" s="13">
        <v>0.1</v>
      </c>
      <c r="DGX103" s="13">
        <v>0.1</v>
      </c>
      <c r="DGY103" s="13">
        <v>0.1</v>
      </c>
      <c r="DGZ103" s="13">
        <v>0.1</v>
      </c>
      <c r="DHA103" s="13">
        <v>0.1</v>
      </c>
      <c r="DHB103" s="13">
        <v>0.1</v>
      </c>
      <c r="DHC103" s="13">
        <v>0.1</v>
      </c>
      <c r="DHD103" s="13">
        <v>0.1</v>
      </c>
      <c r="DHE103" s="13">
        <v>0.1</v>
      </c>
      <c r="DHF103" s="13">
        <v>0.1</v>
      </c>
      <c r="DHG103" s="13">
        <v>0.1</v>
      </c>
      <c r="DHH103" s="13">
        <v>0.1</v>
      </c>
      <c r="DHI103" s="13">
        <v>0.1</v>
      </c>
      <c r="DHJ103" s="13">
        <v>0.1</v>
      </c>
      <c r="DHK103" s="13">
        <v>0.1</v>
      </c>
      <c r="DHL103" s="13">
        <v>0.1</v>
      </c>
      <c r="DHM103" s="13">
        <v>0.1</v>
      </c>
      <c r="DHN103" s="13">
        <v>0.1</v>
      </c>
      <c r="DHO103" s="13">
        <v>0.1</v>
      </c>
      <c r="DHP103" s="13">
        <v>0.1</v>
      </c>
      <c r="DHQ103" s="13">
        <v>0.1</v>
      </c>
      <c r="DHR103" s="13">
        <v>0.1</v>
      </c>
      <c r="DHS103" s="13">
        <v>0.1</v>
      </c>
      <c r="DHT103" s="13">
        <v>0.1</v>
      </c>
      <c r="DHU103" s="13">
        <v>0.1</v>
      </c>
      <c r="DHV103" s="13">
        <v>0.1</v>
      </c>
      <c r="DHW103" s="13">
        <v>0.1</v>
      </c>
      <c r="DHX103" s="13">
        <v>0.1</v>
      </c>
      <c r="DHY103" s="13">
        <v>0.1</v>
      </c>
      <c r="DHZ103" s="13">
        <v>0.1</v>
      </c>
      <c r="DIA103" s="13">
        <v>0.1</v>
      </c>
      <c r="DIB103" s="13">
        <v>0.1</v>
      </c>
      <c r="DIC103" s="13">
        <v>0.1</v>
      </c>
      <c r="DID103" s="13">
        <v>0.1</v>
      </c>
      <c r="DIE103" s="13">
        <v>0.1</v>
      </c>
      <c r="DIF103" s="13">
        <v>0.1</v>
      </c>
      <c r="DIG103" s="13">
        <v>0.1</v>
      </c>
      <c r="DIH103" s="13">
        <v>0.1</v>
      </c>
      <c r="DII103" s="13">
        <v>0.1</v>
      </c>
      <c r="DIJ103" s="13">
        <v>0.1</v>
      </c>
      <c r="DIK103" s="13">
        <v>0.1</v>
      </c>
      <c r="DIL103" s="13">
        <v>0.1</v>
      </c>
      <c r="DIM103" s="13">
        <v>0.1</v>
      </c>
      <c r="DIN103" s="13">
        <v>0.1</v>
      </c>
      <c r="DIO103" s="13">
        <v>0.1</v>
      </c>
      <c r="DIP103" s="13">
        <v>0.1</v>
      </c>
      <c r="DIQ103" s="13">
        <v>0.1</v>
      </c>
      <c r="DIR103" s="13">
        <v>0.1</v>
      </c>
      <c r="DIS103" s="13">
        <v>0.1</v>
      </c>
      <c r="DIT103" s="13">
        <v>0.1</v>
      </c>
      <c r="DIU103" s="13">
        <v>0.1</v>
      </c>
      <c r="DIV103" s="13">
        <v>0.1</v>
      </c>
      <c r="DIW103" s="13">
        <v>0.1</v>
      </c>
      <c r="DIX103" s="13">
        <v>0.1</v>
      </c>
      <c r="DIY103" s="13">
        <v>0.1</v>
      </c>
      <c r="DIZ103" s="13">
        <v>0.1</v>
      </c>
      <c r="DJA103" s="13">
        <v>0.1</v>
      </c>
      <c r="DJB103" s="13">
        <v>0.1</v>
      </c>
      <c r="DJC103" s="13">
        <v>0.1</v>
      </c>
      <c r="DJD103" s="13">
        <v>0.1</v>
      </c>
      <c r="DJE103" s="13">
        <v>0.1</v>
      </c>
      <c r="DJF103" s="13">
        <v>0.1</v>
      </c>
      <c r="DJG103" s="13">
        <v>0.1</v>
      </c>
      <c r="DJH103" s="13">
        <v>0.1</v>
      </c>
      <c r="DJI103" s="13">
        <v>0.1</v>
      </c>
      <c r="DJJ103" s="13">
        <v>0.1</v>
      </c>
      <c r="DJK103" s="13">
        <v>0.1</v>
      </c>
      <c r="DJL103" s="13">
        <v>0.1</v>
      </c>
      <c r="DJM103" s="13">
        <v>0.1</v>
      </c>
      <c r="DJN103" s="13">
        <v>0.1</v>
      </c>
      <c r="DJO103" s="13">
        <v>0.1</v>
      </c>
      <c r="DJP103" s="13">
        <v>0.1</v>
      </c>
      <c r="DJQ103" s="13">
        <v>0.1</v>
      </c>
      <c r="DJR103" s="13">
        <v>0.1</v>
      </c>
      <c r="DJS103" s="13">
        <v>0.1</v>
      </c>
      <c r="DJT103" s="13">
        <v>0.1</v>
      </c>
      <c r="DJU103" s="13">
        <v>0.1</v>
      </c>
      <c r="DJV103" s="13">
        <v>0.1</v>
      </c>
      <c r="DJW103" s="13">
        <v>0.1</v>
      </c>
      <c r="DJX103" s="13">
        <v>0.1</v>
      </c>
      <c r="DJY103" s="13">
        <v>0.1</v>
      </c>
      <c r="DJZ103" s="13">
        <v>0.1</v>
      </c>
      <c r="DKA103" s="13">
        <v>0.1</v>
      </c>
      <c r="DKB103" s="13">
        <v>0.1</v>
      </c>
      <c r="DKC103" s="13">
        <v>0.1</v>
      </c>
      <c r="DKD103" s="13">
        <v>0.1</v>
      </c>
      <c r="DKE103" s="13">
        <v>0.1</v>
      </c>
      <c r="DKF103" s="13">
        <v>0.1</v>
      </c>
      <c r="DKG103" s="13">
        <v>0.1</v>
      </c>
      <c r="DKH103" s="13">
        <v>0.1</v>
      </c>
      <c r="DKI103" s="13">
        <v>0.1</v>
      </c>
      <c r="DKJ103" s="13">
        <v>0.1</v>
      </c>
      <c r="DKK103" s="13">
        <v>0.1</v>
      </c>
      <c r="DKL103" s="13">
        <v>0.1</v>
      </c>
      <c r="DKM103" s="13">
        <v>0.1</v>
      </c>
      <c r="DKN103" s="13">
        <v>0.1</v>
      </c>
      <c r="DKO103" s="13">
        <v>0.1</v>
      </c>
      <c r="DKP103" s="13">
        <v>0.1</v>
      </c>
      <c r="DKQ103" s="13">
        <v>0.1</v>
      </c>
      <c r="DKR103" s="13">
        <v>0.1</v>
      </c>
      <c r="DKS103" s="13">
        <v>0.1</v>
      </c>
      <c r="DKT103" s="13">
        <v>0.1</v>
      </c>
      <c r="DKU103" s="13">
        <v>0.1</v>
      </c>
      <c r="DKV103" s="13">
        <v>0.1</v>
      </c>
      <c r="DKW103" s="13">
        <v>0.1</v>
      </c>
      <c r="DKX103" s="13">
        <v>0.1</v>
      </c>
      <c r="DKY103" s="13">
        <v>0.1</v>
      </c>
      <c r="DKZ103" s="13">
        <v>0.1</v>
      </c>
      <c r="DLA103" s="13">
        <v>0.1</v>
      </c>
      <c r="DLB103" s="13">
        <v>0.1</v>
      </c>
      <c r="DLC103" s="13">
        <v>0.1</v>
      </c>
      <c r="DLD103" s="13">
        <v>0.1</v>
      </c>
      <c r="DLE103" s="13">
        <v>0.1</v>
      </c>
      <c r="DLF103" s="13">
        <v>0.1</v>
      </c>
      <c r="DLG103" s="13">
        <v>0.1</v>
      </c>
      <c r="DLH103" s="13">
        <v>0.1</v>
      </c>
      <c r="DLI103" s="13">
        <v>0.1</v>
      </c>
      <c r="DLJ103" s="13">
        <v>0.1</v>
      </c>
      <c r="DLK103" s="13">
        <v>0.1</v>
      </c>
      <c r="DLL103" s="13">
        <v>0.1</v>
      </c>
      <c r="DLM103" s="13">
        <v>0.1</v>
      </c>
      <c r="DLN103" s="13">
        <v>0.1</v>
      </c>
      <c r="DLO103" s="13">
        <v>0.1</v>
      </c>
      <c r="DLP103" s="13">
        <v>0.1</v>
      </c>
      <c r="DLQ103" s="13">
        <v>0.1</v>
      </c>
      <c r="DLR103" s="13">
        <v>0.1</v>
      </c>
      <c r="DLS103" s="13">
        <v>0.1</v>
      </c>
      <c r="DLT103" s="13">
        <v>0.1</v>
      </c>
      <c r="DLU103" s="13">
        <v>0.1</v>
      </c>
      <c r="DLV103" s="13">
        <v>0.1</v>
      </c>
      <c r="DLW103" s="13">
        <v>0.1</v>
      </c>
      <c r="DLX103" s="13">
        <v>0.1</v>
      </c>
      <c r="DLY103" s="13">
        <v>0.1</v>
      </c>
      <c r="DLZ103" s="13">
        <v>0.1</v>
      </c>
      <c r="DMA103" s="13">
        <v>0.1</v>
      </c>
      <c r="DMB103" s="13">
        <v>0.1</v>
      </c>
      <c r="DMC103" s="13">
        <v>0.1</v>
      </c>
      <c r="DMD103" s="13">
        <v>0.1</v>
      </c>
      <c r="DME103" s="13">
        <v>0.1</v>
      </c>
      <c r="DMF103" s="13">
        <v>0.1</v>
      </c>
      <c r="DMG103" s="13">
        <v>0.1</v>
      </c>
      <c r="DMH103" s="13">
        <v>0.1</v>
      </c>
      <c r="DMI103" s="13">
        <v>0.1</v>
      </c>
      <c r="DMJ103" s="13">
        <v>0.1</v>
      </c>
      <c r="DMK103" s="13">
        <v>0.1</v>
      </c>
      <c r="DML103" s="13">
        <v>0.1</v>
      </c>
      <c r="DMM103" s="13">
        <v>0.1</v>
      </c>
      <c r="DMN103" s="13">
        <v>0.1</v>
      </c>
      <c r="DMO103" s="13">
        <v>0.1</v>
      </c>
      <c r="DMP103" s="13">
        <v>0.1</v>
      </c>
      <c r="DMQ103" s="13">
        <v>0.1</v>
      </c>
      <c r="DMR103" s="13">
        <v>0.1</v>
      </c>
      <c r="DMS103" s="13">
        <v>0.1</v>
      </c>
      <c r="DMT103" s="13">
        <v>0.1</v>
      </c>
      <c r="DMU103" s="13">
        <v>0.1</v>
      </c>
      <c r="DMV103" s="13">
        <v>0.1</v>
      </c>
      <c r="DMW103" s="13">
        <v>0.1</v>
      </c>
      <c r="DMX103" s="13">
        <v>0.1</v>
      </c>
      <c r="DMY103" s="13">
        <v>0.1</v>
      </c>
      <c r="DMZ103" s="13">
        <v>0.1</v>
      </c>
      <c r="DNA103" s="13">
        <v>0.1</v>
      </c>
      <c r="DNB103" s="13">
        <v>0.1</v>
      </c>
      <c r="DNC103" s="13">
        <v>0.1</v>
      </c>
      <c r="DND103" s="13">
        <v>0.1</v>
      </c>
      <c r="DNE103" s="13">
        <v>0.1</v>
      </c>
      <c r="DNF103" s="13">
        <v>0.1</v>
      </c>
      <c r="DNG103" s="13">
        <v>0.1</v>
      </c>
      <c r="DNH103" s="13">
        <v>0.1</v>
      </c>
      <c r="DNI103" s="13">
        <v>0.1</v>
      </c>
      <c r="DNJ103" s="13">
        <v>0.1</v>
      </c>
      <c r="DNK103" s="13">
        <v>0.1</v>
      </c>
      <c r="DNL103" s="13">
        <v>0.1</v>
      </c>
      <c r="DNM103" s="13">
        <v>0.1</v>
      </c>
      <c r="DNN103" s="13">
        <v>0.1</v>
      </c>
      <c r="DNO103" s="13">
        <v>0.1</v>
      </c>
      <c r="DNP103" s="13">
        <v>0.1</v>
      </c>
      <c r="DNQ103" s="13">
        <v>0.1</v>
      </c>
      <c r="DNR103" s="13">
        <v>0.1</v>
      </c>
      <c r="DNS103" s="13">
        <v>0.1</v>
      </c>
      <c r="DNT103" s="13">
        <v>0.1</v>
      </c>
      <c r="DNU103" s="13">
        <v>0.1</v>
      </c>
      <c r="DNV103" s="13">
        <v>0.1</v>
      </c>
      <c r="DNW103" s="13">
        <v>0.1</v>
      </c>
      <c r="DNX103" s="13">
        <v>0.1</v>
      </c>
      <c r="DNY103" s="13">
        <v>0.1</v>
      </c>
      <c r="DNZ103" s="13">
        <v>0.1</v>
      </c>
      <c r="DOA103" s="13">
        <v>0.1</v>
      </c>
      <c r="DOB103" s="13">
        <v>0.1</v>
      </c>
      <c r="DOC103" s="13">
        <v>0.1</v>
      </c>
      <c r="DOD103" s="13">
        <v>0.1</v>
      </c>
      <c r="DOE103" s="13">
        <v>0.1</v>
      </c>
      <c r="DOF103" s="13">
        <v>0.1</v>
      </c>
      <c r="DOG103" s="13">
        <v>0.1</v>
      </c>
      <c r="DOH103" s="13">
        <v>0.1</v>
      </c>
      <c r="DOI103" s="13">
        <v>0.1</v>
      </c>
      <c r="DOJ103" s="13">
        <v>0.1</v>
      </c>
      <c r="DOK103" s="13">
        <v>0.1</v>
      </c>
      <c r="DOL103" s="13">
        <v>0.1</v>
      </c>
      <c r="DOM103" s="13">
        <v>0.1</v>
      </c>
      <c r="DON103" s="13">
        <v>0.1</v>
      </c>
      <c r="DOO103" s="13">
        <v>0.1</v>
      </c>
      <c r="DOP103" s="13">
        <v>0.1</v>
      </c>
      <c r="DOQ103" s="13">
        <v>0.1</v>
      </c>
      <c r="DOR103" s="13">
        <v>0.1</v>
      </c>
      <c r="DOS103" s="13">
        <v>0.1</v>
      </c>
      <c r="DOT103" s="13">
        <v>0.1</v>
      </c>
      <c r="DOU103" s="13">
        <v>0.1</v>
      </c>
      <c r="DOV103" s="13">
        <v>0.1</v>
      </c>
      <c r="DOW103" s="13">
        <v>0.1</v>
      </c>
      <c r="DOX103" s="13">
        <v>0.1</v>
      </c>
      <c r="DOY103" s="13">
        <v>0.1</v>
      </c>
      <c r="DOZ103" s="13">
        <v>0.1</v>
      </c>
      <c r="DPA103" s="13">
        <v>0.1</v>
      </c>
      <c r="DPB103" s="13">
        <v>0.1</v>
      </c>
      <c r="DPC103" s="13">
        <v>0.1</v>
      </c>
      <c r="DPD103" s="13">
        <v>0.1</v>
      </c>
      <c r="DPE103" s="13">
        <v>0.1</v>
      </c>
      <c r="DPF103" s="13">
        <v>0.1</v>
      </c>
      <c r="DPG103" s="13">
        <v>0.1</v>
      </c>
      <c r="DPH103" s="13">
        <v>0.1</v>
      </c>
      <c r="DPI103" s="13">
        <v>0.1</v>
      </c>
      <c r="DPJ103" s="13">
        <v>0.1</v>
      </c>
      <c r="DPK103" s="13">
        <v>0.1</v>
      </c>
      <c r="DPL103" s="13">
        <v>0.1</v>
      </c>
      <c r="DPM103" s="13">
        <v>0.1</v>
      </c>
      <c r="DPN103" s="13">
        <v>0.1</v>
      </c>
      <c r="DPO103" s="13">
        <v>0.1</v>
      </c>
      <c r="DPP103" s="13">
        <v>0.1</v>
      </c>
      <c r="DPQ103" s="13">
        <v>0.1</v>
      </c>
      <c r="DPR103" s="13">
        <v>0.1</v>
      </c>
      <c r="DPS103" s="13">
        <v>0.1</v>
      </c>
      <c r="DPT103" s="13">
        <v>0.1</v>
      </c>
      <c r="DPU103" s="13">
        <v>0.1</v>
      </c>
      <c r="DPV103" s="13">
        <v>0.1</v>
      </c>
      <c r="DPW103" s="13">
        <v>0.1</v>
      </c>
      <c r="DPX103" s="13">
        <v>0.1</v>
      </c>
      <c r="DPY103" s="13">
        <v>0.1</v>
      </c>
      <c r="DPZ103" s="13">
        <v>0.1</v>
      </c>
      <c r="DQA103" s="13">
        <v>0.1</v>
      </c>
      <c r="DQB103" s="13">
        <v>0.1</v>
      </c>
      <c r="DQC103" s="13">
        <v>0.1</v>
      </c>
      <c r="DQD103" s="13">
        <v>0.1</v>
      </c>
      <c r="DQE103" s="13">
        <v>0.1</v>
      </c>
      <c r="DQF103" s="13">
        <v>0.1</v>
      </c>
      <c r="DQG103" s="13">
        <v>0.1</v>
      </c>
      <c r="DQH103" s="13">
        <v>0.1</v>
      </c>
      <c r="DQI103" s="13">
        <v>0.1</v>
      </c>
      <c r="DQJ103" s="13">
        <v>0.1</v>
      </c>
      <c r="DQK103" s="13">
        <v>0.1</v>
      </c>
      <c r="DQL103" s="13">
        <v>0.1</v>
      </c>
      <c r="DQM103" s="13">
        <v>0.1</v>
      </c>
      <c r="DQN103" s="13">
        <v>0.1</v>
      </c>
      <c r="DQO103" s="13">
        <v>0.1</v>
      </c>
      <c r="DQP103" s="13">
        <v>0.1</v>
      </c>
      <c r="DQQ103" s="13">
        <v>0.1</v>
      </c>
      <c r="DQR103" s="13">
        <v>0.1</v>
      </c>
      <c r="DQS103" s="13">
        <v>0.1</v>
      </c>
      <c r="DQT103" s="13">
        <v>0.1</v>
      </c>
      <c r="DQU103" s="13">
        <v>0.1</v>
      </c>
      <c r="DQV103" s="13">
        <v>0.1</v>
      </c>
      <c r="DQW103" s="13">
        <v>0.1</v>
      </c>
      <c r="DQX103" s="13">
        <v>0.1</v>
      </c>
      <c r="DQY103" s="13">
        <v>0.1</v>
      </c>
      <c r="DQZ103" s="13">
        <v>0.1</v>
      </c>
      <c r="DRA103" s="13">
        <v>0.1</v>
      </c>
      <c r="DRB103" s="13">
        <v>0.1</v>
      </c>
      <c r="DRC103" s="13">
        <v>0.1</v>
      </c>
      <c r="DRD103" s="13">
        <v>0.1</v>
      </c>
      <c r="DRE103" s="13">
        <v>0.1</v>
      </c>
      <c r="DRF103" s="13">
        <v>0.1</v>
      </c>
      <c r="DRG103" s="13">
        <v>0.1</v>
      </c>
      <c r="DRH103" s="13">
        <v>0.1</v>
      </c>
      <c r="DRI103" s="13">
        <v>0.1</v>
      </c>
      <c r="DRJ103" s="13">
        <v>0.1</v>
      </c>
      <c r="DRK103" s="13">
        <v>0.1</v>
      </c>
      <c r="DRL103" s="13">
        <v>0.1</v>
      </c>
      <c r="DRM103" s="13">
        <v>0.1</v>
      </c>
      <c r="DRN103" s="13">
        <v>0.1</v>
      </c>
      <c r="DRO103" s="13">
        <v>0.1</v>
      </c>
      <c r="DRP103" s="13">
        <v>0.1</v>
      </c>
      <c r="DRQ103" s="13">
        <v>0.1</v>
      </c>
      <c r="DRR103" s="13">
        <v>0.1</v>
      </c>
      <c r="DRS103" s="13">
        <v>0.1</v>
      </c>
      <c r="DRT103" s="13">
        <v>0.1</v>
      </c>
      <c r="DRU103" s="13">
        <v>0.1</v>
      </c>
      <c r="DRV103" s="13">
        <v>0.1</v>
      </c>
      <c r="DRW103" s="13">
        <v>0.1</v>
      </c>
      <c r="DRX103" s="13">
        <v>0.1</v>
      </c>
      <c r="DRY103" s="13">
        <v>0.1</v>
      </c>
      <c r="DRZ103" s="13">
        <v>0.1</v>
      </c>
      <c r="DSA103" s="13">
        <v>0.1</v>
      </c>
      <c r="DSB103" s="13">
        <v>0.1</v>
      </c>
      <c r="DSC103" s="13">
        <v>0.1</v>
      </c>
      <c r="DSD103" s="13">
        <v>0.1</v>
      </c>
      <c r="DSE103" s="13">
        <v>0.1</v>
      </c>
      <c r="DSF103" s="13">
        <v>0.1</v>
      </c>
      <c r="DSG103" s="13">
        <v>0.1</v>
      </c>
      <c r="DSH103" s="13">
        <v>0.1</v>
      </c>
      <c r="DSI103" s="13">
        <v>0.1</v>
      </c>
      <c r="DSJ103" s="13">
        <v>0.1</v>
      </c>
      <c r="DSK103" s="13">
        <v>0.1</v>
      </c>
      <c r="DSL103" s="13">
        <v>0.1</v>
      </c>
      <c r="DSM103" s="13">
        <v>0.1</v>
      </c>
      <c r="DSN103" s="13">
        <v>0.1</v>
      </c>
      <c r="DSO103" s="13">
        <v>0.1</v>
      </c>
      <c r="DSP103" s="13">
        <v>0.1</v>
      </c>
      <c r="DSQ103" s="13">
        <v>0.1</v>
      </c>
      <c r="DSR103" s="13">
        <v>0.1</v>
      </c>
      <c r="DSS103" s="13">
        <v>0.1</v>
      </c>
      <c r="DST103" s="13">
        <v>0.1</v>
      </c>
      <c r="DSU103" s="13">
        <v>0.1</v>
      </c>
      <c r="DSV103" s="13">
        <v>0.1</v>
      </c>
      <c r="DSW103" s="13">
        <v>0.1</v>
      </c>
      <c r="DSX103" s="13">
        <v>0.1</v>
      </c>
      <c r="DSY103" s="13">
        <v>0.1</v>
      </c>
      <c r="DSZ103" s="13">
        <v>0.1</v>
      </c>
      <c r="DTA103" s="13">
        <v>0.1</v>
      </c>
      <c r="DTB103" s="13">
        <v>0.1</v>
      </c>
      <c r="DTC103" s="13">
        <v>0.1</v>
      </c>
      <c r="DTD103" s="13">
        <v>0.1</v>
      </c>
      <c r="DTE103" s="13">
        <v>0.1</v>
      </c>
      <c r="DTF103" s="13">
        <v>0.1</v>
      </c>
      <c r="DTG103" s="13">
        <v>0.1</v>
      </c>
      <c r="DTH103" s="13">
        <v>0.1</v>
      </c>
      <c r="DTI103" s="13">
        <v>0.1</v>
      </c>
      <c r="DTJ103" s="13">
        <v>0.1</v>
      </c>
      <c r="DTK103" s="13">
        <v>0.1</v>
      </c>
      <c r="DTL103" s="13">
        <v>0.1</v>
      </c>
      <c r="DTM103" s="13">
        <v>0.1</v>
      </c>
      <c r="DTN103" s="13">
        <v>0.1</v>
      </c>
      <c r="DTO103" s="13">
        <v>0.1</v>
      </c>
      <c r="DTP103" s="13">
        <v>0.1</v>
      </c>
      <c r="DTQ103" s="13">
        <v>0.1</v>
      </c>
      <c r="DTR103" s="13">
        <v>0.1</v>
      </c>
      <c r="DTS103" s="13">
        <v>0.1</v>
      </c>
      <c r="DTT103" s="13">
        <v>0.1</v>
      </c>
      <c r="DTU103" s="13">
        <v>0.1</v>
      </c>
      <c r="DTV103" s="13">
        <v>0.1</v>
      </c>
      <c r="DTW103" s="13">
        <v>0.1</v>
      </c>
      <c r="DTX103" s="13">
        <v>0.1</v>
      </c>
      <c r="DTY103" s="13">
        <v>0.1</v>
      </c>
      <c r="DTZ103" s="13">
        <v>0.1</v>
      </c>
      <c r="DUA103" s="13">
        <v>0.1</v>
      </c>
      <c r="DUB103" s="13">
        <v>0.1</v>
      </c>
      <c r="DUC103" s="13">
        <v>0.1</v>
      </c>
      <c r="DUD103" s="13">
        <v>0.1</v>
      </c>
      <c r="DUE103" s="13">
        <v>0.1</v>
      </c>
      <c r="DUF103" s="13">
        <v>0.1</v>
      </c>
      <c r="DUG103" s="13">
        <v>0.1</v>
      </c>
      <c r="DUH103" s="13">
        <v>0.1</v>
      </c>
      <c r="DUI103" s="13">
        <v>0.1</v>
      </c>
      <c r="DUJ103" s="13">
        <v>0.1</v>
      </c>
      <c r="DUK103" s="13">
        <v>0.1</v>
      </c>
      <c r="DUL103" s="13">
        <v>0.1</v>
      </c>
      <c r="DUM103" s="13">
        <v>0.1</v>
      </c>
      <c r="DUN103" s="13">
        <v>0.1</v>
      </c>
      <c r="DUO103" s="13">
        <v>0.1</v>
      </c>
      <c r="DUP103" s="13">
        <v>0.1</v>
      </c>
      <c r="DUQ103" s="13">
        <v>0.1</v>
      </c>
      <c r="DUR103" s="13">
        <v>0.1</v>
      </c>
      <c r="DUS103" s="13">
        <v>0.1</v>
      </c>
      <c r="DUT103" s="13">
        <v>0.1</v>
      </c>
      <c r="DUU103" s="13">
        <v>0.1</v>
      </c>
      <c r="DUV103" s="13">
        <v>0.1</v>
      </c>
      <c r="DUW103" s="13">
        <v>0.1</v>
      </c>
      <c r="DUX103" s="13">
        <v>0.1</v>
      </c>
      <c r="DUY103" s="13">
        <v>0.1</v>
      </c>
      <c r="DUZ103" s="13">
        <v>0.1</v>
      </c>
      <c r="DVA103" s="13">
        <v>0.1</v>
      </c>
      <c r="DVB103" s="13">
        <v>0.1</v>
      </c>
      <c r="DVC103" s="13">
        <v>0.1</v>
      </c>
      <c r="DVD103" s="13">
        <v>0.1</v>
      </c>
      <c r="DVE103" s="13">
        <v>0.1</v>
      </c>
      <c r="DVF103" s="13">
        <v>0.1</v>
      </c>
      <c r="DVG103" s="13">
        <v>0.1</v>
      </c>
      <c r="DVH103" s="13">
        <v>0.1</v>
      </c>
      <c r="DVI103" s="13">
        <v>0.1</v>
      </c>
      <c r="DVJ103" s="13">
        <v>0.1</v>
      </c>
      <c r="DVK103" s="13">
        <v>0.1</v>
      </c>
      <c r="DVL103" s="13">
        <v>0.1</v>
      </c>
      <c r="DVM103" s="13">
        <v>0.1</v>
      </c>
      <c r="DVN103" s="13">
        <v>0.1</v>
      </c>
      <c r="DVO103" s="13">
        <v>0.1</v>
      </c>
      <c r="DVP103" s="13">
        <v>0.1</v>
      </c>
      <c r="DVQ103" s="13">
        <v>0.1</v>
      </c>
      <c r="DVR103" s="13">
        <v>0.1</v>
      </c>
      <c r="DVS103" s="13">
        <v>0.1</v>
      </c>
      <c r="DVT103" s="13">
        <v>0.1</v>
      </c>
      <c r="DVU103" s="13">
        <v>0.1</v>
      </c>
      <c r="DVV103" s="13">
        <v>0.1</v>
      </c>
      <c r="DVW103" s="13">
        <v>0.1</v>
      </c>
      <c r="DVX103" s="13">
        <v>0.1</v>
      </c>
      <c r="DVY103" s="13">
        <v>0.1</v>
      </c>
      <c r="DVZ103" s="13">
        <v>0.1</v>
      </c>
      <c r="DWA103" s="13">
        <v>0.1</v>
      </c>
      <c r="DWB103" s="13">
        <v>0.1</v>
      </c>
      <c r="DWC103" s="13">
        <v>0.1</v>
      </c>
      <c r="DWD103" s="13">
        <v>0.1</v>
      </c>
      <c r="DWE103" s="13">
        <v>0.1</v>
      </c>
      <c r="DWF103" s="13">
        <v>0.1</v>
      </c>
      <c r="DWG103" s="13">
        <v>0.1</v>
      </c>
      <c r="DWH103" s="13">
        <v>0.1</v>
      </c>
      <c r="DWI103" s="13">
        <v>0.1</v>
      </c>
      <c r="DWJ103" s="13">
        <v>0.1</v>
      </c>
      <c r="DWK103" s="13">
        <v>0.1</v>
      </c>
      <c r="DWL103" s="13">
        <v>0.1</v>
      </c>
      <c r="DWM103" s="13">
        <v>0.1</v>
      </c>
      <c r="DWN103" s="13">
        <v>0.1</v>
      </c>
      <c r="DWO103" s="13">
        <v>0.1</v>
      </c>
      <c r="DWP103" s="13">
        <v>0.1</v>
      </c>
      <c r="DWQ103" s="13">
        <v>0.1</v>
      </c>
      <c r="DWR103" s="13">
        <v>0.1</v>
      </c>
      <c r="DWS103" s="13">
        <v>0.1</v>
      </c>
      <c r="DWT103" s="13">
        <v>0.1</v>
      </c>
      <c r="DWU103" s="13">
        <v>0.1</v>
      </c>
      <c r="DWV103" s="13">
        <v>0.1</v>
      </c>
      <c r="DWW103" s="13">
        <v>0.1</v>
      </c>
      <c r="DWX103" s="13">
        <v>0.1</v>
      </c>
      <c r="DWY103" s="13">
        <v>0.1</v>
      </c>
      <c r="DWZ103" s="13">
        <v>0.1</v>
      </c>
      <c r="DXA103" s="13">
        <v>0.1</v>
      </c>
      <c r="DXB103" s="13">
        <v>0.1</v>
      </c>
      <c r="DXC103" s="13">
        <v>0.1</v>
      </c>
      <c r="DXD103" s="13">
        <v>0.1</v>
      </c>
      <c r="DXE103" s="13">
        <v>0.1</v>
      </c>
      <c r="DXF103" s="13">
        <v>0.1</v>
      </c>
      <c r="DXG103" s="13">
        <v>0.1</v>
      </c>
      <c r="DXH103" s="13">
        <v>0.1</v>
      </c>
      <c r="DXI103" s="13">
        <v>0.1</v>
      </c>
      <c r="DXJ103" s="13">
        <v>0.1</v>
      </c>
      <c r="DXK103" s="13">
        <v>0.1</v>
      </c>
      <c r="DXL103" s="13">
        <v>0.1</v>
      </c>
      <c r="DXM103" s="13">
        <v>0.1</v>
      </c>
      <c r="DXN103" s="13">
        <v>0.1</v>
      </c>
      <c r="DXO103" s="13">
        <v>0.1</v>
      </c>
      <c r="DXP103" s="13">
        <v>0.1</v>
      </c>
      <c r="DXQ103" s="13">
        <v>0.1</v>
      </c>
      <c r="DXR103" s="13">
        <v>0.1</v>
      </c>
      <c r="DXS103" s="13">
        <v>0.1</v>
      </c>
      <c r="DXT103" s="13">
        <v>0.1</v>
      </c>
      <c r="DXU103" s="13">
        <v>0.1</v>
      </c>
      <c r="DXV103" s="13">
        <v>0.1</v>
      </c>
      <c r="DXW103" s="13">
        <v>0.1</v>
      </c>
      <c r="DXX103" s="13">
        <v>0.1</v>
      </c>
      <c r="DXY103" s="13">
        <v>0.1</v>
      </c>
      <c r="DXZ103" s="13">
        <v>0.1</v>
      </c>
      <c r="DYA103" s="13">
        <v>0.1</v>
      </c>
      <c r="DYB103" s="13">
        <v>0.1</v>
      </c>
      <c r="DYC103" s="13">
        <v>0.1</v>
      </c>
      <c r="DYD103" s="13">
        <v>0.1</v>
      </c>
      <c r="DYE103" s="13">
        <v>0.1</v>
      </c>
      <c r="DYF103" s="13">
        <v>0.1</v>
      </c>
      <c r="DYG103" s="13">
        <v>0.1</v>
      </c>
      <c r="DYH103" s="13">
        <v>0.1</v>
      </c>
      <c r="DYI103" s="13">
        <v>0.1</v>
      </c>
      <c r="DYJ103" s="13">
        <v>0.1</v>
      </c>
      <c r="DYK103" s="13">
        <v>0.1</v>
      </c>
      <c r="DYL103" s="13">
        <v>0.1</v>
      </c>
      <c r="DYM103" s="13">
        <v>0.1</v>
      </c>
      <c r="DYN103" s="13">
        <v>0.1</v>
      </c>
      <c r="DYO103" s="13">
        <v>0.1</v>
      </c>
      <c r="DYP103" s="13">
        <v>0.1</v>
      </c>
      <c r="DYQ103" s="13">
        <v>0.1</v>
      </c>
      <c r="DYR103" s="13">
        <v>0.1</v>
      </c>
      <c r="DYS103" s="13">
        <v>0.1</v>
      </c>
      <c r="DYT103" s="13">
        <v>0.1</v>
      </c>
      <c r="DYU103" s="13">
        <v>0.1</v>
      </c>
      <c r="DYV103" s="13">
        <v>0.1</v>
      </c>
      <c r="DYW103" s="13">
        <v>0.1</v>
      </c>
      <c r="DYX103" s="13">
        <v>0.1</v>
      </c>
      <c r="DYY103" s="13">
        <v>0.1</v>
      </c>
      <c r="DYZ103" s="13">
        <v>0.1</v>
      </c>
      <c r="DZA103" s="13">
        <v>0.1</v>
      </c>
      <c r="DZB103" s="13">
        <v>0.1</v>
      </c>
      <c r="DZC103" s="13">
        <v>0.1</v>
      </c>
      <c r="DZD103" s="13">
        <v>0.1</v>
      </c>
      <c r="DZE103" s="13">
        <v>0.1</v>
      </c>
      <c r="DZF103" s="13">
        <v>0.1</v>
      </c>
      <c r="DZG103" s="13">
        <v>0.1</v>
      </c>
      <c r="DZH103" s="13">
        <v>0.1</v>
      </c>
      <c r="DZI103" s="13">
        <v>0.1</v>
      </c>
      <c r="DZJ103" s="13">
        <v>0.1</v>
      </c>
      <c r="DZK103" s="13">
        <v>0.1</v>
      </c>
      <c r="DZL103" s="13">
        <v>0.1</v>
      </c>
      <c r="DZM103" s="13">
        <v>0.1</v>
      </c>
      <c r="DZN103" s="13">
        <v>0.1</v>
      </c>
      <c r="DZO103" s="13">
        <v>0.1</v>
      </c>
      <c r="DZP103" s="13">
        <v>0.1</v>
      </c>
      <c r="DZQ103" s="13">
        <v>0.1</v>
      </c>
      <c r="DZR103" s="13">
        <v>0.1</v>
      </c>
      <c r="DZS103" s="13">
        <v>0.1</v>
      </c>
      <c r="DZT103" s="13">
        <v>0.1</v>
      </c>
      <c r="DZU103" s="13">
        <v>0.1</v>
      </c>
      <c r="DZV103" s="13">
        <v>0.1</v>
      </c>
      <c r="DZW103" s="13">
        <v>0.1</v>
      </c>
      <c r="DZX103" s="13">
        <v>0.1</v>
      </c>
      <c r="DZY103" s="13">
        <v>0.1</v>
      </c>
      <c r="DZZ103" s="13">
        <v>0.1</v>
      </c>
      <c r="EAA103" s="13">
        <v>0.1</v>
      </c>
      <c r="EAB103" s="13">
        <v>0.1</v>
      </c>
      <c r="EAC103" s="13">
        <v>0.1</v>
      </c>
      <c r="EAD103" s="13">
        <v>0.1</v>
      </c>
      <c r="EAE103" s="13">
        <v>0.1</v>
      </c>
      <c r="EAF103" s="13">
        <v>0.1</v>
      </c>
      <c r="EAG103" s="13">
        <v>0.1</v>
      </c>
      <c r="EAH103" s="13">
        <v>0.1</v>
      </c>
      <c r="EAI103" s="13">
        <v>0.1</v>
      </c>
      <c r="EAJ103" s="13">
        <v>0.1</v>
      </c>
      <c r="EAK103" s="13">
        <v>0.1</v>
      </c>
      <c r="EAL103" s="13">
        <v>0.1</v>
      </c>
      <c r="EAM103" s="13">
        <v>0.1</v>
      </c>
      <c r="EAN103" s="13">
        <v>0.1</v>
      </c>
      <c r="EAO103" s="13">
        <v>0.1</v>
      </c>
      <c r="EAP103" s="13">
        <v>0.1</v>
      </c>
      <c r="EAQ103" s="13">
        <v>0.1</v>
      </c>
      <c r="EAR103" s="13">
        <v>0.1</v>
      </c>
      <c r="EAS103" s="13">
        <v>0.1</v>
      </c>
      <c r="EAT103" s="13">
        <v>0.1</v>
      </c>
      <c r="EAU103" s="13">
        <v>0.1</v>
      </c>
      <c r="EAV103" s="13">
        <v>0.1</v>
      </c>
      <c r="EAW103" s="13">
        <v>0.1</v>
      </c>
      <c r="EAX103" s="13">
        <v>0.1</v>
      </c>
      <c r="EAY103" s="13">
        <v>0.1</v>
      </c>
      <c r="EAZ103" s="13">
        <v>0.1</v>
      </c>
      <c r="EBA103" s="13">
        <v>0.1</v>
      </c>
      <c r="EBB103" s="13">
        <v>0.1</v>
      </c>
      <c r="EBC103" s="13">
        <v>0.1</v>
      </c>
      <c r="EBD103" s="13">
        <v>0.1</v>
      </c>
      <c r="EBE103" s="13">
        <v>0.1</v>
      </c>
      <c r="EBF103" s="13">
        <v>0.1</v>
      </c>
      <c r="EBG103" s="13">
        <v>0.1</v>
      </c>
      <c r="EBH103" s="13">
        <v>0.1</v>
      </c>
      <c r="EBI103" s="13">
        <v>0.1</v>
      </c>
      <c r="EBJ103" s="13">
        <v>0.1</v>
      </c>
      <c r="EBK103" s="13">
        <v>0.1</v>
      </c>
      <c r="EBL103" s="13">
        <v>0.1</v>
      </c>
      <c r="EBM103" s="13">
        <v>0.1</v>
      </c>
      <c r="EBN103" s="13">
        <v>0.1</v>
      </c>
      <c r="EBO103" s="13">
        <v>0.1</v>
      </c>
      <c r="EBP103" s="13">
        <v>0.1</v>
      </c>
      <c r="EBQ103" s="13">
        <v>0.1</v>
      </c>
      <c r="EBR103" s="13">
        <v>0.1</v>
      </c>
      <c r="EBS103" s="13">
        <v>0.1</v>
      </c>
      <c r="EBT103" s="13">
        <v>0.1</v>
      </c>
      <c r="EBU103" s="13">
        <v>0.1</v>
      </c>
      <c r="EBV103" s="13">
        <v>0.1</v>
      </c>
      <c r="EBW103" s="13">
        <v>0.1</v>
      </c>
      <c r="EBX103" s="13">
        <v>0.1</v>
      </c>
      <c r="EBY103" s="13">
        <v>0.1</v>
      </c>
      <c r="EBZ103" s="13">
        <v>0.1</v>
      </c>
      <c r="ECA103" s="13">
        <v>0.1</v>
      </c>
      <c r="ECB103" s="13">
        <v>0.1</v>
      </c>
      <c r="ECC103" s="13">
        <v>0.1</v>
      </c>
      <c r="ECD103" s="13">
        <v>0.1</v>
      </c>
      <c r="ECE103" s="13">
        <v>0.1</v>
      </c>
      <c r="ECF103" s="13">
        <v>0.1</v>
      </c>
      <c r="ECG103" s="13">
        <v>0.1</v>
      </c>
      <c r="ECH103" s="13">
        <v>0.1</v>
      </c>
      <c r="ECI103" s="13">
        <v>0.1</v>
      </c>
      <c r="ECJ103" s="13">
        <v>0.1</v>
      </c>
      <c r="ECK103" s="13">
        <v>0.1</v>
      </c>
      <c r="ECL103" s="13">
        <v>0.1</v>
      </c>
      <c r="ECM103" s="13">
        <v>0.1</v>
      </c>
      <c r="ECN103" s="13">
        <v>0.1</v>
      </c>
      <c r="ECO103" s="13">
        <v>0.1</v>
      </c>
      <c r="ECP103" s="13">
        <v>0.1</v>
      </c>
      <c r="ECQ103" s="13">
        <v>0.1</v>
      </c>
      <c r="ECR103" s="13">
        <v>0.1</v>
      </c>
      <c r="ECS103" s="13">
        <v>0.1</v>
      </c>
      <c r="ECT103" s="13">
        <v>0.1</v>
      </c>
      <c r="ECU103" s="13">
        <v>0.1</v>
      </c>
      <c r="ECV103" s="13">
        <v>0.1</v>
      </c>
      <c r="ECW103" s="13">
        <v>0.1</v>
      </c>
      <c r="ECX103" s="13">
        <v>0.1</v>
      </c>
      <c r="ECY103" s="13">
        <v>0.1</v>
      </c>
      <c r="ECZ103" s="13">
        <v>0.1</v>
      </c>
      <c r="EDA103" s="13">
        <v>0.1</v>
      </c>
      <c r="EDB103" s="13">
        <v>0.1</v>
      </c>
      <c r="EDC103" s="13">
        <v>0.1</v>
      </c>
      <c r="EDD103" s="13">
        <v>0.1</v>
      </c>
      <c r="EDE103" s="13">
        <v>0.1</v>
      </c>
      <c r="EDF103" s="13">
        <v>0.1</v>
      </c>
      <c r="EDG103" s="13">
        <v>0.1</v>
      </c>
      <c r="EDH103" s="13">
        <v>0.1</v>
      </c>
      <c r="EDI103" s="13">
        <v>0.1</v>
      </c>
      <c r="EDJ103" s="13">
        <v>0.1</v>
      </c>
      <c r="EDK103" s="13">
        <v>0.1</v>
      </c>
      <c r="EDL103" s="13">
        <v>0.1</v>
      </c>
      <c r="EDM103" s="13">
        <v>0.1</v>
      </c>
      <c r="EDN103" s="13">
        <v>0.1</v>
      </c>
      <c r="EDO103" s="13">
        <v>0.1</v>
      </c>
      <c r="EDP103" s="13">
        <v>0.1</v>
      </c>
      <c r="EDQ103" s="13">
        <v>0.1</v>
      </c>
      <c r="EDR103" s="13">
        <v>0.1</v>
      </c>
      <c r="EDS103" s="13">
        <v>0.1</v>
      </c>
      <c r="EDT103" s="13">
        <v>0.1</v>
      </c>
      <c r="EDU103" s="13">
        <v>0.1</v>
      </c>
      <c r="EDV103" s="13">
        <v>0.1</v>
      </c>
      <c r="EDW103" s="13">
        <v>0.1</v>
      </c>
      <c r="EDX103" s="13">
        <v>0.1</v>
      </c>
      <c r="EDY103" s="13">
        <v>0.1</v>
      </c>
      <c r="EDZ103" s="13">
        <v>0.1</v>
      </c>
      <c r="EEA103" s="13">
        <v>0.1</v>
      </c>
      <c r="EEB103" s="13">
        <v>0.1</v>
      </c>
      <c r="EEC103" s="13">
        <v>0.1</v>
      </c>
      <c r="EED103" s="13">
        <v>0.1</v>
      </c>
      <c r="EEE103" s="13">
        <v>0.1</v>
      </c>
      <c r="EEF103" s="13">
        <v>0.1</v>
      </c>
      <c r="EEG103" s="13">
        <v>0.1</v>
      </c>
      <c r="EEH103" s="13">
        <v>0.1</v>
      </c>
      <c r="EEI103" s="13">
        <v>0.1</v>
      </c>
      <c r="EEJ103" s="13">
        <v>0.1</v>
      </c>
      <c r="EEK103" s="13">
        <v>0.1</v>
      </c>
      <c r="EEL103" s="13">
        <v>0.1</v>
      </c>
      <c r="EEM103" s="13">
        <v>0.1</v>
      </c>
      <c r="EEN103" s="13">
        <v>0.1</v>
      </c>
      <c r="EEO103" s="13">
        <v>0.1</v>
      </c>
      <c r="EEP103" s="13">
        <v>0.1</v>
      </c>
      <c r="EEQ103" s="13">
        <v>0.1</v>
      </c>
      <c r="EER103" s="13">
        <v>0.1</v>
      </c>
      <c r="EES103" s="13">
        <v>0.1</v>
      </c>
      <c r="EET103" s="13">
        <v>0.1</v>
      </c>
      <c r="EEU103" s="13">
        <v>0.1</v>
      </c>
      <c r="EEV103" s="13">
        <v>0.1</v>
      </c>
      <c r="EEW103" s="13">
        <v>0.1</v>
      </c>
      <c r="EEX103" s="13">
        <v>0.1</v>
      </c>
      <c r="EEY103" s="13">
        <v>0.1</v>
      </c>
      <c r="EEZ103" s="13">
        <v>0.1</v>
      </c>
      <c r="EFA103" s="13">
        <v>0.1</v>
      </c>
      <c r="EFB103" s="13">
        <v>0.1</v>
      </c>
      <c r="EFC103" s="13">
        <v>0.1</v>
      </c>
      <c r="EFD103" s="13">
        <v>0.1</v>
      </c>
      <c r="EFE103" s="13">
        <v>0.1</v>
      </c>
      <c r="EFF103" s="13">
        <v>0.1</v>
      </c>
      <c r="EFG103" s="13">
        <v>0.1</v>
      </c>
      <c r="EFH103" s="13">
        <v>0.1</v>
      </c>
      <c r="EFI103" s="13">
        <v>0.1</v>
      </c>
      <c r="EFJ103" s="13">
        <v>0.1</v>
      </c>
      <c r="EFK103" s="13">
        <v>0.1</v>
      </c>
      <c r="EFL103" s="13">
        <v>0.1</v>
      </c>
      <c r="EFM103" s="13">
        <v>0.1</v>
      </c>
      <c r="EFN103" s="13">
        <v>0.1</v>
      </c>
      <c r="EFO103" s="13">
        <v>0.1</v>
      </c>
      <c r="EFP103" s="13">
        <v>0.1</v>
      </c>
      <c r="EFQ103" s="13">
        <v>0.1</v>
      </c>
      <c r="EFR103" s="13">
        <v>0.1</v>
      </c>
      <c r="EFS103" s="13">
        <v>0.1</v>
      </c>
      <c r="EFT103" s="13">
        <v>0.1</v>
      </c>
      <c r="EFU103" s="13">
        <v>0.1</v>
      </c>
      <c r="EFV103" s="13">
        <v>0.1</v>
      </c>
      <c r="EFW103" s="13">
        <v>0.1</v>
      </c>
      <c r="EFX103" s="13">
        <v>0.1</v>
      </c>
      <c r="EFY103" s="13">
        <v>0.1</v>
      </c>
      <c r="EFZ103" s="13">
        <v>0.1</v>
      </c>
      <c r="EGA103" s="13">
        <v>0.1</v>
      </c>
      <c r="EGB103" s="13">
        <v>0.1</v>
      </c>
      <c r="EGC103" s="13">
        <v>0.1</v>
      </c>
      <c r="EGD103" s="13">
        <v>0.1</v>
      </c>
      <c r="EGE103" s="13">
        <v>0.1</v>
      </c>
      <c r="EGF103" s="13">
        <v>0.1</v>
      </c>
      <c r="EGG103" s="13">
        <v>0.1</v>
      </c>
      <c r="EGH103" s="13">
        <v>0.1</v>
      </c>
      <c r="EGI103" s="13">
        <v>0.1</v>
      </c>
      <c r="EGJ103" s="13">
        <v>0.1</v>
      </c>
      <c r="EGK103" s="13">
        <v>0.1</v>
      </c>
      <c r="EGL103" s="13">
        <v>0.1</v>
      </c>
      <c r="EGM103" s="13">
        <v>0.1</v>
      </c>
      <c r="EGN103" s="13">
        <v>0.1</v>
      </c>
      <c r="EGO103" s="13">
        <v>0.1</v>
      </c>
      <c r="EGP103" s="13">
        <v>0.1</v>
      </c>
      <c r="EGQ103" s="13">
        <v>0.1</v>
      </c>
      <c r="EGR103" s="13">
        <v>0.1</v>
      </c>
      <c r="EGS103" s="13">
        <v>0.1</v>
      </c>
      <c r="EGT103" s="13">
        <v>0.1</v>
      </c>
      <c r="EGU103" s="13">
        <v>0.1</v>
      </c>
      <c r="EGV103" s="13">
        <v>0.1</v>
      </c>
      <c r="EGW103" s="13">
        <v>0.1</v>
      </c>
      <c r="EGX103" s="13">
        <v>0.1</v>
      </c>
      <c r="EGY103" s="13">
        <v>0.1</v>
      </c>
      <c r="EGZ103" s="13">
        <v>0.1</v>
      </c>
      <c r="EHA103" s="13">
        <v>0.1</v>
      </c>
      <c r="EHB103" s="13">
        <v>0.1</v>
      </c>
      <c r="EHC103" s="13">
        <v>0.1</v>
      </c>
      <c r="EHD103" s="13">
        <v>0.1</v>
      </c>
      <c r="EHE103" s="13">
        <v>0.1</v>
      </c>
      <c r="EHF103" s="13">
        <v>0.1</v>
      </c>
      <c r="EHG103" s="13">
        <v>0.1</v>
      </c>
      <c r="EHH103" s="13">
        <v>0.1</v>
      </c>
      <c r="EHI103" s="13">
        <v>0.1</v>
      </c>
      <c r="EHJ103" s="13">
        <v>0.1</v>
      </c>
      <c r="EHK103" s="13">
        <v>0.1</v>
      </c>
      <c r="EHL103" s="13">
        <v>0.1</v>
      </c>
      <c r="EHM103" s="13">
        <v>0.1</v>
      </c>
      <c r="EHN103" s="13">
        <v>0.1</v>
      </c>
      <c r="EHO103" s="13">
        <v>0.1</v>
      </c>
      <c r="EHP103" s="13">
        <v>0.1</v>
      </c>
      <c r="EHQ103" s="13">
        <v>0.1</v>
      </c>
      <c r="EHR103" s="13">
        <v>0.1</v>
      </c>
      <c r="EHS103" s="13">
        <v>0.1</v>
      </c>
      <c r="EHT103" s="13">
        <v>0.1</v>
      </c>
      <c r="EHU103" s="13">
        <v>0.1</v>
      </c>
      <c r="EHV103" s="13">
        <v>0.1</v>
      </c>
      <c r="EHW103" s="13">
        <v>0.1</v>
      </c>
      <c r="EHX103" s="13">
        <v>0.1</v>
      </c>
      <c r="EHY103" s="13">
        <v>0.1</v>
      </c>
      <c r="EHZ103" s="13">
        <v>0.1</v>
      </c>
      <c r="EIA103" s="13">
        <v>0.1</v>
      </c>
      <c r="EIB103" s="13">
        <v>0.1</v>
      </c>
      <c r="EIC103" s="13">
        <v>0.1</v>
      </c>
      <c r="EID103" s="13">
        <v>0.1</v>
      </c>
      <c r="EIE103" s="13">
        <v>0.1</v>
      </c>
      <c r="EIF103" s="13">
        <v>0.1</v>
      </c>
      <c r="EIG103" s="13">
        <v>0.1</v>
      </c>
      <c r="EIH103" s="13">
        <v>0.1</v>
      </c>
      <c r="EII103" s="13">
        <v>0.1</v>
      </c>
      <c r="EIJ103" s="13">
        <v>0.1</v>
      </c>
      <c r="EIK103" s="13">
        <v>0.1</v>
      </c>
      <c r="EIL103" s="13">
        <v>0.1</v>
      </c>
      <c r="EIM103" s="13">
        <v>0.1</v>
      </c>
      <c r="EIN103" s="13">
        <v>0.1</v>
      </c>
      <c r="EIO103" s="13">
        <v>0.1</v>
      </c>
      <c r="EIP103" s="13">
        <v>0.1</v>
      </c>
      <c r="EIQ103" s="13">
        <v>0.1</v>
      </c>
      <c r="EIR103" s="13">
        <v>0.1</v>
      </c>
      <c r="EIS103" s="13">
        <v>0.1</v>
      </c>
      <c r="EIT103" s="13">
        <v>0.1</v>
      </c>
      <c r="EIU103" s="13">
        <v>0.1</v>
      </c>
      <c r="EIV103" s="13">
        <v>0.1</v>
      </c>
      <c r="EIW103" s="13">
        <v>0.1</v>
      </c>
      <c r="EIX103" s="13">
        <v>0.1</v>
      </c>
      <c r="EIY103" s="13">
        <v>0.1</v>
      </c>
      <c r="EIZ103" s="13">
        <v>0.1</v>
      </c>
      <c r="EJA103" s="13">
        <v>0.1</v>
      </c>
      <c r="EJB103" s="13">
        <v>0.1</v>
      </c>
      <c r="EJC103" s="13">
        <v>0.1</v>
      </c>
      <c r="EJD103" s="13">
        <v>0.1</v>
      </c>
      <c r="EJE103" s="13">
        <v>0.1</v>
      </c>
      <c r="EJF103" s="13">
        <v>0.1</v>
      </c>
      <c r="EJG103" s="13">
        <v>0.1</v>
      </c>
      <c r="EJH103" s="13">
        <v>0.1</v>
      </c>
      <c r="EJI103" s="13">
        <v>0.1</v>
      </c>
      <c r="EJJ103" s="13">
        <v>0.1</v>
      </c>
      <c r="EJK103" s="13">
        <v>0.1</v>
      </c>
      <c r="EJL103" s="13">
        <v>0.1</v>
      </c>
      <c r="EJM103" s="13">
        <v>0.1</v>
      </c>
      <c r="EJN103" s="13">
        <v>0.1</v>
      </c>
      <c r="EJO103" s="13">
        <v>0.1</v>
      </c>
      <c r="EJP103" s="13">
        <v>0.1</v>
      </c>
      <c r="EJQ103" s="13">
        <v>0.1</v>
      </c>
      <c r="EJR103" s="13">
        <v>0.1</v>
      </c>
      <c r="EJS103" s="13">
        <v>0.1</v>
      </c>
      <c r="EJT103" s="13">
        <v>0.1</v>
      </c>
      <c r="EJU103" s="13">
        <v>0.1</v>
      </c>
      <c r="EJV103" s="13">
        <v>0.1</v>
      </c>
      <c r="EJW103" s="13">
        <v>0.1</v>
      </c>
      <c r="EJX103" s="13">
        <v>0.1</v>
      </c>
      <c r="EJY103" s="13">
        <v>0.1</v>
      </c>
      <c r="EJZ103" s="13">
        <v>0.1</v>
      </c>
      <c r="EKA103" s="13">
        <v>0.1</v>
      </c>
      <c r="EKB103" s="13">
        <v>0.1</v>
      </c>
      <c r="EKC103" s="13">
        <v>0.1</v>
      </c>
      <c r="EKD103" s="13">
        <v>0.1</v>
      </c>
      <c r="EKE103" s="13">
        <v>0.1</v>
      </c>
      <c r="EKF103" s="13">
        <v>0.1</v>
      </c>
      <c r="EKG103" s="13">
        <v>0.1</v>
      </c>
      <c r="EKH103" s="13">
        <v>0.1</v>
      </c>
      <c r="EKI103" s="13">
        <v>0.1</v>
      </c>
      <c r="EKJ103" s="13">
        <v>0.1</v>
      </c>
      <c r="EKK103" s="13">
        <v>0.1</v>
      </c>
      <c r="EKL103" s="13">
        <v>0.1</v>
      </c>
      <c r="EKM103" s="13">
        <v>0.1</v>
      </c>
      <c r="EKN103" s="13">
        <v>0.1</v>
      </c>
      <c r="EKO103" s="13">
        <v>0.1</v>
      </c>
      <c r="EKP103" s="13">
        <v>0.1</v>
      </c>
      <c r="EKQ103" s="13">
        <v>0.1</v>
      </c>
      <c r="EKR103" s="13">
        <v>0.1</v>
      </c>
      <c r="EKS103" s="13">
        <v>0.1</v>
      </c>
      <c r="EKT103" s="13">
        <v>0.1</v>
      </c>
      <c r="EKU103" s="13">
        <v>0.1</v>
      </c>
      <c r="EKV103" s="13">
        <v>0.1</v>
      </c>
      <c r="EKW103" s="13">
        <v>0.1</v>
      </c>
      <c r="EKX103" s="13">
        <v>0.1</v>
      </c>
      <c r="EKY103" s="13">
        <v>0.1</v>
      </c>
      <c r="EKZ103" s="13">
        <v>0.1</v>
      </c>
      <c r="ELA103" s="13">
        <v>0.1</v>
      </c>
      <c r="ELB103" s="13">
        <v>0.1</v>
      </c>
      <c r="ELC103" s="13">
        <v>0.1</v>
      </c>
      <c r="ELD103" s="13">
        <v>0.1</v>
      </c>
      <c r="ELE103" s="13">
        <v>0.1</v>
      </c>
      <c r="ELF103" s="13">
        <v>0.1</v>
      </c>
      <c r="ELG103" s="13">
        <v>0.1</v>
      </c>
      <c r="ELH103" s="13">
        <v>0.1</v>
      </c>
      <c r="ELI103" s="13">
        <v>0.1</v>
      </c>
      <c r="ELJ103" s="13">
        <v>0.1</v>
      </c>
      <c r="ELK103" s="13">
        <v>0.1</v>
      </c>
      <c r="ELL103" s="13">
        <v>0.1</v>
      </c>
      <c r="ELM103" s="13">
        <v>0.1</v>
      </c>
      <c r="ELN103" s="13">
        <v>0.1</v>
      </c>
      <c r="ELO103" s="13">
        <v>0.1</v>
      </c>
      <c r="ELP103" s="13">
        <v>0.1</v>
      </c>
      <c r="ELQ103" s="13">
        <v>0.1</v>
      </c>
      <c r="ELR103" s="13">
        <v>0.1</v>
      </c>
      <c r="ELS103" s="13">
        <v>0.1</v>
      </c>
      <c r="ELT103" s="13">
        <v>0.1</v>
      </c>
      <c r="ELU103" s="13">
        <v>0.1</v>
      </c>
      <c r="ELV103" s="13">
        <v>0.1</v>
      </c>
      <c r="ELW103" s="13">
        <v>0.1</v>
      </c>
      <c r="ELX103" s="13">
        <v>0.1</v>
      </c>
      <c r="ELY103" s="13">
        <v>0.1</v>
      </c>
      <c r="ELZ103" s="13">
        <v>0.1</v>
      </c>
      <c r="EMA103" s="13">
        <v>0.1</v>
      </c>
      <c r="EMB103" s="13">
        <v>0.1</v>
      </c>
      <c r="EMC103" s="13">
        <v>0.1</v>
      </c>
      <c r="EMD103" s="13">
        <v>0.1</v>
      </c>
      <c r="EME103" s="13">
        <v>0.1</v>
      </c>
      <c r="EMF103" s="13">
        <v>0.1</v>
      </c>
      <c r="EMG103" s="13">
        <v>0.1</v>
      </c>
      <c r="EMH103" s="13">
        <v>0.1</v>
      </c>
      <c r="EMI103" s="13">
        <v>0.1</v>
      </c>
      <c r="EMJ103" s="13">
        <v>0.1</v>
      </c>
      <c r="EMK103" s="13">
        <v>0.1</v>
      </c>
      <c r="EML103" s="13">
        <v>0.1</v>
      </c>
      <c r="EMM103" s="13">
        <v>0.1</v>
      </c>
      <c r="EMN103" s="13">
        <v>0.1</v>
      </c>
      <c r="EMO103" s="13">
        <v>0.1</v>
      </c>
      <c r="EMP103" s="13">
        <v>0.1</v>
      </c>
      <c r="EMQ103" s="13">
        <v>0.1</v>
      </c>
      <c r="EMR103" s="13">
        <v>0.1</v>
      </c>
      <c r="EMS103" s="13">
        <v>0.1</v>
      </c>
      <c r="EMT103" s="13">
        <v>0.1</v>
      </c>
      <c r="EMU103" s="13">
        <v>0.1</v>
      </c>
      <c r="EMV103" s="13">
        <v>0.1</v>
      </c>
      <c r="EMW103" s="13">
        <v>0.1</v>
      </c>
      <c r="EMX103" s="13">
        <v>0.1</v>
      </c>
      <c r="EMY103" s="13">
        <v>0.1</v>
      </c>
      <c r="EMZ103" s="13">
        <v>0.1</v>
      </c>
      <c r="ENA103" s="13">
        <v>0.1</v>
      </c>
      <c r="ENB103" s="13">
        <v>0.1</v>
      </c>
      <c r="ENC103" s="13">
        <v>0.1</v>
      </c>
      <c r="END103" s="13">
        <v>0.1</v>
      </c>
      <c r="ENE103" s="13">
        <v>0.1</v>
      </c>
      <c r="ENF103" s="13">
        <v>0.1</v>
      </c>
      <c r="ENG103" s="13">
        <v>0.1</v>
      </c>
      <c r="ENH103" s="13">
        <v>0.1</v>
      </c>
      <c r="ENI103" s="13">
        <v>0.1</v>
      </c>
      <c r="ENJ103" s="13">
        <v>0.1</v>
      </c>
      <c r="ENK103" s="13">
        <v>0.1</v>
      </c>
      <c r="ENL103" s="13">
        <v>0.1</v>
      </c>
      <c r="ENM103" s="13">
        <v>0.1</v>
      </c>
      <c r="ENN103" s="13">
        <v>0.1</v>
      </c>
      <c r="ENO103" s="13">
        <v>0.1</v>
      </c>
      <c r="ENP103" s="13">
        <v>0.1</v>
      </c>
      <c r="ENQ103" s="13">
        <v>0.1</v>
      </c>
      <c r="ENR103" s="13">
        <v>0.1</v>
      </c>
      <c r="ENS103" s="13">
        <v>0.1</v>
      </c>
      <c r="ENT103" s="13">
        <v>0.1</v>
      </c>
      <c r="ENU103" s="13">
        <v>0.1</v>
      </c>
      <c r="ENV103" s="13">
        <v>0.1</v>
      </c>
      <c r="ENW103" s="13">
        <v>0.1</v>
      </c>
      <c r="ENX103" s="13">
        <v>0.1</v>
      </c>
      <c r="ENY103" s="13">
        <v>0.1</v>
      </c>
      <c r="ENZ103" s="13">
        <v>0.1</v>
      </c>
      <c r="EOA103" s="13">
        <v>0.1</v>
      </c>
      <c r="EOB103" s="13">
        <v>0.1</v>
      </c>
      <c r="EOC103" s="13">
        <v>0.1</v>
      </c>
      <c r="EOD103" s="13">
        <v>0.1</v>
      </c>
      <c r="EOE103" s="13">
        <v>0.1</v>
      </c>
      <c r="EOF103" s="13">
        <v>0.1</v>
      </c>
      <c r="EOG103" s="13">
        <v>0.1</v>
      </c>
      <c r="EOH103" s="13">
        <v>0.1</v>
      </c>
      <c r="EOI103" s="13">
        <v>0.1</v>
      </c>
      <c r="EOJ103" s="13">
        <v>0.1</v>
      </c>
      <c r="EOK103" s="13">
        <v>0.1</v>
      </c>
      <c r="EOL103" s="13">
        <v>0.1</v>
      </c>
      <c r="EOM103" s="13">
        <v>0.1</v>
      </c>
      <c r="EON103" s="13">
        <v>0.1</v>
      </c>
      <c r="EOO103" s="13">
        <v>0.1</v>
      </c>
      <c r="EOP103" s="13">
        <v>0.1</v>
      </c>
      <c r="EOQ103" s="13">
        <v>0.1</v>
      </c>
      <c r="EOR103" s="13">
        <v>0.1</v>
      </c>
      <c r="EOS103" s="13">
        <v>0.1</v>
      </c>
      <c r="EOT103" s="13">
        <v>0.1</v>
      </c>
      <c r="EOU103" s="13">
        <v>0.1</v>
      </c>
      <c r="EOV103" s="13">
        <v>0.1</v>
      </c>
      <c r="EOW103" s="13">
        <v>0.1</v>
      </c>
      <c r="EOX103" s="13">
        <v>0.1</v>
      </c>
      <c r="EOY103" s="13">
        <v>0.1</v>
      </c>
      <c r="EOZ103" s="13">
        <v>0.1</v>
      </c>
      <c r="EPA103" s="13">
        <v>0.1</v>
      </c>
      <c r="EPB103" s="13">
        <v>0.1</v>
      </c>
      <c r="EPC103" s="13">
        <v>0.1</v>
      </c>
      <c r="EPD103" s="13">
        <v>0.1</v>
      </c>
      <c r="EPE103" s="13">
        <v>0.1</v>
      </c>
      <c r="EPF103" s="13">
        <v>0.1</v>
      </c>
      <c r="EPG103" s="13">
        <v>0.1</v>
      </c>
      <c r="EPH103" s="13">
        <v>0.1</v>
      </c>
      <c r="EPI103" s="13">
        <v>0.1</v>
      </c>
      <c r="EPJ103" s="13">
        <v>0.1</v>
      </c>
      <c r="EPK103" s="13">
        <v>0.1</v>
      </c>
      <c r="EPL103" s="13">
        <v>0.1</v>
      </c>
      <c r="EPM103" s="13">
        <v>0.1</v>
      </c>
      <c r="EPN103" s="13">
        <v>0.1</v>
      </c>
      <c r="EPO103" s="13">
        <v>0.1</v>
      </c>
      <c r="EPP103" s="13">
        <v>0.1</v>
      </c>
      <c r="EPQ103" s="13">
        <v>0.1</v>
      </c>
      <c r="EPR103" s="13">
        <v>0.1</v>
      </c>
      <c r="EPS103" s="13">
        <v>0.1</v>
      </c>
      <c r="EPT103" s="13">
        <v>0.1</v>
      </c>
      <c r="EPU103" s="13">
        <v>0.1</v>
      </c>
      <c r="EPV103" s="13">
        <v>0.1</v>
      </c>
      <c r="EPW103" s="13">
        <v>0.1</v>
      </c>
      <c r="EPX103" s="13">
        <v>0.1</v>
      </c>
      <c r="EPY103" s="13">
        <v>0.1</v>
      </c>
      <c r="EPZ103" s="13">
        <v>0.1</v>
      </c>
      <c r="EQA103" s="13">
        <v>0.1</v>
      </c>
      <c r="EQB103" s="13">
        <v>0.1</v>
      </c>
      <c r="EQC103" s="13">
        <v>0.1</v>
      </c>
      <c r="EQD103" s="13">
        <v>0.1</v>
      </c>
      <c r="EQE103" s="13">
        <v>0.1</v>
      </c>
      <c r="EQF103" s="13">
        <v>0.1</v>
      </c>
      <c r="EQG103" s="13">
        <v>0.1</v>
      </c>
      <c r="EQH103" s="13">
        <v>0.1</v>
      </c>
      <c r="EQI103" s="13">
        <v>0.1</v>
      </c>
      <c r="EQJ103" s="13">
        <v>0.1</v>
      </c>
      <c r="EQK103" s="13">
        <v>0.1</v>
      </c>
      <c r="EQL103" s="13">
        <v>0.1</v>
      </c>
      <c r="EQM103" s="13">
        <v>0.1</v>
      </c>
      <c r="EQN103" s="13">
        <v>0.1</v>
      </c>
      <c r="EQO103" s="13">
        <v>0.1</v>
      </c>
      <c r="EQP103" s="13">
        <v>0.1</v>
      </c>
      <c r="EQQ103" s="13">
        <v>0.1</v>
      </c>
      <c r="EQR103" s="13">
        <v>0.1</v>
      </c>
      <c r="EQS103" s="13">
        <v>0.1</v>
      </c>
      <c r="EQT103" s="13">
        <v>0.1</v>
      </c>
      <c r="EQU103" s="13">
        <v>0.1</v>
      </c>
      <c r="EQV103" s="13">
        <v>0.1</v>
      </c>
      <c r="EQW103" s="13">
        <v>0.1</v>
      </c>
      <c r="EQX103" s="13">
        <v>0.1</v>
      </c>
      <c r="EQY103" s="13">
        <v>0.1</v>
      </c>
      <c r="EQZ103" s="13">
        <v>0.1</v>
      </c>
      <c r="ERA103" s="13">
        <v>0.1</v>
      </c>
      <c r="ERB103" s="13">
        <v>0.1</v>
      </c>
      <c r="ERC103" s="13">
        <v>0.1</v>
      </c>
      <c r="ERD103" s="13">
        <v>0.1</v>
      </c>
      <c r="ERE103" s="13">
        <v>0.1</v>
      </c>
      <c r="ERF103" s="13">
        <v>0.1</v>
      </c>
      <c r="ERG103" s="13">
        <v>0.1</v>
      </c>
      <c r="ERH103" s="13">
        <v>0.1</v>
      </c>
      <c r="ERI103" s="13">
        <v>0.1</v>
      </c>
      <c r="ERJ103" s="13">
        <v>0.1</v>
      </c>
      <c r="ERK103" s="13">
        <v>0.1</v>
      </c>
      <c r="ERL103" s="13">
        <v>0.1</v>
      </c>
      <c r="ERM103" s="13">
        <v>0.1</v>
      </c>
      <c r="ERN103" s="13">
        <v>0.1</v>
      </c>
      <c r="ERO103" s="13">
        <v>0.1</v>
      </c>
      <c r="ERP103" s="13">
        <v>0.1</v>
      </c>
      <c r="ERQ103" s="13">
        <v>0.1</v>
      </c>
      <c r="ERR103" s="13">
        <v>0.1</v>
      </c>
      <c r="ERS103" s="13">
        <v>0.1</v>
      </c>
      <c r="ERT103" s="13">
        <v>0.1</v>
      </c>
      <c r="ERU103" s="13">
        <v>0.1</v>
      </c>
      <c r="ERV103" s="13">
        <v>0.1</v>
      </c>
      <c r="ERW103" s="13">
        <v>0.1</v>
      </c>
      <c r="ERX103" s="13">
        <v>0.1</v>
      </c>
      <c r="ERY103" s="13">
        <v>0.1</v>
      </c>
      <c r="ERZ103" s="13">
        <v>0.1</v>
      </c>
      <c r="ESA103" s="13">
        <v>0.1</v>
      </c>
      <c r="ESB103" s="13">
        <v>0.1</v>
      </c>
      <c r="ESC103" s="13">
        <v>0.1</v>
      </c>
      <c r="ESD103" s="13">
        <v>0.1</v>
      </c>
      <c r="ESE103" s="13">
        <v>0.1</v>
      </c>
      <c r="ESF103" s="13">
        <v>0.1</v>
      </c>
      <c r="ESG103" s="13">
        <v>0.1</v>
      </c>
      <c r="ESH103" s="13">
        <v>0.1</v>
      </c>
      <c r="ESI103" s="13">
        <v>0.1</v>
      </c>
      <c r="ESJ103" s="13">
        <v>0.1</v>
      </c>
      <c r="ESK103" s="13">
        <v>0.1</v>
      </c>
      <c r="ESL103" s="13">
        <v>0.1</v>
      </c>
      <c r="ESM103" s="13">
        <v>0.1</v>
      </c>
      <c r="ESN103" s="13">
        <v>0.1</v>
      </c>
      <c r="ESO103" s="13">
        <v>0.1</v>
      </c>
      <c r="ESP103" s="13">
        <v>0.1</v>
      </c>
      <c r="ESQ103" s="13">
        <v>0.1</v>
      </c>
      <c r="ESR103" s="13">
        <v>0.1</v>
      </c>
      <c r="ESS103" s="13">
        <v>0.1</v>
      </c>
      <c r="EST103" s="13">
        <v>0.1</v>
      </c>
      <c r="ESU103" s="13">
        <v>0.1</v>
      </c>
      <c r="ESV103" s="13">
        <v>0.1</v>
      </c>
      <c r="ESW103" s="13">
        <v>0.1</v>
      </c>
      <c r="ESX103" s="13">
        <v>0.1</v>
      </c>
      <c r="ESY103" s="13">
        <v>0.1</v>
      </c>
      <c r="ESZ103" s="13">
        <v>0.1</v>
      </c>
      <c r="ETA103" s="13">
        <v>0.1</v>
      </c>
      <c r="ETB103" s="13">
        <v>0.1</v>
      </c>
      <c r="ETC103" s="13">
        <v>0.1</v>
      </c>
      <c r="ETD103" s="13">
        <v>0.1</v>
      </c>
      <c r="ETE103" s="13">
        <v>0.1</v>
      </c>
      <c r="ETF103" s="13">
        <v>0.1</v>
      </c>
      <c r="ETG103" s="13">
        <v>0.1</v>
      </c>
      <c r="ETH103" s="13">
        <v>0.1</v>
      </c>
      <c r="ETI103" s="13">
        <v>0.1</v>
      </c>
      <c r="ETJ103" s="13">
        <v>0.1</v>
      </c>
      <c r="ETK103" s="13">
        <v>0.1</v>
      </c>
      <c r="ETL103" s="13">
        <v>0.1</v>
      </c>
      <c r="ETM103" s="13">
        <v>0.1</v>
      </c>
      <c r="ETN103" s="13">
        <v>0.1</v>
      </c>
      <c r="ETO103" s="13">
        <v>0.1</v>
      </c>
      <c r="ETP103" s="13">
        <v>0.1</v>
      </c>
      <c r="ETQ103" s="13">
        <v>0.1</v>
      </c>
      <c r="ETR103" s="13">
        <v>0.1</v>
      </c>
      <c r="ETS103" s="13">
        <v>0.1</v>
      </c>
      <c r="ETT103" s="13">
        <v>0.1</v>
      </c>
      <c r="ETU103" s="13">
        <v>0.1</v>
      </c>
      <c r="ETV103" s="13">
        <v>0.1</v>
      </c>
      <c r="ETW103" s="13">
        <v>0.1</v>
      </c>
      <c r="ETX103" s="13">
        <v>0.1</v>
      </c>
      <c r="ETY103" s="13">
        <v>0.1</v>
      </c>
      <c r="ETZ103" s="13">
        <v>0.1</v>
      </c>
      <c r="EUA103" s="13">
        <v>0.1</v>
      </c>
      <c r="EUB103" s="13">
        <v>0.1</v>
      </c>
      <c r="EUC103" s="13">
        <v>0.1</v>
      </c>
      <c r="EUD103" s="13">
        <v>0.1</v>
      </c>
      <c r="EUE103" s="13">
        <v>0.1</v>
      </c>
      <c r="EUF103" s="13">
        <v>0.1</v>
      </c>
      <c r="EUG103" s="13">
        <v>0.1</v>
      </c>
      <c r="EUH103" s="13">
        <v>0.1</v>
      </c>
      <c r="EUI103" s="13">
        <v>0.1</v>
      </c>
      <c r="EUJ103" s="13">
        <v>0.1</v>
      </c>
      <c r="EUK103" s="13">
        <v>0.1</v>
      </c>
      <c r="EUL103" s="13">
        <v>0.1</v>
      </c>
      <c r="EUM103" s="13">
        <v>0.1</v>
      </c>
      <c r="EUN103" s="13">
        <v>0.1</v>
      </c>
      <c r="EUO103" s="13">
        <v>0.1</v>
      </c>
      <c r="EUP103" s="13">
        <v>0.1</v>
      </c>
      <c r="EUQ103" s="13">
        <v>0.1</v>
      </c>
      <c r="EUR103" s="13">
        <v>0.1</v>
      </c>
      <c r="EUS103" s="13">
        <v>0.1</v>
      </c>
      <c r="EUT103" s="13">
        <v>0.1</v>
      </c>
      <c r="EUU103" s="13">
        <v>0.1</v>
      </c>
      <c r="EUV103" s="13">
        <v>0.1</v>
      </c>
      <c r="EUW103" s="13">
        <v>0.1</v>
      </c>
      <c r="EUX103" s="13">
        <v>0.1</v>
      </c>
      <c r="EUY103" s="13">
        <v>0.1</v>
      </c>
      <c r="EUZ103" s="13">
        <v>0.1</v>
      </c>
      <c r="EVA103" s="13">
        <v>0.1</v>
      </c>
      <c r="EVB103" s="13">
        <v>0.1</v>
      </c>
      <c r="EVC103" s="13">
        <v>0.1</v>
      </c>
      <c r="EVD103" s="13">
        <v>0.1</v>
      </c>
      <c r="EVE103" s="13">
        <v>0.1</v>
      </c>
      <c r="EVF103" s="13">
        <v>0.1</v>
      </c>
      <c r="EVG103" s="13">
        <v>0.1</v>
      </c>
      <c r="EVH103" s="13">
        <v>0.1</v>
      </c>
      <c r="EVI103" s="13">
        <v>0.1</v>
      </c>
      <c r="EVJ103" s="13">
        <v>0.1</v>
      </c>
      <c r="EVK103" s="13">
        <v>0.1</v>
      </c>
      <c r="EVL103" s="13">
        <v>0.1</v>
      </c>
      <c r="EVM103" s="13">
        <v>0.1</v>
      </c>
      <c r="EVN103" s="13">
        <v>0.1</v>
      </c>
      <c r="EVO103" s="13">
        <v>0.1</v>
      </c>
      <c r="EVP103" s="13">
        <v>0.1</v>
      </c>
      <c r="EVQ103" s="13">
        <v>0.1</v>
      </c>
      <c r="EVR103" s="13">
        <v>0.1</v>
      </c>
      <c r="EVS103" s="13">
        <v>0.1</v>
      </c>
      <c r="EVT103" s="13">
        <v>0.1</v>
      </c>
      <c r="EVU103" s="13">
        <v>0.1</v>
      </c>
      <c r="EVV103" s="13">
        <v>0.1</v>
      </c>
      <c r="EVW103" s="13">
        <v>0.1</v>
      </c>
      <c r="EVX103" s="13">
        <v>0.1</v>
      </c>
      <c r="EVY103" s="13">
        <v>0.1</v>
      </c>
      <c r="EVZ103" s="13">
        <v>0.1</v>
      </c>
      <c r="EWA103" s="13">
        <v>0.1</v>
      </c>
      <c r="EWB103" s="13">
        <v>0.1</v>
      </c>
      <c r="EWC103" s="13">
        <v>0.1</v>
      </c>
      <c r="EWD103" s="13">
        <v>0.1</v>
      </c>
      <c r="EWE103" s="13">
        <v>0.1</v>
      </c>
      <c r="EWF103" s="13">
        <v>0.1</v>
      </c>
      <c r="EWG103" s="13">
        <v>0.1</v>
      </c>
      <c r="EWH103" s="13">
        <v>0.1</v>
      </c>
      <c r="EWI103" s="13">
        <v>0.1</v>
      </c>
      <c r="EWJ103" s="13">
        <v>0.1</v>
      </c>
      <c r="EWK103" s="13">
        <v>0.1</v>
      </c>
      <c r="EWL103" s="13">
        <v>0.1</v>
      </c>
      <c r="EWM103" s="13">
        <v>0.1</v>
      </c>
      <c r="EWN103" s="13">
        <v>0.1</v>
      </c>
      <c r="EWO103" s="13">
        <v>0.1</v>
      </c>
      <c r="EWP103" s="13">
        <v>0.1</v>
      </c>
      <c r="EWQ103" s="13">
        <v>0.1</v>
      </c>
      <c r="EWR103" s="13">
        <v>0.1</v>
      </c>
      <c r="EWS103" s="13">
        <v>0.1</v>
      </c>
      <c r="EWT103" s="13">
        <v>0.1</v>
      </c>
      <c r="EWU103" s="13">
        <v>0.1</v>
      </c>
      <c r="EWV103" s="13">
        <v>0.1</v>
      </c>
      <c r="EWW103" s="13">
        <v>0.1</v>
      </c>
      <c r="EWX103" s="13">
        <v>0.1</v>
      </c>
      <c r="EWY103" s="13">
        <v>0.1</v>
      </c>
      <c r="EWZ103" s="13">
        <v>0.1</v>
      </c>
      <c r="EXA103" s="13">
        <v>0.1</v>
      </c>
      <c r="EXB103" s="13">
        <v>0.1</v>
      </c>
      <c r="EXC103" s="13">
        <v>0.1</v>
      </c>
      <c r="EXD103" s="13">
        <v>0.1</v>
      </c>
      <c r="EXE103" s="13">
        <v>0.1</v>
      </c>
      <c r="EXF103" s="13">
        <v>0.1</v>
      </c>
      <c r="EXG103" s="13">
        <v>0.1</v>
      </c>
      <c r="EXH103" s="13">
        <v>0.1</v>
      </c>
      <c r="EXI103" s="13">
        <v>0.1</v>
      </c>
      <c r="EXJ103" s="13">
        <v>0.1</v>
      </c>
      <c r="EXK103" s="13">
        <v>0.1</v>
      </c>
      <c r="EXL103" s="13">
        <v>0.1</v>
      </c>
      <c r="EXM103" s="13">
        <v>0.1</v>
      </c>
      <c r="EXN103" s="13">
        <v>0.1</v>
      </c>
      <c r="EXO103" s="13">
        <v>0.1</v>
      </c>
      <c r="EXP103" s="13">
        <v>0.1</v>
      </c>
      <c r="EXQ103" s="13">
        <v>0.1</v>
      </c>
      <c r="EXR103" s="13">
        <v>0.1</v>
      </c>
      <c r="EXS103" s="13">
        <v>0.1</v>
      </c>
      <c r="EXT103" s="13">
        <v>0.1</v>
      </c>
      <c r="EXU103" s="13">
        <v>0.1</v>
      </c>
      <c r="EXV103" s="13">
        <v>0.1</v>
      </c>
      <c r="EXW103" s="13">
        <v>0.1</v>
      </c>
      <c r="EXX103" s="13">
        <v>0.1</v>
      </c>
      <c r="EXY103" s="13">
        <v>0.1</v>
      </c>
      <c r="EXZ103" s="13">
        <v>0.1</v>
      </c>
      <c r="EYA103" s="13">
        <v>0.1</v>
      </c>
      <c r="EYB103" s="13">
        <v>0.1</v>
      </c>
      <c r="EYC103" s="13">
        <v>0.1</v>
      </c>
      <c r="EYD103" s="13">
        <v>0.1</v>
      </c>
      <c r="EYE103" s="13">
        <v>0.1</v>
      </c>
      <c r="EYF103" s="13">
        <v>0.1</v>
      </c>
      <c r="EYG103" s="13">
        <v>0.1</v>
      </c>
      <c r="EYH103" s="13">
        <v>0.1</v>
      </c>
      <c r="EYI103" s="13">
        <v>0.1</v>
      </c>
      <c r="EYJ103" s="13">
        <v>0.1</v>
      </c>
      <c r="EYK103" s="13">
        <v>0.1</v>
      </c>
      <c r="EYL103" s="13">
        <v>0.1</v>
      </c>
      <c r="EYM103" s="13">
        <v>0.1</v>
      </c>
      <c r="EYN103" s="13">
        <v>0.1</v>
      </c>
      <c r="EYO103" s="13">
        <v>0.1</v>
      </c>
      <c r="EYP103" s="13">
        <v>0.1</v>
      </c>
      <c r="EYQ103" s="13">
        <v>0.1</v>
      </c>
      <c r="EYR103" s="13">
        <v>0.1</v>
      </c>
      <c r="EYS103" s="13">
        <v>0.1</v>
      </c>
      <c r="EYT103" s="13">
        <v>0.1</v>
      </c>
      <c r="EYU103" s="13">
        <v>0.1</v>
      </c>
      <c r="EYV103" s="13">
        <v>0.1</v>
      </c>
      <c r="EYW103" s="13">
        <v>0.1</v>
      </c>
      <c r="EYX103" s="13">
        <v>0.1</v>
      </c>
      <c r="EYY103" s="13">
        <v>0.1</v>
      </c>
      <c r="EYZ103" s="13">
        <v>0.1</v>
      </c>
      <c r="EZA103" s="13">
        <v>0.1</v>
      </c>
      <c r="EZB103" s="13">
        <v>0.1</v>
      </c>
      <c r="EZC103" s="13">
        <v>0.1</v>
      </c>
      <c r="EZD103" s="13">
        <v>0.1</v>
      </c>
      <c r="EZE103" s="13">
        <v>0.1</v>
      </c>
      <c r="EZF103" s="13">
        <v>0.1</v>
      </c>
      <c r="EZG103" s="13">
        <v>0.1</v>
      </c>
      <c r="EZH103" s="13">
        <v>0.1</v>
      </c>
      <c r="EZI103" s="13">
        <v>0.1</v>
      </c>
      <c r="EZJ103" s="13">
        <v>0.1</v>
      </c>
      <c r="EZK103" s="13">
        <v>0.1</v>
      </c>
      <c r="EZL103" s="13">
        <v>0.1</v>
      </c>
      <c r="EZM103" s="13">
        <v>0.1</v>
      </c>
      <c r="EZN103" s="13">
        <v>0.1</v>
      </c>
      <c r="EZO103" s="13">
        <v>0.1</v>
      </c>
      <c r="EZP103" s="13">
        <v>0.1</v>
      </c>
      <c r="EZQ103" s="13">
        <v>0.1</v>
      </c>
      <c r="EZR103" s="13">
        <v>0.1</v>
      </c>
      <c r="EZS103" s="13">
        <v>0.1</v>
      </c>
      <c r="EZT103" s="13">
        <v>0.1</v>
      </c>
      <c r="EZU103" s="13">
        <v>0.1</v>
      </c>
      <c r="EZV103" s="13">
        <v>0.1</v>
      </c>
      <c r="EZW103" s="13">
        <v>0.1</v>
      </c>
      <c r="EZX103" s="13">
        <v>0.1</v>
      </c>
      <c r="EZY103" s="13">
        <v>0.1</v>
      </c>
      <c r="EZZ103" s="13">
        <v>0.1</v>
      </c>
      <c r="FAA103" s="13">
        <v>0.1</v>
      </c>
      <c r="FAB103" s="13">
        <v>0.1</v>
      </c>
      <c r="FAC103" s="13">
        <v>0.1</v>
      </c>
      <c r="FAD103" s="13">
        <v>0.1</v>
      </c>
      <c r="FAE103" s="13">
        <v>0.1</v>
      </c>
      <c r="FAF103" s="13">
        <v>0.1</v>
      </c>
      <c r="FAG103" s="13">
        <v>0.1</v>
      </c>
      <c r="FAH103" s="13">
        <v>0.1</v>
      </c>
      <c r="FAI103" s="13">
        <v>0.1</v>
      </c>
      <c r="FAJ103" s="13">
        <v>0.1</v>
      </c>
      <c r="FAK103" s="13">
        <v>0.1</v>
      </c>
      <c r="FAL103" s="13">
        <v>0.1</v>
      </c>
      <c r="FAM103" s="13">
        <v>0.1</v>
      </c>
      <c r="FAN103" s="13">
        <v>0.1</v>
      </c>
      <c r="FAO103" s="13">
        <v>0.1</v>
      </c>
      <c r="FAP103" s="13">
        <v>0.1</v>
      </c>
      <c r="FAQ103" s="13">
        <v>0.1</v>
      </c>
      <c r="FAR103" s="13">
        <v>0.1</v>
      </c>
      <c r="FAS103" s="13">
        <v>0.1</v>
      </c>
      <c r="FAT103" s="13">
        <v>0.1</v>
      </c>
      <c r="FAU103" s="13">
        <v>0.1</v>
      </c>
      <c r="FAV103" s="13">
        <v>0.1</v>
      </c>
      <c r="FAW103" s="13">
        <v>0.1</v>
      </c>
      <c r="FAX103" s="13">
        <v>0.1</v>
      </c>
      <c r="FAY103" s="13">
        <v>0.1</v>
      </c>
      <c r="FAZ103" s="13">
        <v>0.1</v>
      </c>
      <c r="FBA103" s="13">
        <v>0.1</v>
      </c>
      <c r="FBB103" s="13">
        <v>0.1</v>
      </c>
      <c r="FBC103" s="13">
        <v>0.1</v>
      </c>
      <c r="FBD103" s="13">
        <v>0.1</v>
      </c>
      <c r="FBE103" s="13">
        <v>0.1</v>
      </c>
      <c r="FBF103" s="13">
        <v>0.1</v>
      </c>
      <c r="FBG103" s="13">
        <v>0.1</v>
      </c>
      <c r="FBH103" s="13">
        <v>0.1</v>
      </c>
      <c r="FBI103" s="13">
        <v>0.1</v>
      </c>
      <c r="FBJ103" s="13">
        <v>0.1</v>
      </c>
      <c r="FBK103" s="13">
        <v>0.1</v>
      </c>
      <c r="FBL103" s="13">
        <v>0.1</v>
      </c>
      <c r="FBM103" s="13">
        <v>0.1</v>
      </c>
      <c r="FBN103" s="13">
        <v>0.1</v>
      </c>
      <c r="FBO103" s="13">
        <v>0.1</v>
      </c>
      <c r="FBP103" s="13">
        <v>0.1</v>
      </c>
      <c r="FBQ103" s="13">
        <v>0.1</v>
      </c>
      <c r="FBR103" s="13">
        <v>0.1</v>
      </c>
      <c r="FBS103" s="13">
        <v>0.1</v>
      </c>
      <c r="FBT103" s="13">
        <v>0.1</v>
      </c>
      <c r="FBU103" s="13">
        <v>0.1</v>
      </c>
      <c r="FBV103" s="13">
        <v>0.1</v>
      </c>
      <c r="FBW103" s="13">
        <v>0.1</v>
      </c>
      <c r="FBX103" s="13">
        <v>0.1</v>
      </c>
      <c r="FBY103" s="13">
        <v>0.1</v>
      </c>
      <c r="FBZ103" s="13">
        <v>0.1</v>
      </c>
      <c r="FCA103" s="13">
        <v>0.1</v>
      </c>
      <c r="FCB103" s="13">
        <v>0.1</v>
      </c>
      <c r="FCC103" s="13">
        <v>0.1</v>
      </c>
      <c r="FCD103" s="13">
        <v>0.1</v>
      </c>
      <c r="FCE103" s="13">
        <v>0.1</v>
      </c>
      <c r="FCF103" s="13">
        <v>0.1</v>
      </c>
      <c r="FCG103" s="13">
        <v>0.1</v>
      </c>
      <c r="FCH103" s="13">
        <v>0.1</v>
      </c>
      <c r="FCI103" s="13">
        <v>0.1</v>
      </c>
      <c r="FCJ103" s="13">
        <v>0.1</v>
      </c>
      <c r="FCK103" s="13">
        <v>0.1</v>
      </c>
      <c r="FCL103" s="13">
        <v>0.1</v>
      </c>
      <c r="FCM103" s="13">
        <v>0.1</v>
      </c>
      <c r="FCN103" s="13">
        <v>0.1</v>
      </c>
      <c r="FCO103" s="13">
        <v>0.1</v>
      </c>
      <c r="FCP103" s="13">
        <v>0.1</v>
      </c>
      <c r="FCQ103" s="13">
        <v>0.1</v>
      </c>
      <c r="FCR103" s="13">
        <v>0.1</v>
      </c>
      <c r="FCS103" s="13">
        <v>0.1</v>
      </c>
      <c r="FCT103" s="13">
        <v>0.1</v>
      </c>
      <c r="FCU103" s="13">
        <v>0.1</v>
      </c>
      <c r="FCV103" s="13">
        <v>0.1</v>
      </c>
      <c r="FCW103" s="13">
        <v>0.1</v>
      </c>
      <c r="FCX103" s="13">
        <v>0.1</v>
      </c>
      <c r="FCY103" s="13">
        <v>0.1</v>
      </c>
      <c r="FCZ103" s="13">
        <v>0.1</v>
      </c>
      <c r="FDA103" s="13">
        <v>0.1</v>
      </c>
      <c r="FDB103" s="13">
        <v>0.1</v>
      </c>
      <c r="FDC103" s="13">
        <v>0.1</v>
      </c>
      <c r="FDD103" s="13">
        <v>0.1</v>
      </c>
      <c r="FDE103" s="13">
        <v>0.1</v>
      </c>
      <c r="FDF103" s="13">
        <v>0.1</v>
      </c>
      <c r="FDG103" s="13">
        <v>0.1</v>
      </c>
      <c r="FDH103" s="13">
        <v>0.1</v>
      </c>
      <c r="FDI103" s="13">
        <v>0.1</v>
      </c>
      <c r="FDJ103" s="13">
        <v>0.1</v>
      </c>
      <c r="FDK103" s="13">
        <v>0.1</v>
      </c>
      <c r="FDL103" s="13">
        <v>0.1</v>
      </c>
      <c r="FDM103" s="13">
        <v>0.1</v>
      </c>
      <c r="FDN103" s="13">
        <v>0.1</v>
      </c>
      <c r="FDO103" s="13">
        <v>0.1</v>
      </c>
      <c r="FDP103" s="13">
        <v>0.1</v>
      </c>
      <c r="FDQ103" s="13">
        <v>0.1</v>
      </c>
      <c r="FDR103" s="13">
        <v>0.1</v>
      </c>
      <c r="FDS103" s="13">
        <v>0.1</v>
      </c>
      <c r="FDT103" s="13">
        <v>0.1</v>
      </c>
      <c r="FDU103" s="13">
        <v>0.1</v>
      </c>
      <c r="FDV103" s="13">
        <v>0.1</v>
      </c>
      <c r="FDW103" s="13">
        <v>0.1</v>
      </c>
      <c r="FDX103" s="13">
        <v>0.1</v>
      </c>
      <c r="FDY103" s="13">
        <v>0.1</v>
      </c>
      <c r="FDZ103" s="13">
        <v>0.1</v>
      </c>
      <c r="FEA103" s="13">
        <v>0.1</v>
      </c>
      <c r="FEB103" s="13">
        <v>0.1</v>
      </c>
      <c r="FEC103" s="13">
        <v>0.1</v>
      </c>
      <c r="FED103" s="13">
        <v>0.1</v>
      </c>
      <c r="FEE103" s="13">
        <v>0.1</v>
      </c>
      <c r="FEF103" s="13">
        <v>0.1</v>
      </c>
      <c r="FEG103" s="13">
        <v>0.1</v>
      </c>
      <c r="FEH103" s="13">
        <v>0.1</v>
      </c>
      <c r="FEI103" s="13">
        <v>0.1</v>
      </c>
      <c r="FEJ103" s="13">
        <v>0.1</v>
      </c>
      <c r="FEK103" s="13">
        <v>0.1</v>
      </c>
      <c r="FEL103" s="13">
        <v>0.1</v>
      </c>
      <c r="FEM103" s="13">
        <v>0.1</v>
      </c>
      <c r="FEN103" s="13">
        <v>0.1</v>
      </c>
      <c r="FEO103" s="13">
        <v>0.1</v>
      </c>
      <c r="FEP103" s="13">
        <v>0.1</v>
      </c>
      <c r="FEQ103" s="13">
        <v>0.1</v>
      </c>
      <c r="FER103" s="13">
        <v>0.1</v>
      </c>
      <c r="FES103" s="13">
        <v>0.1</v>
      </c>
      <c r="FET103" s="13">
        <v>0.1</v>
      </c>
      <c r="FEU103" s="13">
        <v>0.1</v>
      </c>
      <c r="FEV103" s="13">
        <v>0.1</v>
      </c>
      <c r="FEW103" s="13">
        <v>0.1</v>
      </c>
      <c r="FEX103" s="13">
        <v>0.1</v>
      </c>
      <c r="FEY103" s="13">
        <v>0.1</v>
      </c>
      <c r="FEZ103" s="13">
        <v>0.1</v>
      </c>
      <c r="FFA103" s="13">
        <v>0.1</v>
      </c>
      <c r="FFB103" s="13">
        <v>0.1</v>
      </c>
      <c r="FFC103" s="13">
        <v>0.1</v>
      </c>
      <c r="FFD103" s="13">
        <v>0.1</v>
      </c>
      <c r="FFE103" s="13">
        <v>0.1</v>
      </c>
      <c r="FFF103" s="13">
        <v>0.1</v>
      </c>
      <c r="FFG103" s="13">
        <v>0.1</v>
      </c>
      <c r="FFH103" s="13">
        <v>0.1</v>
      </c>
      <c r="FFI103" s="13">
        <v>0.1</v>
      </c>
      <c r="FFJ103" s="13">
        <v>0.1</v>
      </c>
      <c r="FFK103" s="13">
        <v>0.1</v>
      </c>
      <c r="FFL103" s="13">
        <v>0.1</v>
      </c>
      <c r="FFM103" s="13">
        <v>0.1</v>
      </c>
      <c r="FFN103" s="13">
        <v>0.1</v>
      </c>
      <c r="FFO103" s="13">
        <v>0.1</v>
      </c>
      <c r="FFP103" s="13">
        <v>0.1</v>
      </c>
      <c r="FFQ103" s="13">
        <v>0.1</v>
      </c>
      <c r="FFR103" s="13">
        <v>0.1</v>
      </c>
      <c r="FFS103" s="13">
        <v>0.1</v>
      </c>
      <c r="FFT103" s="13">
        <v>0.1</v>
      </c>
      <c r="FFU103" s="13">
        <v>0.1</v>
      </c>
      <c r="FFV103" s="13">
        <v>0.1</v>
      </c>
      <c r="FFW103" s="13">
        <v>0.1</v>
      </c>
      <c r="FFX103" s="13">
        <v>0.1</v>
      </c>
      <c r="FFY103" s="13">
        <v>0.1</v>
      </c>
      <c r="FFZ103" s="13">
        <v>0.1</v>
      </c>
      <c r="FGA103" s="13">
        <v>0.1</v>
      </c>
      <c r="FGB103" s="13">
        <v>0.1</v>
      </c>
      <c r="FGC103" s="13">
        <v>0.1</v>
      </c>
      <c r="FGD103" s="13">
        <v>0.1</v>
      </c>
      <c r="FGE103" s="13">
        <v>0.1</v>
      </c>
      <c r="FGF103" s="13">
        <v>0.1</v>
      </c>
      <c r="FGG103" s="13">
        <v>0.1</v>
      </c>
      <c r="FGH103" s="13">
        <v>0.1</v>
      </c>
      <c r="FGI103" s="13">
        <v>0.1</v>
      </c>
      <c r="FGJ103" s="13">
        <v>0.1</v>
      </c>
      <c r="FGK103" s="13">
        <v>0.1</v>
      </c>
      <c r="FGL103" s="13">
        <v>0.1</v>
      </c>
      <c r="FGM103" s="13">
        <v>0.1</v>
      </c>
      <c r="FGN103" s="13">
        <v>0.1</v>
      </c>
      <c r="FGO103" s="13">
        <v>0.1</v>
      </c>
      <c r="FGP103" s="13">
        <v>0.1</v>
      </c>
      <c r="FGQ103" s="13">
        <v>0.1</v>
      </c>
      <c r="FGR103" s="13">
        <v>0.1</v>
      </c>
      <c r="FGS103" s="13">
        <v>0.1</v>
      </c>
      <c r="FGT103" s="13">
        <v>0.1</v>
      </c>
      <c r="FGU103" s="13">
        <v>0.1</v>
      </c>
      <c r="FGV103" s="13">
        <v>0.1</v>
      </c>
      <c r="FGW103" s="13">
        <v>0.1</v>
      </c>
      <c r="FGX103" s="13">
        <v>0.1</v>
      </c>
      <c r="FGY103" s="13">
        <v>0.1</v>
      </c>
      <c r="FGZ103" s="13">
        <v>0.1</v>
      </c>
      <c r="FHA103" s="13">
        <v>0.1</v>
      </c>
      <c r="FHB103" s="13">
        <v>0.1</v>
      </c>
      <c r="FHC103" s="13">
        <v>0.1</v>
      </c>
      <c r="FHD103" s="13">
        <v>0.1</v>
      </c>
      <c r="FHE103" s="13">
        <v>0.1</v>
      </c>
      <c r="FHF103" s="13">
        <v>0.1</v>
      </c>
      <c r="FHG103" s="13">
        <v>0.1</v>
      </c>
      <c r="FHH103" s="13">
        <v>0.1</v>
      </c>
      <c r="FHI103" s="13">
        <v>0.1</v>
      </c>
      <c r="FHJ103" s="13">
        <v>0.1</v>
      </c>
      <c r="FHK103" s="13">
        <v>0.1</v>
      </c>
      <c r="FHL103" s="13">
        <v>0.1</v>
      </c>
      <c r="FHM103" s="13">
        <v>0.1</v>
      </c>
      <c r="FHN103" s="13">
        <v>0.1</v>
      </c>
      <c r="FHO103" s="13">
        <v>0.1</v>
      </c>
      <c r="FHP103" s="13">
        <v>0.1</v>
      </c>
      <c r="FHQ103" s="13">
        <v>0.1</v>
      </c>
      <c r="FHR103" s="13">
        <v>0.1</v>
      </c>
      <c r="FHS103" s="13">
        <v>0.1</v>
      </c>
      <c r="FHT103" s="13">
        <v>0.1</v>
      </c>
      <c r="FHU103" s="13">
        <v>0.1</v>
      </c>
      <c r="FHV103" s="13">
        <v>0.1</v>
      </c>
      <c r="FHW103" s="13">
        <v>0.1</v>
      </c>
      <c r="FHX103" s="13">
        <v>0.1</v>
      </c>
      <c r="FHY103" s="13">
        <v>0.1</v>
      </c>
      <c r="FHZ103" s="13">
        <v>0.1</v>
      </c>
      <c r="FIA103" s="13">
        <v>0.1</v>
      </c>
      <c r="FIB103" s="13">
        <v>0.1</v>
      </c>
      <c r="FIC103" s="13">
        <v>0.1</v>
      </c>
      <c r="FID103" s="13">
        <v>0.1</v>
      </c>
      <c r="FIE103" s="13">
        <v>0.1</v>
      </c>
      <c r="FIF103" s="13">
        <v>0.1</v>
      </c>
      <c r="FIG103" s="13">
        <v>0.1</v>
      </c>
      <c r="FIH103" s="13">
        <v>0.1</v>
      </c>
      <c r="FII103" s="13">
        <v>0.1</v>
      </c>
      <c r="FIJ103" s="13">
        <v>0.1</v>
      </c>
      <c r="FIK103" s="13">
        <v>0.1</v>
      </c>
      <c r="FIL103" s="13">
        <v>0.1</v>
      </c>
      <c r="FIM103" s="13">
        <v>0.1</v>
      </c>
      <c r="FIN103" s="13">
        <v>0.1</v>
      </c>
      <c r="FIO103" s="13">
        <v>0.1</v>
      </c>
      <c r="FIP103" s="13">
        <v>0.1</v>
      </c>
      <c r="FIQ103" s="13">
        <v>0.1</v>
      </c>
      <c r="FIR103" s="13">
        <v>0.1</v>
      </c>
      <c r="FIS103" s="13">
        <v>0.1</v>
      </c>
      <c r="FIT103" s="13">
        <v>0.1</v>
      </c>
      <c r="FIU103" s="13">
        <v>0.1</v>
      </c>
      <c r="FIV103" s="13">
        <v>0.1</v>
      </c>
      <c r="FIW103" s="13">
        <v>0.1</v>
      </c>
      <c r="FIX103" s="13">
        <v>0.1</v>
      </c>
      <c r="FIY103" s="13">
        <v>0.1</v>
      </c>
      <c r="FIZ103" s="13">
        <v>0.1</v>
      </c>
      <c r="FJA103" s="13">
        <v>0.1</v>
      </c>
      <c r="FJB103" s="13">
        <v>0.1</v>
      </c>
      <c r="FJC103" s="13">
        <v>0.1</v>
      </c>
      <c r="FJD103" s="13">
        <v>0.1</v>
      </c>
      <c r="FJE103" s="13">
        <v>0.1</v>
      </c>
      <c r="FJF103" s="13">
        <v>0.1</v>
      </c>
      <c r="FJG103" s="13">
        <v>0.1</v>
      </c>
      <c r="FJH103" s="13">
        <v>0.1</v>
      </c>
      <c r="FJI103" s="13">
        <v>0.1</v>
      </c>
      <c r="FJJ103" s="13">
        <v>0.1</v>
      </c>
      <c r="FJK103" s="13">
        <v>0.1</v>
      </c>
      <c r="FJL103" s="13">
        <v>0.1</v>
      </c>
      <c r="FJM103" s="13">
        <v>0.1</v>
      </c>
      <c r="FJN103" s="13">
        <v>0.1</v>
      </c>
      <c r="FJO103" s="13">
        <v>0.1</v>
      </c>
      <c r="FJP103" s="13">
        <v>0.1</v>
      </c>
      <c r="FJQ103" s="13">
        <v>0.1</v>
      </c>
      <c r="FJR103" s="13">
        <v>0.1</v>
      </c>
      <c r="FJS103" s="13">
        <v>0.1</v>
      </c>
      <c r="FJT103" s="13">
        <v>0.1</v>
      </c>
      <c r="FJU103" s="13">
        <v>0.1</v>
      </c>
      <c r="FJV103" s="13">
        <v>0.1</v>
      </c>
      <c r="FJW103" s="13">
        <v>0.1</v>
      </c>
      <c r="FJX103" s="13">
        <v>0.1</v>
      </c>
      <c r="FJY103" s="13">
        <v>0.1</v>
      </c>
      <c r="FJZ103" s="13">
        <v>0.1</v>
      </c>
      <c r="FKA103" s="13">
        <v>0.1</v>
      </c>
      <c r="FKB103" s="13">
        <v>0.1</v>
      </c>
      <c r="FKC103" s="13">
        <v>0.1</v>
      </c>
      <c r="FKD103" s="13">
        <v>0.1</v>
      </c>
      <c r="FKE103" s="13">
        <v>0.1</v>
      </c>
      <c r="FKF103" s="13">
        <v>0.1</v>
      </c>
      <c r="FKG103" s="13">
        <v>0.1</v>
      </c>
      <c r="FKH103" s="13">
        <v>0.1</v>
      </c>
      <c r="FKI103" s="13">
        <v>0.1</v>
      </c>
      <c r="FKJ103" s="13">
        <v>0.1</v>
      </c>
      <c r="FKK103" s="13">
        <v>0.1</v>
      </c>
      <c r="FKL103" s="13">
        <v>0.1</v>
      </c>
      <c r="FKM103" s="13">
        <v>0.1</v>
      </c>
      <c r="FKN103" s="13">
        <v>0.1</v>
      </c>
      <c r="FKO103" s="13">
        <v>0.1</v>
      </c>
      <c r="FKP103" s="13">
        <v>0.1</v>
      </c>
      <c r="FKQ103" s="13">
        <v>0.1</v>
      </c>
      <c r="FKR103" s="13">
        <v>0.1</v>
      </c>
      <c r="FKS103" s="13">
        <v>0.1</v>
      </c>
      <c r="FKT103" s="13">
        <v>0.1</v>
      </c>
      <c r="FKU103" s="13">
        <v>0.1</v>
      </c>
      <c r="FKV103" s="13">
        <v>0.1</v>
      </c>
      <c r="FKW103" s="13">
        <v>0.1</v>
      </c>
      <c r="FKX103" s="13">
        <v>0.1</v>
      </c>
      <c r="FKY103" s="13">
        <v>0.1</v>
      </c>
      <c r="FKZ103" s="13">
        <v>0.1</v>
      </c>
      <c r="FLA103" s="13">
        <v>0.1</v>
      </c>
      <c r="FLB103" s="13">
        <v>0.1</v>
      </c>
      <c r="FLC103" s="13">
        <v>0.1</v>
      </c>
      <c r="FLD103" s="13">
        <v>0.1</v>
      </c>
      <c r="FLE103" s="13">
        <v>0.1</v>
      </c>
      <c r="FLF103" s="13">
        <v>0.1</v>
      </c>
      <c r="FLG103" s="13">
        <v>0.1</v>
      </c>
      <c r="FLH103" s="13">
        <v>0.1</v>
      </c>
      <c r="FLI103" s="13">
        <v>0.1</v>
      </c>
      <c r="FLJ103" s="13">
        <v>0.1</v>
      </c>
      <c r="FLK103" s="13">
        <v>0.1</v>
      </c>
      <c r="FLL103" s="13">
        <v>0.1</v>
      </c>
      <c r="FLM103" s="13">
        <v>0.1</v>
      </c>
      <c r="FLN103" s="13">
        <v>0.1</v>
      </c>
      <c r="FLO103" s="13">
        <v>0.1</v>
      </c>
      <c r="FLP103" s="13">
        <v>0.1</v>
      </c>
      <c r="FLQ103" s="13">
        <v>0.1</v>
      </c>
      <c r="FLR103" s="13">
        <v>0.1</v>
      </c>
      <c r="FLS103" s="13">
        <v>0.1</v>
      </c>
      <c r="FLT103" s="13">
        <v>0.1</v>
      </c>
      <c r="FLU103" s="13">
        <v>0.1</v>
      </c>
      <c r="FLV103" s="13">
        <v>0.1</v>
      </c>
      <c r="FLW103" s="13">
        <v>0.1</v>
      </c>
      <c r="FLX103" s="13">
        <v>0.1</v>
      </c>
      <c r="FLY103" s="13">
        <v>0.1</v>
      </c>
      <c r="FLZ103" s="13">
        <v>0.1</v>
      </c>
      <c r="FMA103" s="13">
        <v>0.1</v>
      </c>
      <c r="FMB103" s="13">
        <v>0.1</v>
      </c>
      <c r="FMC103" s="13">
        <v>0.1</v>
      </c>
      <c r="FMD103" s="13">
        <v>0.1</v>
      </c>
      <c r="FME103" s="13">
        <v>0.1</v>
      </c>
      <c r="FMF103" s="13">
        <v>0.1</v>
      </c>
      <c r="FMG103" s="13">
        <v>0.1</v>
      </c>
      <c r="FMH103" s="13">
        <v>0.1</v>
      </c>
      <c r="FMI103" s="13">
        <v>0.1</v>
      </c>
      <c r="FMJ103" s="13">
        <v>0.1</v>
      </c>
      <c r="FMK103" s="13">
        <v>0.1</v>
      </c>
      <c r="FML103" s="13">
        <v>0.1</v>
      </c>
      <c r="FMM103" s="13">
        <v>0.1</v>
      </c>
      <c r="FMN103" s="13">
        <v>0.1</v>
      </c>
      <c r="FMO103" s="13">
        <v>0.1</v>
      </c>
      <c r="FMP103" s="13">
        <v>0.1</v>
      </c>
      <c r="FMQ103" s="13">
        <v>0.1</v>
      </c>
      <c r="FMR103" s="13">
        <v>0.1</v>
      </c>
      <c r="FMS103" s="13">
        <v>0.1</v>
      </c>
      <c r="FMT103" s="13">
        <v>0.1</v>
      </c>
      <c r="FMU103" s="13">
        <v>0.1</v>
      </c>
      <c r="FMV103" s="13">
        <v>0.1</v>
      </c>
      <c r="FMW103" s="13">
        <v>0.1</v>
      </c>
      <c r="FMX103" s="13">
        <v>0.1</v>
      </c>
      <c r="FMY103" s="13">
        <v>0.1</v>
      </c>
      <c r="FMZ103" s="13">
        <v>0.1</v>
      </c>
      <c r="FNA103" s="13">
        <v>0.1</v>
      </c>
      <c r="FNB103" s="13">
        <v>0.1</v>
      </c>
      <c r="FNC103" s="13">
        <v>0.1</v>
      </c>
      <c r="FND103" s="13">
        <v>0.1</v>
      </c>
      <c r="FNE103" s="13">
        <v>0.1</v>
      </c>
      <c r="FNF103" s="13">
        <v>0.1</v>
      </c>
      <c r="FNG103" s="13">
        <v>0.1</v>
      </c>
      <c r="FNH103" s="13">
        <v>0.1</v>
      </c>
      <c r="FNI103" s="13">
        <v>0.1</v>
      </c>
      <c r="FNJ103" s="13">
        <v>0.1</v>
      </c>
      <c r="FNK103" s="13">
        <v>0.1</v>
      </c>
      <c r="FNL103" s="13">
        <v>0.1</v>
      </c>
      <c r="FNM103" s="13">
        <v>0.1</v>
      </c>
      <c r="FNN103" s="13">
        <v>0.1</v>
      </c>
      <c r="FNO103" s="13">
        <v>0.1</v>
      </c>
      <c r="FNP103" s="13">
        <v>0.1</v>
      </c>
      <c r="FNQ103" s="13">
        <v>0.1</v>
      </c>
      <c r="FNR103" s="13">
        <v>0.1</v>
      </c>
      <c r="FNS103" s="13">
        <v>0.1</v>
      </c>
      <c r="FNT103" s="13">
        <v>0.1</v>
      </c>
      <c r="FNU103" s="13">
        <v>0.1</v>
      </c>
      <c r="FNV103" s="13">
        <v>0.1</v>
      </c>
      <c r="FNW103" s="13">
        <v>0.1</v>
      </c>
      <c r="FNX103" s="13">
        <v>0.1</v>
      </c>
      <c r="FNY103" s="13">
        <v>0.1</v>
      </c>
      <c r="FNZ103" s="13">
        <v>0.1</v>
      </c>
      <c r="FOA103" s="13">
        <v>0.1</v>
      </c>
      <c r="FOB103" s="13">
        <v>0.1</v>
      </c>
      <c r="FOC103" s="13">
        <v>0.1</v>
      </c>
      <c r="FOD103" s="13">
        <v>0.1</v>
      </c>
      <c r="FOE103" s="13">
        <v>0.1</v>
      </c>
      <c r="FOF103" s="13">
        <v>0.1</v>
      </c>
      <c r="FOG103" s="13">
        <v>0.1</v>
      </c>
      <c r="FOH103" s="13">
        <v>0.1</v>
      </c>
      <c r="FOI103" s="13">
        <v>0.1</v>
      </c>
      <c r="FOJ103" s="13">
        <v>0.1</v>
      </c>
      <c r="FOK103" s="13">
        <v>0.1</v>
      </c>
      <c r="FOL103" s="13">
        <v>0.1</v>
      </c>
      <c r="FOM103" s="13">
        <v>0.1</v>
      </c>
      <c r="FON103" s="13">
        <v>0.1</v>
      </c>
      <c r="FOO103" s="13">
        <v>0.1</v>
      </c>
      <c r="FOP103" s="13">
        <v>0.1</v>
      </c>
      <c r="FOQ103" s="13">
        <v>0.1</v>
      </c>
      <c r="FOR103" s="13">
        <v>0.1</v>
      </c>
      <c r="FOS103" s="13">
        <v>0.1</v>
      </c>
      <c r="FOT103" s="13">
        <v>0.1</v>
      </c>
      <c r="FOU103" s="13">
        <v>0.1</v>
      </c>
      <c r="FOV103" s="13">
        <v>0.1</v>
      </c>
      <c r="FOW103" s="13">
        <v>0.1</v>
      </c>
      <c r="FOX103" s="13">
        <v>0.1</v>
      </c>
      <c r="FOY103" s="13">
        <v>0.1</v>
      </c>
      <c r="FOZ103" s="13">
        <v>0.1</v>
      </c>
      <c r="FPA103" s="13">
        <v>0.1</v>
      </c>
      <c r="FPB103" s="13">
        <v>0.1</v>
      </c>
      <c r="FPC103" s="13">
        <v>0.1</v>
      </c>
      <c r="FPD103" s="13">
        <v>0.1</v>
      </c>
      <c r="FPE103" s="13">
        <v>0.1</v>
      </c>
      <c r="FPF103" s="13">
        <v>0.1</v>
      </c>
      <c r="FPG103" s="13">
        <v>0.1</v>
      </c>
      <c r="FPH103" s="13">
        <v>0.1</v>
      </c>
      <c r="FPI103" s="13">
        <v>0.1</v>
      </c>
      <c r="FPJ103" s="13">
        <v>0.1</v>
      </c>
      <c r="FPK103" s="13">
        <v>0.1</v>
      </c>
      <c r="FPL103" s="13">
        <v>0.1</v>
      </c>
      <c r="FPM103" s="13">
        <v>0.1</v>
      </c>
      <c r="FPN103" s="13">
        <v>0.1</v>
      </c>
      <c r="FPO103" s="13">
        <v>0.1</v>
      </c>
      <c r="FPP103" s="13">
        <v>0.1</v>
      </c>
      <c r="FPQ103" s="13">
        <v>0.1</v>
      </c>
      <c r="FPR103" s="13">
        <v>0.1</v>
      </c>
      <c r="FPS103" s="13">
        <v>0.1</v>
      </c>
      <c r="FPT103" s="13">
        <v>0.1</v>
      </c>
      <c r="FPU103" s="13">
        <v>0.1</v>
      </c>
      <c r="FPV103" s="13">
        <v>0.1</v>
      </c>
      <c r="FPW103" s="13">
        <v>0.1</v>
      </c>
      <c r="FPX103" s="13">
        <v>0.1</v>
      </c>
      <c r="FPY103" s="13">
        <v>0.1</v>
      </c>
      <c r="FPZ103" s="13">
        <v>0.1</v>
      </c>
      <c r="FQA103" s="13">
        <v>0.1</v>
      </c>
      <c r="FQB103" s="13">
        <v>0.1</v>
      </c>
      <c r="FQC103" s="13">
        <v>0.1</v>
      </c>
      <c r="FQD103" s="13">
        <v>0.1</v>
      </c>
      <c r="FQE103" s="13">
        <v>0.1</v>
      </c>
      <c r="FQF103" s="13">
        <v>0.1</v>
      </c>
      <c r="FQG103" s="13">
        <v>0.1</v>
      </c>
      <c r="FQH103" s="13">
        <v>0.1</v>
      </c>
      <c r="FQI103" s="13">
        <v>0.1</v>
      </c>
      <c r="FQJ103" s="13">
        <v>0.1</v>
      </c>
      <c r="FQK103" s="13">
        <v>0.1</v>
      </c>
      <c r="FQL103" s="13">
        <v>0.1</v>
      </c>
      <c r="FQM103" s="13">
        <v>0.1</v>
      </c>
      <c r="FQN103" s="13">
        <v>0.1</v>
      </c>
      <c r="FQO103" s="13">
        <v>0.1</v>
      </c>
      <c r="FQP103" s="13">
        <v>0.1</v>
      </c>
      <c r="FQQ103" s="13">
        <v>0.1</v>
      </c>
      <c r="FQR103" s="13">
        <v>0.1</v>
      </c>
      <c r="FQS103" s="13">
        <v>0.1</v>
      </c>
      <c r="FQT103" s="13">
        <v>0.1</v>
      </c>
      <c r="FQU103" s="13">
        <v>0.1</v>
      </c>
      <c r="FQV103" s="13">
        <v>0.1</v>
      </c>
      <c r="FQW103" s="13">
        <v>0.1</v>
      </c>
      <c r="FQX103" s="13">
        <v>0.1</v>
      </c>
      <c r="FQY103" s="13">
        <v>0.1</v>
      </c>
      <c r="FQZ103" s="13">
        <v>0.1</v>
      </c>
      <c r="FRA103" s="13">
        <v>0.1</v>
      </c>
      <c r="FRB103" s="13">
        <v>0.1</v>
      </c>
      <c r="FRC103" s="13">
        <v>0.1</v>
      </c>
      <c r="FRD103" s="13">
        <v>0.1</v>
      </c>
      <c r="FRE103" s="13">
        <v>0.1</v>
      </c>
      <c r="FRF103" s="13">
        <v>0.1</v>
      </c>
      <c r="FRG103" s="13">
        <v>0.1</v>
      </c>
      <c r="FRH103" s="13">
        <v>0.1</v>
      </c>
      <c r="FRI103" s="13">
        <v>0.1</v>
      </c>
      <c r="FRJ103" s="13">
        <v>0.1</v>
      </c>
      <c r="FRK103" s="13">
        <v>0.1</v>
      </c>
      <c r="FRL103" s="13">
        <v>0.1</v>
      </c>
      <c r="FRM103" s="13">
        <v>0.1</v>
      </c>
      <c r="FRN103" s="13">
        <v>0.1</v>
      </c>
      <c r="FRO103" s="13">
        <v>0.1</v>
      </c>
      <c r="FRP103" s="13">
        <v>0.1</v>
      </c>
      <c r="FRQ103" s="13">
        <v>0.1</v>
      </c>
      <c r="FRR103" s="13">
        <v>0.1</v>
      </c>
      <c r="FRS103" s="13">
        <v>0.1</v>
      </c>
      <c r="FRT103" s="13">
        <v>0.1</v>
      </c>
      <c r="FRU103" s="13">
        <v>0.1</v>
      </c>
      <c r="FRV103" s="13">
        <v>0.1</v>
      </c>
      <c r="FRW103" s="13">
        <v>0.1</v>
      </c>
      <c r="FRX103" s="13">
        <v>0.1</v>
      </c>
      <c r="FRY103" s="13">
        <v>0.1</v>
      </c>
      <c r="FRZ103" s="13">
        <v>0.1</v>
      </c>
      <c r="FSA103" s="13">
        <v>0.1</v>
      </c>
      <c r="FSB103" s="13">
        <v>0.1</v>
      </c>
      <c r="FSC103" s="13">
        <v>0.1</v>
      </c>
      <c r="FSD103" s="13">
        <v>0.1</v>
      </c>
      <c r="FSE103" s="13">
        <v>0.1</v>
      </c>
      <c r="FSF103" s="13">
        <v>0.1</v>
      </c>
      <c r="FSG103" s="13">
        <v>0.1</v>
      </c>
      <c r="FSH103" s="13">
        <v>0.1</v>
      </c>
      <c r="FSI103" s="13">
        <v>0.1</v>
      </c>
      <c r="FSJ103" s="13">
        <v>0.1</v>
      </c>
      <c r="FSK103" s="13">
        <v>0.1</v>
      </c>
      <c r="FSL103" s="13">
        <v>0.1</v>
      </c>
      <c r="FSM103" s="13">
        <v>0.1</v>
      </c>
      <c r="FSN103" s="13">
        <v>0.1</v>
      </c>
      <c r="FSO103" s="13">
        <v>0.1</v>
      </c>
      <c r="FSP103" s="13">
        <v>0.1</v>
      </c>
      <c r="FSQ103" s="13">
        <v>0.1</v>
      </c>
      <c r="FSR103" s="13">
        <v>0.1</v>
      </c>
      <c r="FSS103" s="13">
        <v>0.1</v>
      </c>
      <c r="FST103" s="13">
        <v>0.1</v>
      </c>
      <c r="FSU103" s="13">
        <v>0.1</v>
      </c>
      <c r="FSV103" s="13">
        <v>0.1</v>
      </c>
      <c r="FSW103" s="13">
        <v>0.1</v>
      </c>
      <c r="FSX103" s="13">
        <v>0.1</v>
      </c>
      <c r="FSY103" s="13">
        <v>0.1</v>
      </c>
      <c r="FSZ103" s="13">
        <v>0.1</v>
      </c>
      <c r="FTA103" s="13">
        <v>0.1</v>
      </c>
      <c r="FTB103" s="13">
        <v>0.1</v>
      </c>
      <c r="FTC103" s="13">
        <v>0.1</v>
      </c>
      <c r="FTD103" s="13">
        <v>0.1</v>
      </c>
      <c r="FTE103" s="13">
        <v>0.1</v>
      </c>
      <c r="FTF103" s="13">
        <v>0.1</v>
      </c>
      <c r="FTG103" s="13">
        <v>0.1</v>
      </c>
      <c r="FTH103" s="13">
        <v>0.1</v>
      </c>
      <c r="FTI103" s="13">
        <v>0.1</v>
      </c>
      <c r="FTJ103" s="13">
        <v>0.1</v>
      </c>
      <c r="FTK103" s="13">
        <v>0.1</v>
      </c>
      <c r="FTL103" s="13">
        <v>0.1</v>
      </c>
      <c r="FTM103" s="13">
        <v>0.1</v>
      </c>
      <c r="FTN103" s="13">
        <v>0.1</v>
      </c>
      <c r="FTO103" s="13">
        <v>0.1</v>
      </c>
      <c r="FTP103" s="13">
        <v>0.1</v>
      </c>
      <c r="FTQ103" s="13">
        <v>0.1</v>
      </c>
      <c r="FTR103" s="13">
        <v>0.1</v>
      </c>
      <c r="FTS103" s="13">
        <v>0.1</v>
      </c>
      <c r="FTT103" s="13">
        <v>0.1</v>
      </c>
      <c r="FTU103" s="13">
        <v>0.1</v>
      </c>
      <c r="FTV103" s="13">
        <v>0.1</v>
      </c>
      <c r="FTW103" s="13">
        <v>0.1</v>
      </c>
      <c r="FTX103" s="13">
        <v>0.1</v>
      </c>
      <c r="FTY103" s="13">
        <v>0.1</v>
      </c>
      <c r="FTZ103" s="13">
        <v>0.1</v>
      </c>
      <c r="FUA103" s="13">
        <v>0.1</v>
      </c>
      <c r="FUB103" s="13">
        <v>0.1</v>
      </c>
      <c r="FUC103" s="13">
        <v>0.1</v>
      </c>
      <c r="FUD103" s="13">
        <v>0.1</v>
      </c>
      <c r="FUE103" s="13">
        <v>0.1</v>
      </c>
      <c r="FUF103" s="13">
        <v>0.1</v>
      </c>
      <c r="FUG103" s="13">
        <v>0.1</v>
      </c>
      <c r="FUH103" s="13">
        <v>0.1</v>
      </c>
      <c r="FUI103" s="13">
        <v>0.1</v>
      </c>
      <c r="FUJ103" s="13">
        <v>0.1</v>
      </c>
      <c r="FUK103" s="13">
        <v>0.1</v>
      </c>
      <c r="FUL103" s="13">
        <v>0.1</v>
      </c>
      <c r="FUM103" s="13">
        <v>0.1</v>
      </c>
      <c r="FUN103" s="13">
        <v>0.1</v>
      </c>
      <c r="FUO103" s="13">
        <v>0.1</v>
      </c>
      <c r="FUP103" s="13">
        <v>0.1</v>
      </c>
      <c r="FUQ103" s="13">
        <v>0.1</v>
      </c>
      <c r="FUR103" s="13">
        <v>0.1</v>
      </c>
      <c r="FUS103" s="13">
        <v>0.1</v>
      </c>
      <c r="FUT103" s="13">
        <v>0.1</v>
      </c>
      <c r="FUU103" s="13">
        <v>0.1</v>
      </c>
      <c r="FUV103" s="13">
        <v>0.1</v>
      </c>
      <c r="FUW103" s="13">
        <v>0.1</v>
      </c>
      <c r="FUX103" s="13">
        <v>0.1</v>
      </c>
      <c r="FUY103" s="13">
        <v>0.1</v>
      </c>
      <c r="FUZ103" s="13">
        <v>0.1</v>
      </c>
      <c r="FVA103" s="13">
        <v>0.1</v>
      </c>
      <c r="FVB103" s="13">
        <v>0.1</v>
      </c>
      <c r="FVC103" s="13">
        <v>0.1</v>
      </c>
      <c r="FVD103" s="13">
        <v>0.1</v>
      </c>
      <c r="FVE103" s="13">
        <v>0.1</v>
      </c>
      <c r="FVF103" s="13">
        <v>0.1</v>
      </c>
      <c r="FVG103" s="13">
        <v>0.1</v>
      </c>
      <c r="FVH103" s="13">
        <v>0.1</v>
      </c>
      <c r="FVI103" s="13">
        <v>0.1</v>
      </c>
      <c r="FVJ103" s="13">
        <v>0.1</v>
      </c>
      <c r="FVK103" s="13">
        <v>0.1</v>
      </c>
      <c r="FVL103" s="13">
        <v>0.1</v>
      </c>
      <c r="FVM103" s="13">
        <v>0.1</v>
      </c>
      <c r="FVN103" s="13">
        <v>0.1</v>
      </c>
      <c r="FVO103" s="13">
        <v>0.1</v>
      </c>
      <c r="FVP103" s="13">
        <v>0.1</v>
      </c>
      <c r="FVQ103" s="13">
        <v>0.1</v>
      </c>
      <c r="FVR103" s="13">
        <v>0.1</v>
      </c>
      <c r="FVS103" s="13">
        <v>0.1</v>
      </c>
      <c r="FVT103" s="13">
        <v>0.1</v>
      </c>
      <c r="FVU103" s="13">
        <v>0.1</v>
      </c>
      <c r="FVV103" s="13">
        <v>0.1</v>
      </c>
      <c r="FVW103" s="13">
        <v>0.1</v>
      </c>
      <c r="FVX103" s="13">
        <v>0.1</v>
      </c>
      <c r="FVY103" s="13">
        <v>0.1</v>
      </c>
      <c r="FVZ103" s="13">
        <v>0.1</v>
      </c>
      <c r="FWA103" s="13">
        <v>0.1</v>
      </c>
      <c r="FWB103" s="13">
        <v>0.1</v>
      </c>
      <c r="FWC103" s="13">
        <v>0.1</v>
      </c>
      <c r="FWD103" s="13">
        <v>0.1</v>
      </c>
      <c r="FWE103" s="13">
        <v>0.1</v>
      </c>
      <c r="FWF103" s="13">
        <v>0.1</v>
      </c>
      <c r="FWG103" s="13">
        <v>0.1</v>
      </c>
      <c r="FWH103" s="13">
        <v>0.1</v>
      </c>
      <c r="FWI103" s="13">
        <v>0.1</v>
      </c>
      <c r="FWJ103" s="13">
        <v>0.1</v>
      </c>
      <c r="FWK103" s="13">
        <v>0.1</v>
      </c>
      <c r="FWL103" s="13">
        <v>0.1</v>
      </c>
      <c r="FWM103" s="13">
        <v>0.1</v>
      </c>
      <c r="FWN103" s="13">
        <v>0.1</v>
      </c>
      <c r="FWO103" s="13">
        <v>0.1</v>
      </c>
      <c r="FWP103" s="13">
        <v>0.1</v>
      </c>
      <c r="FWQ103" s="13">
        <v>0.1</v>
      </c>
      <c r="FWR103" s="13">
        <v>0.1</v>
      </c>
      <c r="FWS103" s="13">
        <v>0.1</v>
      </c>
      <c r="FWT103" s="13">
        <v>0.1</v>
      </c>
      <c r="FWU103" s="13">
        <v>0.1</v>
      </c>
      <c r="FWV103" s="13">
        <v>0.1</v>
      </c>
      <c r="FWW103" s="13">
        <v>0.1</v>
      </c>
      <c r="FWX103" s="13">
        <v>0.1</v>
      </c>
      <c r="FWY103" s="13">
        <v>0.1</v>
      </c>
      <c r="FWZ103" s="13">
        <v>0.1</v>
      </c>
      <c r="FXA103" s="13">
        <v>0.1</v>
      </c>
      <c r="FXB103" s="13">
        <v>0.1</v>
      </c>
      <c r="FXC103" s="13">
        <v>0.1</v>
      </c>
      <c r="FXD103" s="13">
        <v>0.1</v>
      </c>
      <c r="FXE103" s="13">
        <v>0.1</v>
      </c>
      <c r="FXF103" s="13">
        <v>0.1</v>
      </c>
      <c r="FXG103" s="13">
        <v>0.1</v>
      </c>
      <c r="FXH103" s="13">
        <v>0.1</v>
      </c>
      <c r="FXI103" s="13">
        <v>0.1</v>
      </c>
      <c r="FXJ103" s="13">
        <v>0.1</v>
      </c>
      <c r="FXK103" s="13">
        <v>0.1</v>
      </c>
      <c r="FXL103" s="13">
        <v>0.1</v>
      </c>
      <c r="FXM103" s="13">
        <v>0.1</v>
      </c>
      <c r="FXN103" s="13">
        <v>0.1</v>
      </c>
      <c r="FXO103" s="13">
        <v>0.1</v>
      </c>
      <c r="FXP103" s="13">
        <v>0.1</v>
      </c>
      <c r="FXQ103" s="13">
        <v>0.1</v>
      </c>
      <c r="FXR103" s="13">
        <v>0.1</v>
      </c>
      <c r="FXS103" s="13">
        <v>0.1</v>
      </c>
      <c r="FXT103" s="13">
        <v>0.1</v>
      </c>
      <c r="FXU103" s="13">
        <v>0.1</v>
      </c>
      <c r="FXV103" s="13">
        <v>0.1</v>
      </c>
      <c r="FXW103" s="13">
        <v>0.1</v>
      </c>
      <c r="FXX103" s="13">
        <v>0.1</v>
      </c>
      <c r="FXY103" s="13">
        <v>0.1</v>
      </c>
      <c r="FXZ103" s="13">
        <v>0.1</v>
      </c>
      <c r="FYA103" s="13">
        <v>0.1</v>
      </c>
      <c r="FYB103" s="13">
        <v>0.1</v>
      </c>
      <c r="FYC103" s="13">
        <v>0.1</v>
      </c>
      <c r="FYD103" s="13">
        <v>0.1</v>
      </c>
      <c r="FYE103" s="13">
        <v>0.1</v>
      </c>
      <c r="FYF103" s="13">
        <v>0.1</v>
      </c>
      <c r="FYG103" s="13">
        <v>0.1</v>
      </c>
      <c r="FYH103" s="13">
        <v>0.1</v>
      </c>
      <c r="FYI103" s="13">
        <v>0.1</v>
      </c>
      <c r="FYJ103" s="13">
        <v>0.1</v>
      </c>
      <c r="FYK103" s="13">
        <v>0.1</v>
      </c>
      <c r="FYL103" s="13">
        <v>0.1</v>
      </c>
      <c r="FYM103" s="13">
        <v>0.1</v>
      </c>
      <c r="FYN103" s="13">
        <v>0.1</v>
      </c>
      <c r="FYO103" s="13">
        <v>0.1</v>
      </c>
      <c r="FYP103" s="13">
        <v>0.1</v>
      </c>
      <c r="FYQ103" s="13">
        <v>0.1</v>
      </c>
      <c r="FYR103" s="13">
        <v>0.1</v>
      </c>
      <c r="FYS103" s="13">
        <v>0.1</v>
      </c>
      <c r="FYT103" s="13">
        <v>0.1</v>
      </c>
      <c r="FYU103" s="13">
        <v>0.1</v>
      </c>
      <c r="FYV103" s="13">
        <v>0.1</v>
      </c>
      <c r="FYW103" s="13">
        <v>0.1</v>
      </c>
      <c r="FYX103" s="13">
        <v>0.1</v>
      </c>
      <c r="FYY103" s="13">
        <v>0.1</v>
      </c>
      <c r="FYZ103" s="13">
        <v>0.1</v>
      </c>
      <c r="FZA103" s="13">
        <v>0.1</v>
      </c>
      <c r="FZB103" s="13">
        <v>0.1</v>
      </c>
      <c r="FZC103" s="13">
        <v>0.1</v>
      </c>
      <c r="FZD103" s="13">
        <v>0.1</v>
      </c>
      <c r="FZE103" s="13">
        <v>0.1</v>
      </c>
      <c r="FZF103" s="13">
        <v>0.1</v>
      </c>
      <c r="FZG103" s="13">
        <v>0.1</v>
      </c>
      <c r="FZH103" s="13">
        <v>0.1</v>
      </c>
      <c r="FZI103" s="13">
        <v>0.1</v>
      </c>
      <c r="FZJ103" s="13">
        <v>0.1</v>
      </c>
      <c r="FZK103" s="13">
        <v>0.1</v>
      </c>
      <c r="FZL103" s="13">
        <v>0.1</v>
      </c>
      <c r="FZM103" s="13">
        <v>0.1</v>
      </c>
      <c r="FZN103" s="13">
        <v>0.1</v>
      </c>
      <c r="FZO103" s="13">
        <v>0.1</v>
      </c>
      <c r="FZP103" s="13">
        <v>0.1</v>
      </c>
      <c r="FZQ103" s="13">
        <v>0.1</v>
      </c>
      <c r="FZR103" s="13">
        <v>0.1</v>
      </c>
      <c r="FZS103" s="13">
        <v>0.1</v>
      </c>
      <c r="FZT103" s="13">
        <v>0.1</v>
      </c>
      <c r="FZU103" s="13">
        <v>0.1</v>
      </c>
      <c r="FZV103" s="13">
        <v>0.1</v>
      </c>
      <c r="FZW103" s="13">
        <v>0.1</v>
      </c>
      <c r="FZX103" s="13">
        <v>0.1</v>
      </c>
      <c r="FZY103" s="13">
        <v>0.1</v>
      </c>
      <c r="FZZ103" s="13">
        <v>0.1</v>
      </c>
      <c r="GAA103" s="13">
        <v>0.1</v>
      </c>
      <c r="GAB103" s="13">
        <v>0.1</v>
      </c>
      <c r="GAC103" s="13">
        <v>0.1</v>
      </c>
      <c r="GAD103" s="13">
        <v>0.1</v>
      </c>
      <c r="GAE103" s="13">
        <v>0.1</v>
      </c>
      <c r="GAF103" s="13">
        <v>0.1</v>
      </c>
      <c r="GAG103" s="13">
        <v>0.1</v>
      </c>
      <c r="GAH103" s="13">
        <v>0.1</v>
      </c>
      <c r="GAI103" s="13">
        <v>0.1</v>
      </c>
      <c r="GAJ103" s="13">
        <v>0.1</v>
      </c>
      <c r="GAK103" s="13">
        <v>0.1</v>
      </c>
      <c r="GAL103" s="13">
        <v>0.1</v>
      </c>
      <c r="GAM103" s="13">
        <v>0.1</v>
      </c>
      <c r="GAN103" s="13">
        <v>0.1</v>
      </c>
      <c r="GAO103" s="13">
        <v>0.1</v>
      </c>
      <c r="GAP103" s="13">
        <v>0.1</v>
      </c>
      <c r="GAQ103" s="13">
        <v>0.1</v>
      </c>
      <c r="GAR103" s="13">
        <v>0.1</v>
      </c>
      <c r="GAS103" s="13">
        <v>0.1</v>
      </c>
      <c r="GAT103" s="13">
        <v>0.1</v>
      </c>
      <c r="GAU103" s="13">
        <v>0.1</v>
      </c>
      <c r="GAV103" s="13">
        <v>0.1</v>
      </c>
      <c r="GAW103" s="13">
        <v>0.1</v>
      </c>
      <c r="GAX103" s="13">
        <v>0.1</v>
      </c>
      <c r="GAY103" s="13">
        <v>0.1</v>
      </c>
      <c r="GAZ103" s="13">
        <v>0.1</v>
      </c>
      <c r="GBA103" s="13">
        <v>0.1</v>
      </c>
      <c r="GBB103" s="13">
        <v>0.1</v>
      </c>
      <c r="GBC103" s="13">
        <v>0.1</v>
      </c>
      <c r="GBD103" s="13">
        <v>0.1</v>
      </c>
      <c r="GBE103" s="13">
        <v>0.1</v>
      </c>
      <c r="GBF103" s="13">
        <v>0.1</v>
      </c>
      <c r="GBG103" s="13">
        <v>0.1</v>
      </c>
      <c r="GBH103" s="13">
        <v>0.1</v>
      </c>
      <c r="GBI103" s="13">
        <v>0.1</v>
      </c>
      <c r="GBJ103" s="13">
        <v>0.1</v>
      </c>
      <c r="GBK103" s="13">
        <v>0.1</v>
      </c>
      <c r="GBL103" s="13">
        <v>0.1</v>
      </c>
      <c r="GBM103" s="13">
        <v>0.1</v>
      </c>
      <c r="GBN103" s="13">
        <v>0.1</v>
      </c>
      <c r="GBO103" s="13">
        <v>0.1</v>
      </c>
      <c r="GBP103" s="13">
        <v>0.1</v>
      </c>
      <c r="GBQ103" s="13">
        <v>0.1</v>
      </c>
      <c r="GBR103" s="13">
        <v>0.1</v>
      </c>
      <c r="GBS103" s="13">
        <v>0.1</v>
      </c>
      <c r="GBT103" s="13">
        <v>0.1</v>
      </c>
      <c r="GBU103" s="13">
        <v>0.1</v>
      </c>
      <c r="GBV103" s="13">
        <v>0.1</v>
      </c>
      <c r="GBW103" s="13">
        <v>0.1</v>
      </c>
      <c r="GBX103" s="13">
        <v>0.1</v>
      </c>
      <c r="GBY103" s="13">
        <v>0.1</v>
      </c>
      <c r="GBZ103" s="13">
        <v>0.1</v>
      </c>
      <c r="GCA103" s="13">
        <v>0.1</v>
      </c>
      <c r="GCB103" s="13">
        <v>0.1</v>
      </c>
      <c r="GCC103" s="13">
        <v>0.1</v>
      </c>
      <c r="GCD103" s="13">
        <v>0.1</v>
      </c>
      <c r="GCE103" s="13">
        <v>0.1</v>
      </c>
      <c r="GCF103" s="13">
        <v>0.1</v>
      </c>
      <c r="GCG103" s="13">
        <v>0.1</v>
      </c>
      <c r="GCH103" s="13">
        <v>0.1</v>
      </c>
      <c r="GCI103" s="13">
        <v>0.1</v>
      </c>
      <c r="GCJ103" s="13">
        <v>0.1</v>
      </c>
      <c r="GCK103" s="13">
        <v>0.1</v>
      </c>
      <c r="GCL103" s="13">
        <v>0.1</v>
      </c>
      <c r="GCM103" s="13">
        <v>0.1</v>
      </c>
      <c r="GCN103" s="13">
        <v>0.1</v>
      </c>
      <c r="GCO103" s="13">
        <v>0.1</v>
      </c>
      <c r="GCP103" s="13">
        <v>0.1</v>
      </c>
      <c r="GCQ103" s="13">
        <v>0.1</v>
      </c>
      <c r="GCR103" s="13">
        <v>0.1</v>
      </c>
      <c r="GCS103" s="13">
        <v>0.1</v>
      </c>
      <c r="GCT103" s="13">
        <v>0.1</v>
      </c>
      <c r="GCU103" s="13">
        <v>0.1</v>
      </c>
      <c r="GCV103" s="13">
        <v>0.1</v>
      </c>
      <c r="GCW103" s="13">
        <v>0.1</v>
      </c>
      <c r="GCX103" s="13">
        <v>0.1</v>
      </c>
      <c r="GCY103" s="13">
        <v>0.1</v>
      </c>
      <c r="GCZ103" s="13">
        <v>0.1</v>
      </c>
      <c r="GDA103" s="13">
        <v>0.1</v>
      </c>
      <c r="GDB103" s="13">
        <v>0.1</v>
      </c>
      <c r="GDC103" s="13">
        <v>0.1</v>
      </c>
      <c r="GDD103" s="13">
        <v>0.1</v>
      </c>
      <c r="GDE103" s="13">
        <v>0.1</v>
      </c>
      <c r="GDF103" s="13">
        <v>0.1</v>
      </c>
      <c r="GDG103" s="13">
        <v>0.1</v>
      </c>
      <c r="GDH103" s="13">
        <v>0.1</v>
      </c>
      <c r="GDI103" s="13">
        <v>0.1</v>
      </c>
      <c r="GDJ103" s="13">
        <v>0.1</v>
      </c>
      <c r="GDK103" s="13">
        <v>0.1</v>
      </c>
      <c r="GDL103" s="13">
        <v>0.1</v>
      </c>
      <c r="GDM103" s="13">
        <v>0.1</v>
      </c>
      <c r="GDN103" s="13">
        <v>0.1</v>
      </c>
      <c r="GDO103" s="13">
        <v>0.1</v>
      </c>
      <c r="GDP103" s="13">
        <v>0.1</v>
      </c>
      <c r="GDQ103" s="13">
        <v>0.1</v>
      </c>
      <c r="GDR103" s="13">
        <v>0.1</v>
      </c>
      <c r="GDS103" s="13">
        <v>0.1</v>
      </c>
      <c r="GDT103" s="13">
        <v>0.1</v>
      </c>
      <c r="GDU103" s="13">
        <v>0.1</v>
      </c>
      <c r="GDV103" s="13">
        <v>0.1</v>
      </c>
      <c r="GDW103" s="13">
        <v>0.1</v>
      </c>
      <c r="GDX103" s="13">
        <v>0.1</v>
      </c>
      <c r="GDY103" s="13">
        <v>0.1</v>
      </c>
      <c r="GDZ103" s="13">
        <v>0.1</v>
      </c>
      <c r="GEA103" s="13">
        <v>0.1</v>
      </c>
      <c r="GEB103" s="13">
        <v>0.1</v>
      </c>
      <c r="GEC103" s="13">
        <v>0.1</v>
      </c>
      <c r="GED103" s="13">
        <v>0.1</v>
      </c>
      <c r="GEE103" s="13">
        <v>0.1</v>
      </c>
      <c r="GEF103" s="13">
        <v>0.1</v>
      </c>
      <c r="GEG103" s="13">
        <v>0.1</v>
      </c>
      <c r="GEH103" s="13">
        <v>0.1</v>
      </c>
      <c r="GEI103" s="13">
        <v>0.1</v>
      </c>
      <c r="GEJ103" s="13">
        <v>0.1</v>
      </c>
      <c r="GEK103" s="13">
        <v>0.1</v>
      </c>
      <c r="GEL103" s="13">
        <v>0.1</v>
      </c>
      <c r="GEM103" s="13">
        <v>0.1</v>
      </c>
      <c r="GEN103" s="13">
        <v>0.1</v>
      </c>
      <c r="GEO103" s="13">
        <v>0.1</v>
      </c>
      <c r="GEP103" s="13">
        <v>0.1</v>
      </c>
      <c r="GEQ103" s="13">
        <v>0.1</v>
      </c>
      <c r="GER103" s="13">
        <v>0.1</v>
      </c>
      <c r="GES103" s="13">
        <v>0.1</v>
      </c>
      <c r="GET103" s="13">
        <v>0.1</v>
      </c>
      <c r="GEU103" s="13">
        <v>0.1</v>
      </c>
      <c r="GEV103" s="13">
        <v>0.1</v>
      </c>
      <c r="GEW103" s="13">
        <v>0.1</v>
      </c>
      <c r="GEX103" s="13">
        <v>0.1</v>
      </c>
      <c r="GEY103" s="13">
        <v>0.1</v>
      </c>
      <c r="GEZ103" s="13">
        <v>0.1</v>
      </c>
      <c r="GFA103" s="13">
        <v>0.1</v>
      </c>
      <c r="GFB103" s="13">
        <v>0.1</v>
      </c>
      <c r="GFC103" s="13">
        <v>0.1</v>
      </c>
      <c r="GFD103" s="13">
        <v>0.1</v>
      </c>
      <c r="GFE103" s="13">
        <v>0.1</v>
      </c>
      <c r="GFF103" s="13">
        <v>0.1</v>
      </c>
      <c r="GFG103" s="13">
        <v>0.1</v>
      </c>
      <c r="GFH103" s="13">
        <v>0.1</v>
      </c>
      <c r="GFI103" s="13">
        <v>0.1</v>
      </c>
      <c r="GFJ103" s="13">
        <v>0.1</v>
      </c>
      <c r="GFK103" s="13">
        <v>0.1</v>
      </c>
      <c r="GFL103" s="13">
        <v>0.1</v>
      </c>
      <c r="GFM103" s="13">
        <v>0.1</v>
      </c>
      <c r="GFN103" s="13">
        <v>0.1</v>
      </c>
      <c r="GFO103" s="13">
        <v>0.1</v>
      </c>
      <c r="GFP103" s="13">
        <v>0.1</v>
      </c>
      <c r="GFQ103" s="13">
        <v>0.1</v>
      </c>
      <c r="GFR103" s="13">
        <v>0.1</v>
      </c>
      <c r="GFS103" s="13">
        <v>0.1</v>
      </c>
      <c r="GFT103" s="13">
        <v>0.1</v>
      </c>
      <c r="GFU103" s="13">
        <v>0.1</v>
      </c>
      <c r="GFV103" s="13">
        <v>0.1</v>
      </c>
      <c r="GFW103" s="13">
        <v>0.1</v>
      </c>
      <c r="GFX103" s="13">
        <v>0.1</v>
      </c>
      <c r="GFY103" s="13">
        <v>0.1</v>
      </c>
      <c r="GFZ103" s="13">
        <v>0.1</v>
      </c>
      <c r="GGA103" s="13">
        <v>0.1</v>
      </c>
      <c r="GGB103" s="13">
        <v>0.1</v>
      </c>
      <c r="GGC103" s="13">
        <v>0.1</v>
      </c>
      <c r="GGD103" s="13">
        <v>0.1</v>
      </c>
      <c r="GGE103" s="13">
        <v>0.1</v>
      </c>
      <c r="GGF103" s="13">
        <v>0.1</v>
      </c>
      <c r="GGG103" s="13">
        <v>0.1</v>
      </c>
      <c r="GGH103" s="13">
        <v>0.1</v>
      </c>
      <c r="GGI103" s="13">
        <v>0.1</v>
      </c>
      <c r="GGJ103" s="13">
        <v>0.1</v>
      </c>
      <c r="GGK103" s="13">
        <v>0.1</v>
      </c>
      <c r="GGL103" s="13">
        <v>0.1</v>
      </c>
      <c r="GGM103" s="13">
        <v>0.1</v>
      </c>
      <c r="GGN103" s="13">
        <v>0.1</v>
      </c>
      <c r="GGO103" s="13">
        <v>0.1</v>
      </c>
      <c r="GGP103" s="13">
        <v>0.1</v>
      </c>
      <c r="GGQ103" s="13">
        <v>0.1</v>
      </c>
      <c r="GGR103" s="13">
        <v>0.1</v>
      </c>
      <c r="GGS103" s="13">
        <v>0.1</v>
      </c>
      <c r="GGT103" s="13">
        <v>0.1</v>
      </c>
      <c r="GGU103" s="13">
        <v>0.1</v>
      </c>
      <c r="GGV103" s="13">
        <v>0.1</v>
      </c>
      <c r="GGW103" s="13">
        <v>0.1</v>
      </c>
      <c r="GGX103" s="13">
        <v>0.1</v>
      </c>
      <c r="GGY103" s="13">
        <v>0.1</v>
      </c>
      <c r="GGZ103" s="13">
        <v>0.1</v>
      </c>
      <c r="GHA103" s="13">
        <v>0.1</v>
      </c>
      <c r="GHB103" s="13">
        <v>0.1</v>
      </c>
      <c r="GHC103" s="13">
        <v>0.1</v>
      </c>
      <c r="GHD103" s="13">
        <v>0.1</v>
      </c>
      <c r="GHE103" s="13">
        <v>0.1</v>
      </c>
      <c r="GHF103" s="13">
        <v>0.1</v>
      </c>
      <c r="GHG103" s="13">
        <v>0.1</v>
      </c>
      <c r="GHH103" s="13">
        <v>0.1</v>
      </c>
      <c r="GHI103" s="13">
        <v>0.1</v>
      </c>
      <c r="GHJ103" s="13">
        <v>0.1</v>
      </c>
      <c r="GHK103" s="13">
        <v>0.1</v>
      </c>
      <c r="GHL103" s="13">
        <v>0.1</v>
      </c>
      <c r="GHM103" s="13">
        <v>0.1</v>
      </c>
      <c r="GHN103" s="13">
        <v>0.1</v>
      </c>
      <c r="GHO103" s="13">
        <v>0.1</v>
      </c>
      <c r="GHP103" s="13">
        <v>0.1</v>
      </c>
      <c r="GHQ103" s="13">
        <v>0.1</v>
      </c>
      <c r="GHR103" s="13">
        <v>0.1</v>
      </c>
      <c r="GHS103" s="13">
        <v>0.1</v>
      </c>
      <c r="GHT103" s="13">
        <v>0.1</v>
      </c>
      <c r="GHU103" s="13">
        <v>0.1</v>
      </c>
      <c r="GHV103" s="13">
        <v>0.1</v>
      </c>
      <c r="GHW103" s="13">
        <v>0.1</v>
      </c>
      <c r="GHX103" s="13">
        <v>0.1</v>
      </c>
      <c r="GHY103" s="13">
        <v>0.1</v>
      </c>
      <c r="GHZ103" s="13">
        <v>0.1</v>
      </c>
      <c r="GIA103" s="13">
        <v>0.1</v>
      </c>
      <c r="GIB103" s="13">
        <v>0.1</v>
      </c>
      <c r="GIC103" s="13">
        <v>0.1</v>
      </c>
      <c r="GID103" s="13">
        <v>0.1</v>
      </c>
      <c r="GIE103" s="13">
        <v>0.1</v>
      </c>
      <c r="GIF103" s="13">
        <v>0.1</v>
      </c>
      <c r="GIG103" s="13">
        <v>0.1</v>
      </c>
      <c r="GIH103" s="13">
        <v>0.1</v>
      </c>
      <c r="GII103" s="13">
        <v>0.1</v>
      </c>
      <c r="GIJ103" s="13">
        <v>0.1</v>
      </c>
      <c r="GIK103" s="13">
        <v>0.1</v>
      </c>
      <c r="GIL103" s="13">
        <v>0.1</v>
      </c>
      <c r="GIM103" s="13">
        <v>0.1</v>
      </c>
      <c r="GIN103" s="13">
        <v>0.1</v>
      </c>
      <c r="GIO103" s="13">
        <v>0.1</v>
      </c>
      <c r="GIP103" s="13">
        <v>0.1</v>
      </c>
      <c r="GIQ103" s="13">
        <v>0.1</v>
      </c>
      <c r="GIR103" s="13">
        <v>0.1</v>
      </c>
      <c r="GIS103" s="13">
        <v>0.1</v>
      </c>
      <c r="GIT103" s="13">
        <v>0.1</v>
      </c>
      <c r="GIU103" s="13">
        <v>0.1</v>
      </c>
      <c r="GIV103" s="13">
        <v>0.1</v>
      </c>
      <c r="GIW103" s="13">
        <v>0.1</v>
      </c>
      <c r="GIX103" s="13">
        <v>0.1</v>
      </c>
      <c r="GIY103" s="13">
        <v>0.1</v>
      </c>
      <c r="GIZ103" s="13">
        <v>0.1</v>
      </c>
      <c r="GJA103" s="13">
        <v>0.1</v>
      </c>
      <c r="GJB103" s="13">
        <v>0.1</v>
      </c>
      <c r="GJC103" s="13">
        <v>0.1</v>
      </c>
      <c r="GJD103" s="13">
        <v>0.1</v>
      </c>
      <c r="GJE103" s="13">
        <v>0.1</v>
      </c>
      <c r="GJF103" s="13">
        <v>0.1</v>
      </c>
      <c r="GJG103" s="13">
        <v>0.1</v>
      </c>
      <c r="GJH103" s="13">
        <v>0.1</v>
      </c>
      <c r="GJI103" s="13">
        <v>0.1</v>
      </c>
      <c r="GJJ103" s="13">
        <v>0.1</v>
      </c>
      <c r="GJK103" s="13">
        <v>0.1</v>
      </c>
      <c r="GJL103" s="13">
        <v>0.1</v>
      </c>
      <c r="GJM103" s="13">
        <v>0.1</v>
      </c>
      <c r="GJN103" s="13">
        <v>0.1</v>
      </c>
      <c r="GJO103" s="13">
        <v>0.1</v>
      </c>
      <c r="GJP103" s="13">
        <v>0.1</v>
      </c>
      <c r="GJQ103" s="13">
        <v>0.1</v>
      </c>
      <c r="GJR103" s="13">
        <v>0.1</v>
      </c>
      <c r="GJS103" s="13">
        <v>0.1</v>
      </c>
      <c r="GJT103" s="13">
        <v>0.1</v>
      </c>
      <c r="GJU103" s="13">
        <v>0.1</v>
      </c>
      <c r="GJV103" s="13">
        <v>0.1</v>
      </c>
      <c r="GJW103" s="13">
        <v>0.1</v>
      </c>
      <c r="GJX103" s="13">
        <v>0.1</v>
      </c>
      <c r="GJY103" s="13">
        <v>0.1</v>
      </c>
      <c r="GJZ103" s="13">
        <v>0.1</v>
      </c>
      <c r="GKA103" s="13">
        <v>0.1</v>
      </c>
      <c r="GKB103" s="13">
        <v>0.1</v>
      </c>
      <c r="GKC103" s="13">
        <v>0.1</v>
      </c>
      <c r="GKD103" s="13">
        <v>0.1</v>
      </c>
      <c r="GKE103" s="13">
        <v>0.1</v>
      </c>
      <c r="GKF103" s="13">
        <v>0.1</v>
      </c>
      <c r="GKG103" s="13">
        <v>0.1</v>
      </c>
      <c r="GKH103" s="13">
        <v>0.1</v>
      </c>
      <c r="GKI103" s="13">
        <v>0.1</v>
      </c>
      <c r="GKJ103" s="13">
        <v>0.1</v>
      </c>
      <c r="GKK103" s="13">
        <v>0.1</v>
      </c>
      <c r="GKL103" s="13">
        <v>0.1</v>
      </c>
      <c r="GKM103" s="13">
        <v>0.1</v>
      </c>
      <c r="GKN103" s="13">
        <v>0.1</v>
      </c>
      <c r="GKO103" s="13">
        <v>0.1</v>
      </c>
      <c r="GKP103" s="13">
        <v>0.1</v>
      </c>
      <c r="GKQ103" s="13">
        <v>0.1</v>
      </c>
      <c r="GKR103" s="13">
        <v>0.1</v>
      </c>
      <c r="GKS103" s="13">
        <v>0.1</v>
      </c>
      <c r="GKT103" s="13">
        <v>0.1</v>
      </c>
      <c r="GKU103" s="13">
        <v>0.1</v>
      </c>
      <c r="GKV103" s="13">
        <v>0.1</v>
      </c>
      <c r="GKW103" s="13">
        <v>0.1</v>
      </c>
      <c r="GKX103" s="13">
        <v>0.1</v>
      </c>
      <c r="GKY103" s="13">
        <v>0.1</v>
      </c>
      <c r="GKZ103" s="13">
        <v>0.1</v>
      </c>
      <c r="GLA103" s="13">
        <v>0.1</v>
      </c>
      <c r="GLB103" s="13">
        <v>0.1</v>
      </c>
      <c r="GLC103" s="13">
        <v>0.1</v>
      </c>
      <c r="GLD103" s="13">
        <v>0.1</v>
      </c>
      <c r="GLE103" s="13">
        <v>0.1</v>
      </c>
      <c r="GLF103" s="13">
        <v>0.1</v>
      </c>
      <c r="GLG103" s="13">
        <v>0.1</v>
      </c>
      <c r="GLH103" s="13">
        <v>0.1</v>
      </c>
      <c r="GLI103" s="13">
        <v>0.1</v>
      </c>
      <c r="GLJ103" s="13">
        <v>0.1</v>
      </c>
      <c r="GLK103" s="13">
        <v>0.1</v>
      </c>
      <c r="GLL103" s="13">
        <v>0.1</v>
      </c>
      <c r="GLM103" s="13">
        <v>0.1</v>
      </c>
      <c r="GLN103" s="13">
        <v>0.1</v>
      </c>
      <c r="GLO103" s="13">
        <v>0.1</v>
      </c>
      <c r="GLP103" s="13">
        <v>0.1</v>
      </c>
      <c r="GLQ103" s="13">
        <v>0.1</v>
      </c>
      <c r="GLR103" s="13">
        <v>0.1</v>
      </c>
      <c r="GLS103" s="13">
        <v>0.1</v>
      </c>
      <c r="GLT103" s="13">
        <v>0.1</v>
      </c>
      <c r="GLU103" s="13">
        <v>0.1</v>
      </c>
      <c r="GLV103" s="13">
        <v>0.1</v>
      </c>
      <c r="GLW103" s="13">
        <v>0.1</v>
      </c>
      <c r="GLX103" s="13">
        <v>0.1</v>
      </c>
      <c r="GLY103" s="13">
        <v>0.1</v>
      </c>
      <c r="GLZ103" s="13">
        <v>0.1</v>
      </c>
      <c r="GMA103" s="13">
        <v>0.1</v>
      </c>
      <c r="GMB103" s="13">
        <v>0.1</v>
      </c>
      <c r="GMC103" s="13">
        <v>0.1</v>
      </c>
      <c r="GMD103" s="13">
        <v>0.1</v>
      </c>
      <c r="GME103" s="13">
        <v>0.1</v>
      </c>
      <c r="GMF103" s="13">
        <v>0.1</v>
      </c>
      <c r="GMG103" s="13">
        <v>0.1</v>
      </c>
      <c r="GMH103" s="13">
        <v>0.1</v>
      </c>
      <c r="GMI103" s="13">
        <v>0.1</v>
      </c>
      <c r="GMJ103" s="13">
        <v>0.1</v>
      </c>
      <c r="GMK103" s="13">
        <v>0.1</v>
      </c>
      <c r="GML103" s="13">
        <v>0.1</v>
      </c>
      <c r="GMM103" s="13">
        <v>0.1</v>
      </c>
      <c r="GMN103" s="13">
        <v>0.1</v>
      </c>
      <c r="GMO103" s="13">
        <v>0.1</v>
      </c>
      <c r="GMP103" s="13">
        <v>0.1</v>
      </c>
      <c r="GMQ103" s="13">
        <v>0.1</v>
      </c>
      <c r="GMR103" s="13">
        <v>0.1</v>
      </c>
      <c r="GMS103" s="13">
        <v>0.1</v>
      </c>
      <c r="GMT103" s="13">
        <v>0.1</v>
      </c>
      <c r="GMU103" s="13">
        <v>0.1</v>
      </c>
      <c r="GMV103" s="13">
        <v>0.1</v>
      </c>
      <c r="GMW103" s="13">
        <v>0.1</v>
      </c>
      <c r="GMX103" s="13">
        <v>0.1</v>
      </c>
      <c r="GMY103" s="13">
        <v>0.1</v>
      </c>
      <c r="GMZ103" s="13">
        <v>0.1</v>
      </c>
      <c r="GNA103" s="13">
        <v>0.1</v>
      </c>
      <c r="GNB103" s="13">
        <v>0.1</v>
      </c>
      <c r="GNC103" s="13">
        <v>0.1</v>
      </c>
      <c r="GND103" s="13">
        <v>0.1</v>
      </c>
      <c r="GNE103" s="13">
        <v>0.1</v>
      </c>
      <c r="GNF103" s="13">
        <v>0.1</v>
      </c>
      <c r="GNG103" s="13">
        <v>0.1</v>
      </c>
      <c r="GNH103" s="13">
        <v>0.1</v>
      </c>
      <c r="GNI103" s="13">
        <v>0.1</v>
      </c>
      <c r="GNJ103" s="13">
        <v>0.1</v>
      </c>
      <c r="GNK103" s="13">
        <v>0.1</v>
      </c>
      <c r="GNL103" s="13">
        <v>0.1</v>
      </c>
      <c r="GNM103" s="13">
        <v>0.1</v>
      </c>
      <c r="GNN103" s="13">
        <v>0.1</v>
      </c>
      <c r="GNO103" s="13">
        <v>0.1</v>
      </c>
      <c r="GNP103" s="13">
        <v>0.1</v>
      </c>
      <c r="GNQ103" s="13">
        <v>0.1</v>
      </c>
      <c r="GNR103" s="13">
        <v>0.1</v>
      </c>
      <c r="GNS103" s="13">
        <v>0.1</v>
      </c>
      <c r="GNT103" s="13">
        <v>0.1</v>
      </c>
      <c r="GNU103" s="13">
        <v>0.1</v>
      </c>
      <c r="GNV103" s="13">
        <v>0.1</v>
      </c>
      <c r="GNW103" s="13">
        <v>0.1</v>
      </c>
      <c r="GNX103" s="13">
        <v>0.1</v>
      </c>
      <c r="GNY103" s="13">
        <v>0.1</v>
      </c>
      <c r="GNZ103" s="13">
        <v>0.1</v>
      </c>
      <c r="GOA103" s="13">
        <v>0.1</v>
      </c>
      <c r="GOB103" s="13">
        <v>0.1</v>
      </c>
      <c r="GOC103" s="13">
        <v>0.1</v>
      </c>
      <c r="GOD103" s="13">
        <v>0.1</v>
      </c>
      <c r="GOE103" s="13">
        <v>0.1</v>
      </c>
      <c r="GOF103" s="13">
        <v>0.1</v>
      </c>
      <c r="GOG103" s="13">
        <v>0.1</v>
      </c>
      <c r="GOH103" s="13">
        <v>0.1</v>
      </c>
      <c r="GOI103" s="13">
        <v>0.1</v>
      </c>
      <c r="GOJ103" s="13">
        <v>0.1</v>
      </c>
      <c r="GOK103" s="13">
        <v>0.1</v>
      </c>
      <c r="GOL103" s="13">
        <v>0.1</v>
      </c>
      <c r="GOM103" s="13">
        <v>0.1</v>
      </c>
      <c r="GON103" s="13">
        <v>0.1</v>
      </c>
      <c r="GOO103" s="13">
        <v>0.1</v>
      </c>
      <c r="GOP103" s="13">
        <v>0.1</v>
      </c>
      <c r="GOQ103" s="13">
        <v>0.1</v>
      </c>
      <c r="GOR103" s="13">
        <v>0.1</v>
      </c>
      <c r="GOS103" s="13">
        <v>0.1</v>
      </c>
      <c r="GOT103" s="13">
        <v>0.1</v>
      </c>
      <c r="GOU103" s="13">
        <v>0.1</v>
      </c>
      <c r="GOV103" s="13">
        <v>0.1</v>
      </c>
      <c r="GOW103" s="13">
        <v>0.1</v>
      </c>
      <c r="GOX103" s="13">
        <v>0.1</v>
      </c>
      <c r="GOY103" s="13">
        <v>0.1</v>
      </c>
      <c r="GOZ103" s="13">
        <v>0.1</v>
      </c>
      <c r="GPA103" s="13">
        <v>0.1</v>
      </c>
      <c r="GPB103" s="13">
        <v>0.1</v>
      </c>
      <c r="GPC103" s="13">
        <v>0.1</v>
      </c>
      <c r="GPD103" s="13">
        <v>0.1</v>
      </c>
      <c r="GPE103" s="13">
        <v>0.1</v>
      </c>
      <c r="GPF103" s="13">
        <v>0.1</v>
      </c>
      <c r="GPG103" s="13">
        <v>0.1</v>
      </c>
      <c r="GPH103" s="13">
        <v>0.1</v>
      </c>
      <c r="GPI103" s="13">
        <v>0.1</v>
      </c>
      <c r="GPJ103" s="13">
        <v>0.1</v>
      </c>
      <c r="GPK103" s="13">
        <v>0.1</v>
      </c>
      <c r="GPL103" s="13">
        <v>0.1</v>
      </c>
      <c r="GPM103" s="13">
        <v>0.1</v>
      </c>
      <c r="GPN103" s="13">
        <v>0.1</v>
      </c>
      <c r="GPO103" s="13">
        <v>0.1</v>
      </c>
      <c r="GPP103" s="13">
        <v>0.1</v>
      </c>
      <c r="GPQ103" s="13">
        <v>0.1</v>
      </c>
      <c r="GPR103" s="13">
        <v>0.1</v>
      </c>
      <c r="GPS103" s="13">
        <v>0.1</v>
      </c>
      <c r="GPT103" s="13">
        <v>0.1</v>
      </c>
      <c r="GPU103" s="13">
        <v>0.1</v>
      </c>
      <c r="GPV103" s="13">
        <v>0.1</v>
      </c>
      <c r="GPW103" s="13">
        <v>0.1</v>
      </c>
      <c r="GPX103" s="13">
        <v>0.1</v>
      </c>
      <c r="GPY103" s="13">
        <v>0.1</v>
      </c>
      <c r="GPZ103" s="13">
        <v>0.1</v>
      </c>
      <c r="GQA103" s="13">
        <v>0.1</v>
      </c>
      <c r="GQB103" s="13">
        <v>0.1</v>
      </c>
      <c r="GQC103" s="13">
        <v>0.1</v>
      </c>
      <c r="GQD103" s="13">
        <v>0.1</v>
      </c>
      <c r="GQE103" s="13">
        <v>0.1</v>
      </c>
      <c r="GQF103" s="13">
        <v>0.1</v>
      </c>
      <c r="GQG103" s="13">
        <v>0.1</v>
      </c>
      <c r="GQH103" s="13">
        <v>0.1</v>
      </c>
      <c r="GQI103" s="13">
        <v>0.1</v>
      </c>
      <c r="GQJ103" s="13">
        <v>0.1</v>
      </c>
      <c r="GQK103" s="13">
        <v>0.1</v>
      </c>
      <c r="GQL103" s="13">
        <v>0.1</v>
      </c>
      <c r="GQM103" s="13">
        <v>0.1</v>
      </c>
      <c r="GQN103" s="13">
        <v>0.1</v>
      </c>
      <c r="GQO103" s="13">
        <v>0.1</v>
      </c>
      <c r="GQP103" s="13">
        <v>0.1</v>
      </c>
      <c r="GQQ103" s="13">
        <v>0.1</v>
      </c>
      <c r="GQR103" s="13">
        <v>0.1</v>
      </c>
      <c r="GQS103" s="13">
        <v>0.1</v>
      </c>
      <c r="GQT103" s="13">
        <v>0.1</v>
      </c>
      <c r="GQU103" s="13">
        <v>0.1</v>
      </c>
      <c r="GQV103" s="13">
        <v>0.1</v>
      </c>
      <c r="GQW103" s="13">
        <v>0.1</v>
      </c>
      <c r="GQX103" s="13">
        <v>0.1</v>
      </c>
      <c r="GQY103" s="13">
        <v>0.1</v>
      </c>
      <c r="GQZ103" s="13">
        <v>0.1</v>
      </c>
      <c r="GRA103" s="13">
        <v>0.1</v>
      </c>
      <c r="GRB103" s="13">
        <v>0.1</v>
      </c>
      <c r="GRC103" s="13">
        <v>0.1</v>
      </c>
      <c r="GRD103" s="13">
        <v>0.1</v>
      </c>
      <c r="GRE103" s="13">
        <v>0.1</v>
      </c>
      <c r="GRF103" s="13">
        <v>0.1</v>
      </c>
      <c r="GRG103" s="13">
        <v>0.1</v>
      </c>
      <c r="GRH103" s="13">
        <v>0.1</v>
      </c>
      <c r="GRI103" s="13">
        <v>0.1</v>
      </c>
      <c r="GRJ103" s="13">
        <v>0.1</v>
      </c>
      <c r="GRK103" s="13">
        <v>0.1</v>
      </c>
      <c r="GRL103" s="13">
        <v>0.1</v>
      </c>
      <c r="GRM103" s="13">
        <v>0.1</v>
      </c>
      <c r="GRN103" s="13">
        <v>0.1</v>
      </c>
      <c r="GRO103" s="13">
        <v>0.1</v>
      </c>
      <c r="GRP103" s="13">
        <v>0.1</v>
      </c>
      <c r="GRQ103" s="13">
        <v>0.1</v>
      </c>
      <c r="GRR103" s="13">
        <v>0.1</v>
      </c>
      <c r="GRS103" s="13">
        <v>0.1</v>
      </c>
      <c r="GRT103" s="13">
        <v>0.1</v>
      </c>
      <c r="GRU103" s="13">
        <v>0.1</v>
      </c>
      <c r="GRV103" s="13">
        <v>0.1</v>
      </c>
      <c r="GRW103" s="13">
        <v>0.1</v>
      </c>
      <c r="GRX103" s="13">
        <v>0.1</v>
      </c>
      <c r="GRY103" s="13">
        <v>0.1</v>
      </c>
      <c r="GRZ103" s="13">
        <v>0.1</v>
      </c>
      <c r="GSA103" s="13">
        <v>0.1</v>
      </c>
      <c r="GSB103" s="13">
        <v>0.1</v>
      </c>
      <c r="GSC103" s="13">
        <v>0.1</v>
      </c>
      <c r="GSD103" s="13">
        <v>0.1</v>
      </c>
      <c r="GSE103" s="13">
        <v>0.1</v>
      </c>
      <c r="GSF103" s="13">
        <v>0.1</v>
      </c>
      <c r="GSG103" s="13">
        <v>0.1</v>
      </c>
      <c r="GSH103" s="13">
        <v>0.1</v>
      </c>
      <c r="GSI103" s="13">
        <v>0.1</v>
      </c>
      <c r="GSJ103" s="13">
        <v>0.1</v>
      </c>
      <c r="GSK103" s="13">
        <v>0.1</v>
      </c>
      <c r="GSL103" s="13">
        <v>0.1</v>
      </c>
      <c r="GSM103" s="13">
        <v>0.1</v>
      </c>
      <c r="GSN103" s="13">
        <v>0.1</v>
      </c>
      <c r="GSO103" s="13">
        <v>0.1</v>
      </c>
      <c r="GSP103" s="13">
        <v>0.1</v>
      </c>
      <c r="GSQ103" s="13">
        <v>0.1</v>
      </c>
      <c r="GSR103" s="13">
        <v>0.1</v>
      </c>
      <c r="GSS103" s="13">
        <v>0.1</v>
      </c>
      <c r="GST103" s="13">
        <v>0.1</v>
      </c>
      <c r="GSU103" s="13">
        <v>0.1</v>
      </c>
      <c r="GSV103" s="13">
        <v>0.1</v>
      </c>
      <c r="GSW103" s="13">
        <v>0.1</v>
      </c>
      <c r="GSX103" s="13">
        <v>0.1</v>
      </c>
      <c r="GSY103" s="13">
        <v>0.1</v>
      </c>
      <c r="GSZ103" s="13">
        <v>0.1</v>
      </c>
      <c r="GTA103" s="13">
        <v>0.1</v>
      </c>
      <c r="GTB103" s="13">
        <v>0.1</v>
      </c>
      <c r="GTC103" s="13">
        <v>0.1</v>
      </c>
      <c r="GTD103" s="13">
        <v>0.1</v>
      </c>
      <c r="GTE103" s="13">
        <v>0.1</v>
      </c>
      <c r="GTF103" s="13">
        <v>0.1</v>
      </c>
      <c r="GTG103" s="13">
        <v>0.1</v>
      </c>
      <c r="GTH103" s="13">
        <v>0.1</v>
      </c>
      <c r="GTI103" s="13">
        <v>0.1</v>
      </c>
      <c r="GTJ103" s="13">
        <v>0.1</v>
      </c>
      <c r="GTK103" s="13">
        <v>0.1</v>
      </c>
      <c r="GTL103" s="13">
        <v>0.1</v>
      </c>
      <c r="GTM103" s="13">
        <v>0.1</v>
      </c>
      <c r="GTN103" s="13">
        <v>0.1</v>
      </c>
      <c r="GTO103" s="13">
        <v>0.1</v>
      </c>
      <c r="GTP103" s="13">
        <v>0.1</v>
      </c>
      <c r="GTQ103" s="13">
        <v>0.1</v>
      </c>
      <c r="GTR103" s="13">
        <v>0.1</v>
      </c>
      <c r="GTS103" s="13">
        <v>0.1</v>
      </c>
      <c r="GTT103" s="13">
        <v>0.1</v>
      </c>
      <c r="GTU103" s="13">
        <v>0.1</v>
      </c>
      <c r="GTV103" s="13">
        <v>0.1</v>
      </c>
      <c r="GTW103" s="13">
        <v>0.1</v>
      </c>
      <c r="GTX103" s="13">
        <v>0.1</v>
      </c>
      <c r="GTY103" s="13">
        <v>0.1</v>
      </c>
      <c r="GTZ103" s="13">
        <v>0.1</v>
      </c>
      <c r="GUA103" s="13">
        <v>0.1</v>
      </c>
      <c r="GUB103" s="13">
        <v>0.1</v>
      </c>
      <c r="GUC103" s="13">
        <v>0.1</v>
      </c>
      <c r="GUD103" s="13">
        <v>0.1</v>
      </c>
      <c r="GUE103" s="13">
        <v>0.1</v>
      </c>
      <c r="GUF103" s="13">
        <v>0.1</v>
      </c>
      <c r="GUG103" s="13">
        <v>0.1</v>
      </c>
      <c r="GUH103" s="13">
        <v>0.1</v>
      </c>
      <c r="GUI103" s="13">
        <v>0.1</v>
      </c>
      <c r="GUJ103" s="13">
        <v>0.1</v>
      </c>
      <c r="GUK103" s="13">
        <v>0.1</v>
      </c>
      <c r="GUL103" s="13">
        <v>0.1</v>
      </c>
      <c r="GUM103" s="13">
        <v>0.1</v>
      </c>
      <c r="GUN103" s="13">
        <v>0.1</v>
      </c>
      <c r="GUO103" s="13">
        <v>0.1</v>
      </c>
      <c r="GUP103" s="13">
        <v>0.1</v>
      </c>
      <c r="GUQ103" s="13">
        <v>0.1</v>
      </c>
      <c r="GUR103" s="13">
        <v>0.1</v>
      </c>
      <c r="GUS103" s="13">
        <v>0.1</v>
      </c>
      <c r="GUT103" s="13">
        <v>0.1</v>
      </c>
      <c r="GUU103" s="13">
        <v>0.1</v>
      </c>
      <c r="GUV103" s="13">
        <v>0.1</v>
      </c>
      <c r="GUW103" s="13">
        <v>0.1</v>
      </c>
      <c r="GUX103" s="13">
        <v>0.1</v>
      </c>
      <c r="GUY103" s="13">
        <v>0.1</v>
      </c>
      <c r="GUZ103" s="13">
        <v>0.1</v>
      </c>
      <c r="GVA103" s="13">
        <v>0.1</v>
      </c>
      <c r="GVB103" s="13">
        <v>0.1</v>
      </c>
      <c r="GVC103" s="13">
        <v>0.1</v>
      </c>
      <c r="GVD103" s="13">
        <v>0.1</v>
      </c>
      <c r="GVE103" s="13">
        <v>0.1</v>
      </c>
      <c r="GVF103" s="13">
        <v>0.1</v>
      </c>
      <c r="GVG103" s="13">
        <v>0.1</v>
      </c>
      <c r="GVH103" s="13">
        <v>0.1</v>
      </c>
      <c r="GVI103" s="13">
        <v>0.1</v>
      </c>
      <c r="GVJ103" s="13">
        <v>0.1</v>
      </c>
      <c r="GVK103" s="13">
        <v>0.1</v>
      </c>
      <c r="GVL103" s="13">
        <v>0.1</v>
      </c>
      <c r="GVM103" s="13">
        <v>0.1</v>
      </c>
      <c r="GVN103" s="13">
        <v>0.1</v>
      </c>
      <c r="GVO103" s="13">
        <v>0.1</v>
      </c>
      <c r="GVP103" s="13">
        <v>0.1</v>
      </c>
      <c r="GVQ103" s="13">
        <v>0.1</v>
      </c>
      <c r="GVR103" s="13">
        <v>0.1</v>
      </c>
      <c r="GVS103" s="13">
        <v>0.1</v>
      </c>
      <c r="GVT103" s="13">
        <v>0.1</v>
      </c>
      <c r="GVU103" s="13">
        <v>0.1</v>
      </c>
      <c r="GVV103" s="13">
        <v>0.1</v>
      </c>
      <c r="GVW103" s="13">
        <v>0.1</v>
      </c>
      <c r="GVX103" s="13">
        <v>0.1</v>
      </c>
      <c r="GVY103" s="13">
        <v>0.1</v>
      </c>
      <c r="GVZ103" s="13">
        <v>0.1</v>
      </c>
      <c r="GWA103" s="13">
        <v>0.1</v>
      </c>
      <c r="GWB103" s="13">
        <v>0.1</v>
      </c>
      <c r="GWC103" s="13">
        <v>0.1</v>
      </c>
      <c r="GWD103" s="13">
        <v>0.1</v>
      </c>
      <c r="GWE103" s="13">
        <v>0.1</v>
      </c>
      <c r="GWF103" s="13">
        <v>0.1</v>
      </c>
      <c r="GWG103" s="13">
        <v>0.1</v>
      </c>
      <c r="GWH103" s="13">
        <v>0.1</v>
      </c>
      <c r="GWI103" s="13">
        <v>0.1</v>
      </c>
      <c r="GWJ103" s="13">
        <v>0.1</v>
      </c>
      <c r="GWK103" s="13">
        <v>0.1</v>
      </c>
      <c r="GWL103" s="13">
        <v>0.1</v>
      </c>
      <c r="GWM103" s="13">
        <v>0.1</v>
      </c>
      <c r="GWN103" s="13">
        <v>0.1</v>
      </c>
      <c r="GWO103" s="13">
        <v>0.1</v>
      </c>
      <c r="GWP103" s="13">
        <v>0.1</v>
      </c>
      <c r="GWQ103" s="13">
        <v>0.1</v>
      </c>
      <c r="GWR103" s="13">
        <v>0.1</v>
      </c>
      <c r="GWS103" s="13">
        <v>0.1</v>
      </c>
      <c r="GWT103" s="13">
        <v>0.1</v>
      </c>
      <c r="GWU103" s="13">
        <v>0.1</v>
      </c>
      <c r="GWV103" s="13">
        <v>0.1</v>
      </c>
      <c r="GWW103" s="13">
        <v>0.1</v>
      </c>
      <c r="GWX103" s="13">
        <v>0.1</v>
      </c>
      <c r="GWY103" s="13">
        <v>0.1</v>
      </c>
      <c r="GWZ103" s="13">
        <v>0.1</v>
      </c>
      <c r="GXA103" s="13">
        <v>0.1</v>
      </c>
      <c r="GXB103" s="13">
        <v>0.1</v>
      </c>
      <c r="GXC103" s="13">
        <v>0.1</v>
      </c>
      <c r="GXD103" s="13">
        <v>0.1</v>
      </c>
      <c r="GXE103" s="13">
        <v>0.1</v>
      </c>
      <c r="GXF103" s="13">
        <v>0.1</v>
      </c>
      <c r="GXG103" s="13">
        <v>0.1</v>
      </c>
      <c r="GXH103" s="13">
        <v>0.1</v>
      </c>
      <c r="GXI103" s="13">
        <v>0.1</v>
      </c>
      <c r="GXJ103" s="13">
        <v>0.1</v>
      </c>
      <c r="GXK103" s="13">
        <v>0.1</v>
      </c>
      <c r="GXL103" s="13">
        <v>0.1</v>
      </c>
      <c r="GXM103" s="13">
        <v>0.1</v>
      </c>
      <c r="GXN103" s="13">
        <v>0.1</v>
      </c>
      <c r="GXO103" s="13">
        <v>0.1</v>
      </c>
      <c r="GXP103" s="13">
        <v>0.1</v>
      </c>
      <c r="GXQ103" s="13">
        <v>0.1</v>
      </c>
      <c r="GXR103" s="13">
        <v>0.1</v>
      </c>
      <c r="GXS103" s="13">
        <v>0.1</v>
      </c>
      <c r="GXT103" s="13">
        <v>0.1</v>
      </c>
      <c r="GXU103" s="13">
        <v>0.1</v>
      </c>
      <c r="GXV103" s="13">
        <v>0.1</v>
      </c>
      <c r="GXW103" s="13">
        <v>0.1</v>
      </c>
      <c r="GXX103" s="13">
        <v>0.1</v>
      </c>
      <c r="GXY103" s="13">
        <v>0.1</v>
      </c>
      <c r="GXZ103" s="13">
        <v>0.1</v>
      </c>
      <c r="GYA103" s="13">
        <v>0.1</v>
      </c>
      <c r="GYB103" s="13">
        <v>0.1</v>
      </c>
      <c r="GYC103" s="13">
        <v>0.1</v>
      </c>
      <c r="GYD103" s="13">
        <v>0.1</v>
      </c>
      <c r="GYE103" s="13">
        <v>0.1</v>
      </c>
      <c r="GYF103" s="13">
        <v>0.1</v>
      </c>
      <c r="GYG103" s="13">
        <v>0.1</v>
      </c>
      <c r="GYH103" s="13">
        <v>0.1</v>
      </c>
      <c r="GYI103" s="13">
        <v>0.1</v>
      </c>
      <c r="GYJ103" s="13">
        <v>0.1</v>
      </c>
      <c r="GYK103" s="13">
        <v>0.1</v>
      </c>
      <c r="GYL103" s="13">
        <v>0.1</v>
      </c>
      <c r="GYM103" s="13">
        <v>0.1</v>
      </c>
      <c r="GYN103" s="13">
        <v>0.1</v>
      </c>
      <c r="GYO103" s="13">
        <v>0.1</v>
      </c>
      <c r="GYP103" s="13">
        <v>0.1</v>
      </c>
      <c r="GYQ103" s="13">
        <v>0.1</v>
      </c>
      <c r="GYR103" s="13">
        <v>0.1</v>
      </c>
      <c r="GYS103" s="13">
        <v>0.1</v>
      </c>
      <c r="GYT103" s="13">
        <v>0.1</v>
      </c>
      <c r="GYU103" s="13">
        <v>0.1</v>
      </c>
      <c r="GYV103" s="13">
        <v>0.1</v>
      </c>
      <c r="GYW103" s="13">
        <v>0.1</v>
      </c>
      <c r="GYX103" s="13">
        <v>0.1</v>
      </c>
      <c r="GYY103" s="13">
        <v>0.1</v>
      </c>
      <c r="GYZ103" s="13">
        <v>0.1</v>
      </c>
      <c r="GZA103" s="13">
        <v>0.1</v>
      </c>
      <c r="GZB103" s="13">
        <v>0.1</v>
      </c>
      <c r="GZC103" s="13">
        <v>0.1</v>
      </c>
      <c r="GZD103" s="13">
        <v>0.1</v>
      </c>
      <c r="GZE103" s="13">
        <v>0.1</v>
      </c>
      <c r="GZF103" s="13">
        <v>0.1</v>
      </c>
      <c r="GZG103" s="13">
        <v>0.1</v>
      </c>
      <c r="GZH103" s="13">
        <v>0.1</v>
      </c>
      <c r="GZI103" s="13">
        <v>0.1</v>
      </c>
      <c r="GZJ103" s="13">
        <v>0.1</v>
      </c>
      <c r="GZK103" s="13">
        <v>0.1</v>
      </c>
      <c r="GZL103" s="13">
        <v>0.1</v>
      </c>
      <c r="GZM103" s="13">
        <v>0.1</v>
      </c>
      <c r="GZN103" s="13">
        <v>0.1</v>
      </c>
      <c r="GZO103" s="13">
        <v>0.1</v>
      </c>
      <c r="GZP103" s="13">
        <v>0.1</v>
      </c>
      <c r="GZQ103" s="13">
        <v>0.1</v>
      </c>
      <c r="GZR103" s="13">
        <v>0.1</v>
      </c>
      <c r="GZS103" s="13">
        <v>0.1</v>
      </c>
      <c r="GZT103" s="13">
        <v>0.1</v>
      </c>
      <c r="GZU103" s="13">
        <v>0.1</v>
      </c>
      <c r="GZV103" s="13">
        <v>0.1</v>
      </c>
      <c r="GZW103" s="13">
        <v>0.1</v>
      </c>
      <c r="GZX103" s="13">
        <v>0.1</v>
      </c>
      <c r="GZY103" s="13">
        <v>0.1</v>
      </c>
      <c r="GZZ103" s="13">
        <v>0.1</v>
      </c>
      <c r="HAA103" s="13">
        <v>0.1</v>
      </c>
      <c r="HAB103" s="13">
        <v>0.1</v>
      </c>
      <c r="HAC103" s="13">
        <v>0.1</v>
      </c>
      <c r="HAD103" s="13">
        <v>0.1</v>
      </c>
      <c r="HAE103" s="13">
        <v>0.1</v>
      </c>
      <c r="HAF103" s="13">
        <v>0.1</v>
      </c>
      <c r="HAG103" s="13">
        <v>0.1</v>
      </c>
      <c r="HAH103" s="13">
        <v>0.1</v>
      </c>
      <c r="HAI103" s="13">
        <v>0.1</v>
      </c>
      <c r="HAJ103" s="13">
        <v>0.1</v>
      </c>
      <c r="HAK103" s="13">
        <v>0.1</v>
      </c>
      <c r="HAL103" s="13">
        <v>0.1</v>
      </c>
      <c r="HAM103" s="13">
        <v>0.1</v>
      </c>
      <c r="HAN103" s="13">
        <v>0.1</v>
      </c>
      <c r="HAO103" s="13">
        <v>0.1</v>
      </c>
      <c r="HAP103" s="13">
        <v>0.1</v>
      </c>
      <c r="HAQ103" s="13">
        <v>0.1</v>
      </c>
      <c r="HAR103" s="13">
        <v>0.1</v>
      </c>
      <c r="HAS103" s="13">
        <v>0.1</v>
      </c>
      <c r="HAT103" s="13">
        <v>0.1</v>
      </c>
      <c r="HAU103" s="13">
        <v>0.1</v>
      </c>
      <c r="HAV103" s="13">
        <v>0.1</v>
      </c>
      <c r="HAW103" s="13">
        <v>0.1</v>
      </c>
      <c r="HAX103" s="13">
        <v>0.1</v>
      </c>
      <c r="HAY103" s="13">
        <v>0.1</v>
      </c>
      <c r="HAZ103" s="13">
        <v>0.1</v>
      </c>
      <c r="HBA103" s="13">
        <v>0.1</v>
      </c>
      <c r="HBB103" s="13">
        <v>0.1</v>
      </c>
      <c r="HBC103" s="13">
        <v>0.1</v>
      </c>
      <c r="HBD103" s="13">
        <v>0.1</v>
      </c>
      <c r="HBE103" s="13">
        <v>0.1</v>
      </c>
      <c r="HBF103" s="13">
        <v>0.1</v>
      </c>
      <c r="HBG103" s="13">
        <v>0.1</v>
      </c>
      <c r="HBH103" s="13">
        <v>0.1</v>
      </c>
      <c r="HBI103" s="13">
        <v>0.1</v>
      </c>
      <c r="HBJ103" s="13">
        <v>0.1</v>
      </c>
      <c r="HBK103" s="13">
        <v>0.1</v>
      </c>
      <c r="HBL103" s="13">
        <v>0.1</v>
      </c>
      <c r="HBM103" s="13">
        <v>0.1</v>
      </c>
      <c r="HBN103" s="13">
        <v>0.1</v>
      </c>
      <c r="HBO103" s="13">
        <v>0.1</v>
      </c>
      <c r="HBP103" s="13">
        <v>0.1</v>
      </c>
      <c r="HBQ103" s="13">
        <v>0.1</v>
      </c>
      <c r="HBR103" s="13">
        <v>0.1</v>
      </c>
      <c r="HBS103" s="13">
        <v>0.1</v>
      </c>
      <c r="HBT103" s="13">
        <v>0.1</v>
      </c>
      <c r="HBU103" s="13">
        <v>0.1</v>
      </c>
      <c r="HBV103" s="13">
        <v>0.1</v>
      </c>
      <c r="HBW103" s="13">
        <v>0.1</v>
      </c>
      <c r="HBX103" s="13">
        <v>0.1</v>
      </c>
      <c r="HBY103" s="13">
        <v>0.1</v>
      </c>
      <c r="HBZ103" s="13">
        <v>0.1</v>
      </c>
      <c r="HCA103" s="13">
        <v>0.1</v>
      </c>
      <c r="HCB103" s="13">
        <v>0.1</v>
      </c>
      <c r="HCC103" s="13">
        <v>0.1</v>
      </c>
      <c r="HCD103" s="13">
        <v>0.1</v>
      </c>
      <c r="HCE103" s="13">
        <v>0.1</v>
      </c>
      <c r="HCF103" s="13">
        <v>0.1</v>
      </c>
      <c r="HCG103" s="13">
        <v>0.1</v>
      </c>
      <c r="HCH103" s="13">
        <v>0.1</v>
      </c>
      <c r="HCI103" s="13">
        <v>0.1</v>
      </c>
      <c r="HCJ103" s="13">
        <v>0.1</v>
      </c>
      <c r="HCK103" s="13">
        <v>0.1</v>
      </c>
      <c r="HCL103" s="13">
        <v>0.1</v>
      </c>
      <c r="HCM103" s="13">
        <v>0.1</v>
      </c>
      <c r="HCN103" s="13">
        <v>0.1</v>
      </c>
      <c r="HCO103" s="13">
        <v>0.1</v>
      </c>
      <c r="HCP103" s="13">
        <v>0.1</v>
      </c>
      <c r="HCQ103" s="13">
        <v>0.1</v>
      </c>
      <c r="HCR103" s="13">
        <v>0.1</v>
      </c>
      <c r="HCS103" s="13">
        <v>0.1</v>
      </c>
      <c r="HCT103" s="13">
        <v>0.1</v>
      </c>
      <c r="HCU103" s="13">
        <v>0.1</v>
      </c>
      <c r="HCV103" s="13">
        <v>0.1</v>
      </c>
      <c r="HCW103" s="13">
        <v>0.1</v>
      </c>
      <c r="HCX103" s="13">
        <v>0.1</v>
      </c>
      <c r="HCY103" s="13">
        <v>0.1</v>
      </c>
      <c r="HCZ103" s="13">
        <v>0.1</v>
      </c>
      <c r="HDA103" s="13">
        <v>0.1</v>
      </c>
      <c r="HDB103" s="13">
        <v>0.1</v>
      </c>
      <c r="HDC103" s="13">
        <v>0.1</v>
      </c>
      <c r="HDD103" s="13">
        <v>0.1</v>
      </c>
      <c r="HDE103" s="13">
        <v>0.1</v>
      </c>
      <c r="HDF103" s="13">
        <v>0.1</v>
      </c>
      <c r="HDG103" s="13">
        <v>0.1</v>
      </c>
      <c r="HDH103" s="13">
        <v>0.1</v>
      </c>
      <c r="HDI103" s="13">
        <v>0.1</v>
      </c>
      <c r="HDJ103" s="13">
        <v>0.1</v>
      </c>
      <c r="HDK103" s="13">
        <v>0.1</v>
      </c>
      <c r="HDL103" s="13">
        <v>0.1</v>
      </c>
      <c r="HDM103" s="13">
        <v>0.1</v>
      </c>
      <c r="HDN103" s="13">
        <v>0.1</v>
      </c>
      <c r="HDO103" s="13">
        <v>0.1</v>
      </c>
      <c r="HDP103" s="13">
        <v>0.1</v>
      </c>
      <c r="HDQ103" s="13">
        <v>0.1</v>
      </c>
      <c r="HDR103" s="13">
        <v>0.1</v>
      </c>
      <c r="HDS103" s="13">
        <v>0.1</v>
      </c>
      <c r="HDT103" s="13">
        <v>0.1</v>
      </c>
      <c r="HDU103" s="13">
        <v>0.1</v>
      </c>
      <c r="HDV103" s="13">
        <v>0.1</v>
      </c>
      <c r="HDW103" s="13">
        <v>0.1</v>
      </c>
      <c r="HDX103" s="13">
        <v>0.1</v>
      </c>
      <c r="HDY103" s="13">
        <v>0.1</v>
      </c>
      <c r="HDZ103" s="13">
        <v>0.1</v>
      </c>
      <c r="HEA103" s="13">
        <v>0.1</v>
      </c>
      <c r="HEB103" s="13">
        <v>0.1</v>
      </c>
      <c r="HEC103" s="13">
        <v>0.1</v>
      </c>
      <c r="HED103" s="13">
        <v>0.1</v>
      </c>
      <c r="HEE103" s="13">
        <v>0.1</v>
      </c>
      <c r="HEF103" s="13">
        <v>0.1</v>
      </c>
      <c r="HEG103" s="13">
        <v>0.1</v>
      </c>
      <c r="HEH103" s="13">
        <v>0.1</v>
      </c>
      <c r="HEI103" s="13">
        <v>0.1</v>
      </c>
      <c r="HEJ103" s="13">
        <v>0.1</v>
      </c>
      <c r="HEK103" s="13">
        <v>0.1</v>
      </c>
      <c r="HEL103" s="13">
        <v>0.1</v>
      </c>
      <c r="HEM103" s="13">
        <v>0.1</v>
      </c>
      <c r="HEN103" s="13">
        <v>0.1</v>
      </c>
      <c r="HEO103" s="13">
        <v>0.1</v>
      </c>
      <c r="HEP103" s="13">
        <v>0.1</v>
      </c>
      <c r="HEQ103" s="13">
        <v>0.1</v>
      </c>
      <c r="HER103" s="13">
        <v>0.1</v>
      </c>
      <c r="HES103" s="13">
        <v>0.1</v>
      </c>
      <c r="HET103" s="13">
        <v>0.1</v>
      </c>
      <c r="HEU103" s="13">
        <v>0.1</v>
      </c>
      <c r="HEV103" s="13">
        <v>0.1</v>
      </c>
      <c r="HEW103" s="13">
        <v>0.1</v>
      </c>
      <c r="HEX103" s="13">
        <v>0.1</v>
      </c>
      <c r="HEY103" s="13">
        <v>0.1</v>
      </c>
      <c r="HEZ103" s="13">
        <v>0.1</v>
      </c>
      <c r="HFA103" s="13">
        <v>0.1</v>
      </c>
      <c r="HFB103" s="13">
        <v>0.1</v>
      </c>
      <c r="HFC103" s="13">
        <v>0.1</v>
      </c>
      <c r="HFD103" s="13">
        <v>0.1</v>
      </c>
      <c r="HFE103" s="13">
        <v>0.1</v>
      </c>
      <c r="HFF103" s="13">
        <v>0.1</v>
      </c>
      <c r="HFG103" s="13">
        <v>0.1</v>
      </c>
      <c r="HFH103" s="13">
        <v>0.1</v>
      </c>
      <c r="HFI103" s="13">
        <v>0.1</v>
      </c>
      <c r="HFJ103" s="13">
        <v>0.1</v>
      </c>
      <c r="HFK103" s="13">
        <v>0.1</v>
      </c>
      <c r="HFL103" s="13">
        <v>0.1</v>
      </c>
      <c r="HFM103" s="13">
        <v>0.1</v>
      </c>
      <c r="HFN103" s="13">
        <v>0.1</v>
      </c>
      <c r="HFO103" s="13">
        <v>0.1</v>
      </c>
      <c r="HFP103" s="13">
        <v>0.1</v>
      </c>
      <c r="HFQ103" s="13">
        <v>0.1</v>
      </c>
      <c r="HFR103" s="13">
        <v>0.1</v>
      </c>
      <c r="HFS103" s="13">
        <v>0.1</v>
      </c>
      <c r="HFT103" s="13">
        <v>0.1</v>
      </c>
      <c r="HFU103" s="13">
        <v>0.1</v>
      </c>
      <c r="HFV103" s="13">
        <v>0.1</v>
      </c>
      <c r="HFW103" s="13">
        <v>0.1</v>
      </c>
      <c r="HFX103" s="13">
        <v>0.1</v>
      </c>
      <c r="HFY103" s="13">
        <v>0.1</v>
      </c>
      <c r="HFZ103" s="13">
        <v>0.1</v>
      </c>
      <c r="HGA103" s="13">
        <v>0.1</v>
      </c>
      <c r="HGB103" s="13">
        <v>0.1</v>
      </c>
      <c r="HGC103" s="13">
        <v>0.1</v>
      </c>
      <c r="HGD103" s="13">
        <v>0.1</v>
      </c>
      <c r="HGE103" s="13">
        <v>0.1</v>
      </c>
      <c r="HGF103" s="13">
        <v>0.1</v>
      </c>
      <c r="HGG103" s="13">
        <v>0.1</v>
      </c>
      <c r="HGH103" s="13">
        <v>0.1</v>
      </c>
      <c r="HGI103" s="13">
        <v>0.1</v>
      </c>
      <c r="HGJ103" s="13">
        <v>0.1</v>
      </c>
      <c r="HGK103" s="13">
        <v>0.1</v>
      </c>
      <c r="HGL103" s="13">
        <v>0.1</v>
      </c>
      <c r="HGM103" s="13">
        <v>0.1</v>
      </c>
      <c r="HGN103" s="13">
        <v>0.1</v>
      </c>
      <c r="HGO103" s="13">
        <v>0.1</v>
      </c>
      <c r="HGP103" s="13">
        <v>0.1</v>
      </c>
      <c r="HGQ103" s="13">
        <v>0.1</v>
      </c>
      <c r="HGR103" s="13">
        <v>0.1</v>
      </c>
      <c r="HGS103" s="13">
        <v>0.1</v>
      </c>
      <c r="HGT103" s="13">
        <v>0.1</v>
      </c>
      <c r="HGU103" s="13">
        <v>0.1</v>
      </c>
      <c r="HGV103" s="13">
        <v>0.1</v>
      </c>
      <c r="HGW103" s="13">
        <v>0.1</v>
      </c>
      <c r="HGX103" s="13">
        <v>0.1</v>
      </c>
      <c r="HGY103" s="13">
        <v>0.1</v>
      </c>
      <c r="HGZ103" s="13">
        <v>0.1</v>
      </c>
      <c r="HHA103" s="13">
        <v>0.1</v>
      </c>
      <c r="HHB103" s="13">
        <v>0.1</v>
      </c>
      <c r="HHC103" s="13">
        <v>0.1</v>
      </c>
      <c r="HHD103" s="13">
        <v>0.1</v>
      </c>
      <c r="HHE103" s="13">
        <v>0.1</v>
      </c>
      <c r="HHF103" s="13">
        <v>0.1</v>
      </c>
      <c r="HHG103" s="13">
        <v>0.1</v>
      </c>
      <c r="HHH103" s="13">
        <v>0.1</v>
      </c>
      <c r="HHI103" s="13">
        <v>0.1</v>
      </c>
      <c r="HHJ103" s="13">
        <v>0.1</v>
      </c>
      <c r="HHK103" s="13">
        <v>0.1</v>
      </c>
      <c r="HHL103" s="13">
        <v>0.1</v>
      </c>
      <c r="HHM103" s="13">
        <v>0.1</v>
      </c>
      <c r="HHN103" s="13">
        <v>0.1</v>
      </c>
      <c r="HHO103" s="13">
        <v>0.1</v>
      </c>
      <c r="HHP103" s="13">
        <v>0.1</v>
      </c>
      <c r="HHQ103" s="13">
        <v>0.1</v>
      </c>
      <c r="HHR103" s="13">
        <v>0.1</v>
      </c>
      <c r="HHS103" s="13">
        <v>0.1</v>
      </c>
      <c r="HHT103" s="13">
        <v>0.1</v>
      </c>
      <c r="HHU103" s="13">
        <v>0.1</v>
      </c>
      <c r="HHV103" s="13">
        <v>0.1</v>
      </c>
      <c r="HHW103" s="13">
        <v>0.1</v>
      </c>
      <c r="HHX103" s="13">
        <v>0.1</v>
      </c>
      <c r="HHY103" s="13">
        <v>0.1</v>
      </c>
      <c r="HHZ103" s="13">
        <v>0.1</v>
      </c>
      <c r="HIA103" s="13">
        <v>0.1</v>
      </c>
      <c r="HIB103" s="13">
        <v>0.1</v>
      </c>
      <c r="HIC103" s="13">
        <v>0.1</v>
      </c>
      <c r="HID103" s="13">
        <v>0.1</v>
      </c>
      <c r="HIE103" s="13">
        <v>0.1</v>
      </c>
      <c r="HIF103" s="13">
        <v>0.1</v>
      </c>
      <c r="HIG103" s="13">
        <v>0.1</v>
      </c>
      <c r="HIH103" s="13">
        <v>0.1</v>
      </c>
      <c r="HII103" s="13">
        <v>0.1</v>
      </c>
      <c r="HIJ103" s="13">
        <v>0.1</v>
      </c>
      <c r="HIK103" s="13">
        <v>0.1</v>
      </c>
      <c r="HIL103" s="13">
        <v>0.1</v>
      </c>
      <c r="HIM103" s="13">
        <v>0.1</v>
      </c>
      <c r="HIN103" s="13">
        <v>0.1</v>
      </c>
      <c r="HIO103" s="13">
        <v>0.1</v>
      </c>
      <c r="HIP103" s="13">
        <v>0.1</v>
      </c>
      <c r="HIQ103" s="13">
        <v>0.1</v>
      </c>
      <c r="HIR103" s="13">
        <v>0.1</v>
      </c>
      <c r="HIS103" s="13">
        <v>0.1</v>
      </c>
      <c r="HIT103" s="13">
        <v>0.1</v>
      </c>
      <c r="HIU103" s="13">
        <v>0.1</v>
      </c>
      <c r="HIV103" s="13">
        <v>0.1</v>
      </c>
      <c r="HIW103" s="13">
        <v>0.1</v>
      </c>
      <c r="HIX103" s="13">
        <v>0.1</v>
      </c>
      <c r="HIY103" s="13">
        <v>0.1</v>
      </c>
      <c r="HIZ103" s="13">
        <v>0.1</v>
      </c>
      <c r="HJA103" s="13">
        <v>0.1</v>
      </c>
      <c r="HJB103" s="13">
        <v>0.1</v>
      </c>
      <c r="HJC103" s="13">
        <v>0.1</v>
      </c>
      <c r="HJD103" s="13">
        <v>0.1</v>
      </c>
      <c r="HJE103" s="13">
        <v>0.1</v>
      </c>
      <c r="HJF103" s="13">
        <v>0.1</v>
      </c>
      <c r="HJG103" s="13">
        <v>0.1</v>
      </c>
      <c r="HJH103" s="13">
        <v>0.1</v>
      </c>
      <c r="HJI103" s="13">
        <v>0.1</v>
      </c>
      <c r="HJJ103" s="13">
        <v>0.1</v>
      </c>
      <c r="HJK103" s="13">
        <v>0.1</v>
      </c>
      <c r="HJL103" s="13">
        <v>0.1</v>
      </c>
      <c r="HJM103" s="13">
        <v>0.1</v>
      </c>
      <c r="HJN103" s="13">
        <v>0.1</v>
      </c>
      <c r="HJO103" s="13">
        <v>0.1</v>
      </c>
      <c r="HJP103" s="13">
        <v>0.1</v>
      </c>
      <c r="HJQ103" s="13">
        <v>0.1</v>
      </c>
      <c r="HJR103" s="13">
        <v>0.1</v>
      </c>
      <c r="HJS103" s="13">
        <v>0.1</v>
      </c>
      <c r="HJT103" s="13">
        <v>0.1</v>
      </c>
      <c r="HJU103" s="13">
        <v>0.1</v>
      </c>
      <c r="HJV103" s="13">
        <v>0.1</v>
      </c>
      <c r="HJW103" s="13">
        <v>0.1</v>
      </c>
      <c r="HJX103" s="13">
        <v>0.1</v>
      </c>
      <c r="HJY103" s="13">
        <v>0.1</v>
      </c>
      <c r="HJZ103" s="13">
        <v>0.1</v>
      </c>
      <c r="HKA103" s="13">
        <v>0.1</v>
      </c>
      <c r="HKB103" s="13">
        <v>0.1</v>
      </c>
      <c r="HKC103" s="13">
        <v>0.1</v>
      </c>
      <c r="HKD103" s="13">
        <v>0.1</v>
      </c>
      <c r="HKE103" s="13">
        <v>0.1</v>
      </c>
      <c r="HKF103" s="13">
        <v>0.1</v>
      </c>
      <c r="HKG103" s="13">
        <v>0.1</v>
      </c>
      <c r="HKH103" s="13">
        <v>0.1</v>
      </c>
      <c r="HKI103" s="13">
        <v>0.1</v>
      </c>
      <c r="HKJ103" s="13">
        <v>0.1</v>
      </c>
      <c r="HKK103" s="13">
        <v>0.1</v>
      </c>
      <c r="HKL103" s="13">
        <v>0.1</v>
      </c>
      <c r="HKM103" s="13">
        <v>0.1</v>
      </c>
      <c r="HKN103" s="13">
        <v>0.1</v>
      </c>
      <c r="HKO103" s="13">
        <v>0.1</v>
      </c>
      <c r="HKP103" s="13">
        <v>0.1</v>
      </c>
      <c r="HKQ103" s="13">
        <v>0.1</v>
      </c>
      <c r="HKR103" s="13">
        <v>0.1</v>
      </c>
      <c r="HKS103" s="13">
        <v>0.1</v>
      </c>
      <c r="HKT103" s="13">
        <v>0.1</v>
      </c>
      <c r="HKU103" s="13">
        <v>0.1</v>
      </c>
      <c r="HKV103" s="13">
        <v>0.1</v>
      </c>
      <c r="HKW103" s="13">
        <v>0.1</v>
      </c>
      <c r="HKX103" s="13">
        <v>0.1</v>
      </c>
      <c r="HKY103" s="13">
        <v>0.1</v>
      </c>
      <c r="HKZ103" s="13">
        <v>0.1</v>
      </c>
      <c r="HLA103" s="13">
        <v>0.1</v>
      </c>
      <c r="HLB103" s="13">
        <v>0.1</v>
      </c>
      <c r="HLC103" s="13">
        <v>0.1</v>
      </c>
      <c r="HLD103" s="13">
        <v>0.1</v>
      </c>
      <c r="HLE103" s="13">
        <v>0.1</v>
      </c>
      <c r="HLF103" s="13">
        <v>0.1</v>
      </c>
      <c r="HLG103" s="13">
        <v>0.1</v>
      </c>
      <c r="HLH103" s="13">
        <v>0.1</v>
      </c>
      <c r="HLI103" s="13">
        <v>0.1</v>
      </c>
      <c r="HLJ103" s="13">
        <v>0.1</v>
      </c>
      <c r="HLK103" s="13">
        <v>0.1</v>
      </c>
      <c r="HLL103" s="13">
        <v>0.1</v>
      </c>
      <c r="HLM103" s="13">
        <v>0.1</v>
      </c>
      <c r="HLN103" s="13">
        <v>0.1</v>
      </c>
      <c r="HLO103" s="13">
        <v>0.1</v>
      </c>
      <c r="HLP103" s="13">
        <v>0.1</v>
      </c>
      <c r="HLQ103" s="13">
        <v>0.1</v>
      </c>
      <c r="HLR103" s="13">
        <v>0.1</v>
      </c>
      <c r="HLS103" s="13">
        <v>0.1</v>
      </c>
      <c r="HLT103" s="13">
        <v>0.1</v>
      </c>
      <c r="HLU103" s="13">
        <v>0.1</v>
      </c>
      <c r="HLV103" s="13">
        <v>0.1</v>
      </c>
      <c r="HLW103" s="13">
        <v>0.1</v>
      </c>
      <c r="HLX103" s="13">
        <v>0.1</v>
      </c>
      <c r="HLY103" s="13">
        <v>0.1</v>
      </c>
      <c r="HLZ103" s="13">
        <v>0.1</v>
      </c>
      <c r="HMA103" s="13">
        <v>0.1</v>
      </c>
      <c r="HMB103" s="13">
        <v>0.1</v>
      </c>
      <c r="HMC103" s="13">
        <v>0.1</v>
      </c>
      <c r="HMD103" s="13">
        <v>0.1</v>
      </c>
      <c r="HME103" s="13">
        <v>0.1</v>
      </c>
      <c r="HMF103" s="13">
        <v>0.1</v>
      </c>
      <c r="HMG103" s="13">
        <v>0.1</v>
      </c>
      <c r="HMH103" s="13">
        <v>0.1</v>
      </c>
      <c r="HMI103" s="13">
        <v>0.1</v>
      </c>
      <c r="HMJ103" s="13">
        <v>0.1</v>
      </c>
      <c r="HMK103" s="13">
        <v>0.1</v>
      </c>
      <c r="HML103" s="13">
        <v>0.1</v>
      </c>
      <c r="HMM103" s="13">
        <v>0.1</v>
      </c>
      <c r="HMN103" s="13">
        <v>0.1</v>
      </c>
      <c r="HMO103" s="13">
        <v>0.1</v>
      </c>
      <c r="HMP103" s="13">
        <v>0.1</v>
      </c>
      <c r="HMQ103" s="13">
        <v>0.1</v>
      </c>
      <c r="HMR103" s="13">
        <v>0.1</v>
      </c>
      <c r="HMS103" s="13">
        <v>0.1</v>
      </c>
      <c r="HMT103" s="13">
        <v>0.1</v>
      </c>
      <c r="HMU103" s="13">
        <v>0.1</v>
      </c>
      <c r="HMV103" s="13">
        <v>0.1</v>
      </c>
      <c r="HMW103" s="13">
        <v>0.1</v>
      </c>
      <c r="HMX103" s="13">
        <v>0.1</v>
      </c>
      <c r="HMY103" s="13">
        <v>0.1</v>
      </c>
      <c r="HMZ103" s="13">
        <v>0.1</v>
      </c>
      <c r="HNA103" s="13">
        <v>0.1</v>
      </c>
      <c r="HNB103" s="13">
        <v>0.1</v>
      </c>
      <c r="HNC103" s="13">
        <v>0.1</v>
      </c>
      <c r="HND103" s="13">
        <v>0.1</v>
      </c>
      <c r="HNE103" s="13">
        <v>0.1</v>
      </c>
      <c r="HNF103" s="13">
        <v>0.1</v>
      </c>
      <c r="HNG103" s="13">
        <v>0.1</v>
      </c>
      <c r="HNH103" s="13">
        <v>0.1</v>
      </c>
      <c r="HNI103" s="13">
        <v>0.1</v>
      </c>
      <c r="HNJ103" s="13">
        <v>0.1</v>
      </c>
      <c r="HNK103" s="13">
        <v>0.1</v>
      </c>
      <c r="HNL103" s="13">
        <v>0.1</v>
      </c>
      <c r="HNM103" s="13">
        <v>0.1</v>
      </c>
      <c r="HNN103" s="13">
        <v>0.1</v>
      </c>
      <c r="HNO103" s="13">
        <v>0.1</v>
      </c>
      <c r="HNP103" s="13">
        <v>0.1</v>
      </c>
      <c r="HNQ103" s="13">
        <v>0.1</v>
      </c>
      <c r="HNR103" s="13">
        <v>0.1</v>
      </c>
      <c r="HNS103" s="13">
        <v>0.1</v>
      </c>
      <c r="HNT103" s="13">
        <v>0.1</v>
      </c>
      <c r="HNU103" s="13">
        <v>0.1</v>
      </c>
      <c r="HNV103" s="13">
        <v>0.1</v>
      </c>
      <c r="HNW103" s="13">
        <v>0.1</v>
      </c>
      <c r="HNX103" s="13">
        <v>0.1</v>
      </c>
      <c r="HNY103" s="13">
        <v>0.1</v>
      </c>
      <c r="HNZ103" s="13">
        <v>0.1</v>
      </c>
      <c r="HOA103" s="13">
        <v>0.1</v>
      </c>
      <c r="HOB103" s="13">
        <v>0.1</v>
      </c>
      <c r="HOC103" s="13">
        <v>0.1</v>
      </c>
      <c r="HOD103" s="13">
        <v>0.1</v>
      </c>
      <c r="HOE103" s="13">
        <v>0.1</v>
      </c>
      <c r="HOF103" s="13">
        <v>0.1</v>
      </c>
      <c r="HOG103" s="13">
        <v>0.1</v>
      </c>
      <c r="HOH103" s="13">
        <v>0.1</v>
      </c>
      <c r="HOI103" s="13">
        <v>0.1</v>
      </c>
      <c r="HOJ103" s="13">
        <v>0.1</v>
      </c>
      <c r="HOK103" s="13">
        <v>0.1</v>
      </c>
      <c r="HOL103" s="13">
        <v>0.1</v>
      </c>
      <c r="HOM103" s="13">
        <v>0.1</v>
      </c>
      <c r="HON103" s="13">
        <v>0.1</v>
      </c>
      <c r="HOO103" s="13">
        <v>0.1</v>
      </c>
      <c r="HOP103" s="13">
        <v>0.1</v>
      </c>
      <c r="HOQ103" s="13">
        <v>0.1</v>
      </c>
      <c r="HOR103" s="13">
        <v>0.1</v>
      </c>
      <c r="HOS103" s="13">
        <v>0.1</v>
      </c>
      <c r="HOT103" s="13">
        <v>0.1</v>
      </c>
      <c r="HOU103" s="13">
        <v>0.1</v>
      </c>
      <c r="HOV103" s="13">
        <v>0.1</v>
      </c>
      <c r="HOW103" s="13">
        <v>0.1</v>
      </c>
      <c r="HOX103" s="13">
        <v>0.1</v>
      </c>
      <c r="HOY103" s="13">
        <v>0.1</v>
      </c>
      <c r="HOZ103" s="13">
        <v>0.1</v>
      </c>
      <c r="HPA103" s="13">
        <v>0.1</v>
      </c>
      <c r="HPB103" s="13">
        <v>0.1</v>
      </c>
      <c r="HPC103" s="13">
        <v>0.1</v>
      </c>
      <c r="HPD103" s="13">
        <v>0.1</v>
      </c>
      <c r="HPE103" s="13">
        <v>0.1</v>
      </c>
      <c r="HPF103" s="13">
        <v>0.1</v>
      </c>
      <c r="HPG103" s="13">
        <v>0.1</v>
      </c>
      <c r="HPH103" s="13">
        <v>0.1</v>
      </c>
      <c r="HPI103" s="13">
        <v>0.1</v>
      </c>
      <c r="HPJ103" s="13">
        <v>0.1</v>
      </c>
      <c r="HPK103" s="13">
        <v>0.1</v>
      </c>
      <c r="HPL103" s="13">
        <v>0.1</v>
      </c>
      <c r="HPM103" s="13">
        <v>0.1</v>
      </c>
      <c r="HPN103" s="13">
        <v>0.1</v>
      </c>
      <c r="HPO103" s="13">
        <v>0.1</v>
      </c>
      <c r="HPP103" s="13">
        <v>0.1</v>
      </c>
      <c r="HPQ103" s="13">
        <v>0.1</v>
      </c>
      <c r="HPR103" s="13">
        <v>0.1</v>
      </c>
      <c r="HPS103" s="13">
        <v>0.1</v>
      </c>
      <c r="HPT103" s="13">
        <v>0.1</v>
      </c>
      <c r="HPU103" s="13">
        <v>0.1</v>
      </c>
      <c r="HPV103" s="13">
        <v>0.1</v>
      </c>
      <c r="HPW103" s="13">
        <v>0.1</v>
      </c>
      <c r="HPX103" s="13">
        <v>0.1</v>
      </c>
      <c r="HPY103" s="13">
        <v>0.1</v>
      </c>
      <c r="HPZ103" s="13">
        <v>0.1</v>
      </c>
      <c r="HQA103" s="13">
        <v>0.1</v>
      </c>
      <c r="HQB103" s="13">
        <v>0.1</v>
      </c>
      <c r="HQC103" s="13">
        <v>0.1</v>
      </c>
      <c r="HQD103" s="13">
        <v>0.1</v>
      </c>
      <c r="HQE103" s="13">
        <v>0.1</v>
      </c>
      <c r="HQF103" s="13">
        <v>0.1</v>
      </c>
      <c r="HQG103" s="13">
        <v>0.1</v>
      </c>
      <c r="HQH103" s="13">
        <v>0.1</v>
      </c>
      <c r="HQI103" s="13">
        <v>0.1</v>
      </c>
      <c r="HQJ103" s="13">
        <v>0.1</v>
      </c>
      <c r="HQK103" s="13">
        <v>0.1</v>
      </c>
      <c r="HQL103" s="13">
        <v>0.1</v>
      </c>
      <c r="HQM103" s="13">
        <v>0.1</v>
      </c>
      <c r="HQN103" s="13">
        <v>0.1</v>
      </c>
      <c r="HQO103" s="13">
        <v>0.1</v>
      </c>
      <c r="HQP103" s="13">
        <v>0.1</v>
      </c>
      <c r="HQQ103" s="13">
        <v>0.1</v>
      </c>
      <c r="HQR103" s="13">
        <v>0.1</v>
      </c>
      <c r="HQS103" s="13">
        <v>0.1</v>
      </c>
      <c r="HQT103" s="13">
        <v>0.1</v>
      </c>
      <c r="HQU103" s="13">
        <v>0.1</v>
      </c>
      <c r="HQV103" s="13">
        <v>0.1</v>
      </c>
      <c r="HQW103" s="13">
        <v>0.1</v>
      </c>
      <c r="HQX103" s="13">
        <v>0.1</v>
      </c>
      <c r="HQY103" s="13">
        <v>0.1</v>
      </c>
      <c r="HQZ103" s="13">
        <v>0.1</v>
      </c>
      <c r="HRA103" s="13">
        <v>0.1</v>
      </c>
      <c r="HRB103" s="13">
        <v>0.1</v>
      </c>
      <c r="HRC103" s="13">
        <v>0.1</v>
      </c>
      <c r="HRD103" s="13">
        <v>0.1</v>
      </c>
      <c r="HRE103" s="13">
        <v>0.1</v>
      </c>
      <c r="HRF103" s="13">
        <v>0.1</v>
      </c>
      <c r="HRG103" s="13">
        <v>0.1</v>
      </c>
      <c r="HRH103" s="13">
        <v>0.1</v>
      </c>
      <c r="HRI103" s="13">
        <v>0.1</v>
      </c>
      <c r="HRJ103" s="13">
        <v>0.1</v>
      </c>
      <c r="HRK103" s="13">
        <v>0.1</v>
      </c>
      <c r="HRL103" s="13">
        <v>0.1</v>
      </c>
      <c r="HRM103" s="13">
        <v>0.1</v>
      </c>
      <c r="HRN103" s="13">
        <v>0.1</v>
      </c>
      <c r="HRO103" s="13">
        <v>0.1</v>
      </c>
      <c r="HRP103" s="13">
        <v>0.1</v>
      </c>
      <c r="HRQ103" s="13">
        <v>0.1</v>
      </c>
      <c r="HRR103" s="13">
        <v>0.1</v>
      </c>
      <c r="HRS103" s="13">
        <v>0.1</v>
      </c>
      <c r="HRT103" s="13">
        <v>0.1</v>
      </c>
      <c r="HRU103" s="13">
        <v>0.1</v>
      </c>
      <c r="HRV103" s="13">
        <v>0.1</v>
      </c>
      <c r="HRW103" s="13">
        <v>0.1</v>
      </c>
      <c r="HRX103" s="13">
        <v>0.1</v>
      </c>
      <c r="HRY103" s="13">
        <v>0.1</v>
      </c>
      <c r="HRZ103" s="13">
        <v>0.1</v>
      </c>
      <c r="HSA103" s="13">
        <v>0.1</v>
      </c>
      <c r="HSB103" s="13">
        <v>0.1</v>
      </c>
      <c r="HSC103" s="13">
        <v>0.1</v>
      </c>
      <c r="HSD103" s="13">
        <v>0.1</v>
      </c>
      <c r="HSE103" s="13">
        <v>0.1</v>
      </c>
      <c r="HSF103" s="13">
        <v>0.1</v>
      </c>
      <c r="HSG103" s="13">
        <v>0.1</v>
      </c>
      <c r="HSH103" s="13">
        <v>0.1</v>
      </c>
      <c r="HSI103" s="13">
        <v>0.1</v>
      </c>
      <c r="HSJ103" s="13">
        <v>0.1</v>
      </c>
      <c r="HSK103" s="13">
        <v>0.1</v>
      </c>
      <c r="HSL103" s="13">
        <v>0.1</v>
      </c>
      <c r="HSM103" s="13">
        <v>0.1</v>
      </c>
      <c r="HSN103" s="13">
        <v>0.1</v>
      </c>
      <c r="HSO103" s="13">
        <v>0.1</v>
      </c>
      <c r="HSP103" s="13">
        <v>0.1</v>
      </c>
      <c r="HSQ103" s="13">
        <v>0.1</v>
      </c>
      <c r="HSR103" s="13">
        <v>0.1</v>
      </c>
      <c r="HSS103" s="13">
        <v>0.1</v>
      </c>
      <c r="HST103" s="13">
        <v>0.1</v>
      </c>
      <c r="HSU103" s="13">
        <v>0.1</v>
      </c>
      <c r="HSV103" s="13">
        <v>0.1</v>
      </c>
      <c r="HSW103" s="13">
        <v>0.1</v>
      </c>
      <c r="HSX103" s="13">
        <v>0.1</v>
      </c>
      <c r="HSY103" s="13">
        <v>0.1</v>
      </c>
      <c r="HSZ103" s="13">
        <v>0.1</v>
      </c>
      <c r="HTA103" s="13">
        <v>0.1</v>
      </c>
      <c r="HTB103" s="13">
        <v>0.1</v>
      </c>
      <c r="HTC103" s="13">
        <v>0.1</v>
      </c>
      <c r="HTD103" s="13">
        <v>0.1</v>
      </c>
      <c r="HTE103" s="13">
        <v>0.1</v>
      </c>
      <c r="HTF103" s="13">
        <v>0.1</v>
      </c>
      <c r="HTG103" s="13">
        <v>0.1</v>
      </c>
      <c r="HTH103" s="13">
        <v>0.1</v>
      </c>
      <c r="HTI103" s="13">
        <v>0.1</v>
      </c>
      <c r="HTJ103" s="13">
        <v>0.1</v>
      </c>
      <c r="HTK103" s="13">
        <v>0.1</v>
      </c>
      <c r="HTL103" s="13">
        <v>0.1</v>
      </c>
      <c r="HTM103" s="13">
        <v>0.1</v>
      </c>
      <c r="HTN103" s="13">
        <v>0.1</v>
      </c>
      <c r="HTO103" s="13">
        <v>0.1</v>
      </c>
      <c r="HTP103" s="13">
        <v>0.1</v>
      </c>
      <c r="HTQ103" s="13">
        <v>0.1</v>
      </c>
      <c r="HTR103" s="13">
        <v>0.1</v>
      </c>
      <c r="HTS103" s="13">
        <v>0.1</v>
      </c>
      <c r="HTT103" s="13">
        <v>0.1</v>
      </c>
      <c r="HTU103" s="13">
        <v>0.1</v>
      </c>
      <c r="HTV103" s="13">
        <v>0.1</v>
      </c>
      <c r="HTW103" s="13">
        <v>0.1</v>
      </c>
      <c r="HTX103" s="13">
        <v>0.1</v>
      </c>
      <c r="HTY103" s="13">
        <v>0.1</v>
      </c>
      <c r="HTZ103" s="13">
        <v>0.1</v>
      </c>
      <c r="HUA103" s="13">
        <v>0.1</v>
      </c>
      <c r="HUB103" s="13">
        <v>0.1</v>
      </c>
      <c r="HUC103" s="13">
        <v>0.1</v>
      </c>
      <c r="HUD103" s="13">
        <v>0.1</v>
      </c>
      <c r="HUE103" s="13">
        <v>0.1</v>
      </c>
      <c r="HUF103" s="13">
        <v>0.1</v>
      </c>
      <c r="HUG103" s="13">
        <v>0.1</v>
      </c>
      <c r="HUH103" s="13">
        <v>0.1</v>
      </c>
      <c r="HUI103" s="13">
        <v>0.1</v>
      </c>
      <c r="HUJ103" s="13">
        <v>0.1</v>
      </c>
      <c r="HUK103" s="13">
        <v>0.1</v>
      </c>
      <c r="HUL103" s="13">
        <v>0.1</v>
      </c>
      <c r="HUM103" s="13">
        <v>0.1</v>
      </c>
      <c r="HUN103" s="13">
        <v>0.1</v>
      </c>
      <c r="HUO103" s="13">
        <v>0.1</v>
      </c>
      <c r="HUP103" s="13">
        <v>0.1</v>
      </c>
      <c r="HUQ103" s="13">
        <v>0.1</v>
      </c>
      <c r="HUR103" s="13">
        <v>0.1</v>
      </c>
      <c r="HUS103" s="13">
        <v>0.1</v>
      </c>
      <c r="HUT103" s="13">
        <v>0.1</v>
      </c>
      <c r="HUU103" s="13">
        <v>0.1</v>
      </c>
      <c r="HUV103" s="13">
        <v>0.1</v>
      </c>
      <c r="HUW103" s="13">
        <v>0.1</v>
      </c>
      <c r="HUX103" s="13">
        <v>0.1</v>
      </c>
      <c r="HUY103" s="13">
        <v>0.1</v>
      </c>
      <c r="HUZ103" s="13">
        <v>0.1</v>
      </c>
      <c r="HVA103" s="13">
        <v>0.1</v>
      </c>
      <c r="HVB103" s="13">
        <v>0.1</v>
      </c>
      <c r="HVC103" s="13">
        <v>0.1</v>
      </c>
      <c r="HVD103" s="13">
        <v>0.1</v>
      </c>
      <c r="HVE103" s="13">
        <v>0.1</v>
      </c>
      <c r="HVF103" s="13">
        <v>0.1</v>
      </c>
      <c r="HVG103" s="13">
        <v>0.1</v>
      </c>
      <c r="HVH103" s="13">
        <v>0.1</v>
      </c>
      <c r="HVI103" s="13">
        <v>0.1</v>
      </c>
      <c r="HVJ103" s="13">
        <v>0.1</v>
      </c>
      <c r="HVK103" s="13">
        <v>0.1</v>
      </c>
      <c r="HVL103" s="13">
        <v>0.1</v>
      </c>
      <c r="HVM103" s="13">
        <v>0.1</v>
      </c>
      <c r="HVN103" s="13">
        <v>0.1</v>
      </c>
      <c r="HVO103" s="13">
        <v>0.1</v>
      </c>
      <c r="HVP103" s="13">
        <v>0.1</v>
      </c>
      <c r="HVQ103" s="13">
        <v>0.1</v>
      </c>
      <c r="HVR103" s="13">
        <v>0.1</v>
      </c>
      <c r="HVS103" s="13">
        <v>0.1</v>
      </c>
      <c r="HVT103" s="13">
        <v>0.1</v>
      </c>
      <c r="HVU103" s="13">
        <v>0.1</v>
      </c>
      <c r="HVV103" s="13">
        <v>0.1</v>
      </c>
      <c r="HVW103" s="13">
        <v>0.1</v>
      </c>
      <c r="HVX103" s="13">
        <v>0.1</v>
      </c>
      <c r="HVY103" s="13">
        <v>0.1</v>
      </c>
      <c r="HVZ103" s="13">
        <v>0.1</v>
      </c>
      <c r="HWA103" s="13">
        <v>0.1</v>
      </c>
      <c r="HWB103" s="13">
        <v>0.1</v>
      </c>
      <c r="HWC103" s="13">
        <v>0.1</v>
      </c>
      <c r="HWD103" s="13">
        <v>0.1</v>
      </c>
      <c r="HWE103" s="13">
        <v>0.1</v>
      </c>
      <c r="HWF103" s="13">
        <v>0.1</v>
      </c>
      <c r="HWG103" s="13">
        <v>0.1</v>
      </c>
      <c r="HWH103" s="13">
        <v>0.1</v>
      </c>
      <c r="HWI103" s="13">
        <v>0.1</v>
      </c>
      <c r="HWJ103" s="13">
        <v>0.1</v>
      </c>
      <c r="HWK103" s="13">
        <v>0.1</v>
      </c>
      <c r="HWL103" s="13">
        <v>0.1</v>
      </c>
      <c r="HWM103" s="13">
        <v>0.1</v>
      </c>
      <c r="HWN103" s="13">
        <v>0.1</v>
      </c>
      <c r="HWO103" s="13">
        <v>0.1</v>
      </c>
      <c r="HWP103" s="13">
        <v>0.1</v>
      </c>
      <c r="HWQ103" s="13">
        <v>0.1</v>
      </c>
      <c r="HWR103" s="13">
        <v>0.1</v>
      </c>
      <c r="HWS103" s="13">
        <v>0.1</v>
      </c>
      <c r="HWT103" s="13">
        <v>0.1</v>
      </c>
      <c r="HWU103" s="13">
        <v>0.1</v>
      </c>
      <c r="HWV103" s="13">
        <v>0.1</v>
      </c>
      <c r="HWW103" s="13">
        <v>0.1</v>
      </c>
      <c r="HWX103" s="13">
        <v>0.1</v>
      </c>
      <c r="HWY103" s="13">
        <v>0.1</v>
      </c>
      <c r="HWZ103" s="13">
        <v>0.1</v>
      </c>
      <c r="HXA103" s="13">
        <v>0.1</v>
      </c>
      <c r="HXB103" s="13">
        <v>0.1</v>
      </c>
      <c r="HXC103" s="13">
        <v>0.1</v>
      </c>
      <c r="HXD103" s="13">
        <v>0.1</v>
      </c>
      <c r="HXE103" s="13">
        <v>0.1</v>
      </c>
      <c r="HXF103" s="13">
        <v>0.1</v>
      </c>
      <c r="HXG103" s="13">
        <v>0.1</v>
      </c>
      <c r="HXH103" s="13">
        <v>0.1</v>
      </c>
      <c r="HXI103" s="13">
        <v>0.1</v>
      </c>
      <c r="HXJ103" s="13">
        <v>0.1</v>
      </c>
      <c r="HXK103" s="13">
        <v>0.1</v>
      </c>
      <c r="HXL103" s="13">
        <v>0.1</v>
      </c>
      <c r="HXM103" s="13">
        <v>0.1</v>
      </c>
      <c r="HXN103" s="13">
        <v>0.1</v>
      </c>
      <c r="HXO103" s="13">
        <v>0.1</v>
      </c>
      <c r="HXP103" s="13">
        <v>0.1</v>
      </c>
      <c r="HXQ103" s="13">
        <v>0.1</v>
      </c>
      <c r="HXR103" s="13">
        <v>0.1</v>
      </c>
      <c r="HXS103" s="13">
        <v>0.1</v>
      </c>
      <c r="HXT103" s="13">
        <v>0.1</v>
      </c>
      <c r="HXU103" s="13">
        <v>0.1</v>
      </c>
      <c r="HXV103" s="13">
        <v>0.1</v>
      </c>
      <c r="HXW103" s="13">
        <v>0.1</v>
      </c>
      <c r="HXX103" s="13">
        <v>0.1</v>
      </c>
      <c r="HXY103" s="13">
        <v>0.1</v>
      </c>
      <c r="HXZ103" s="13">
        <v>0.1</v>
      </c>
      <c r="HYA103" s="13">
        <v>0.1</v>
      </c>
      <c r="HYB103" s="13">
        <v>0.1</v>
      </c>
      <c r="HYC103" s="13">
        <v>0.1</v>
      </c>
      <c r="HYD103" s="13">
        <v>0.1</v>
      </c>
      <c r="HYE103" s="13">
        <v>0.1</v>
      </c>
      <c r="HYF103" s="13">
        <v>0.1</v>
      </c>
      <c r="HYG103" s="13">
        <v>0.1</v>
      </c>
      <c r="HYH103" s="13">
        <v>0.1</v>
      </c>
      <c r="HYI103" s="13">
        <v>0.1</v>
      </c>
      <c r="HYJ103" s="13">
        <v>0.1</v>
      </c>
      <c r="HYK103" s="13">
        <v>0.1</v>
      </c>
      <c r="HYL103" s="13">
        <v>0.1</v>
      </c>
      <c r="HYM103" s="13">
        <v>0.1</v>
      </c>
      <c r="HYN103" s="13">
        <v>0.1</v>
      </c>
      <c r="HYO103" s="13">
        <v>0.1</v>
      </c>
      <c r="HYP103" s="13">
        <v>0.1</v>
      </c>
      <c r="HYQ103" s="13">
        <v>0.1</v>
      </c>
      <c r="HYR103" s="13">
        <v>0.1</v>
      </c>
      <c r="HYS103" s="13">
        <v>0.1</v>
      </c>
      <c r="HYT103" s="13">
        <v>0.1</v>
      </c>
      <c r="HYU103" s="13">
        <v>0.1</v>
      </c>
      <c r="HYV103" s="13">
        <v>0.1</v>
      </c>
      <c r="HYW103" s="13">
        <v>0.1</v>
      </c>
      <c r="HYX103" s="13">
        <v>0.1</v>
      </c>
      <c r="HYY103" s="13">
        <v>0.1</v>
      </c>
      <c r="HYZ103" s="13">
        <v>0.1</v>
      </c>
      <c r="HZA103" s="13">
        <v>0.1</v>
      </c>
      <c r="HZB103" s="13">
        <v>0.1</v>
      </c>
      <c r="HZC103" s="13">
        <v>0.1</v>
      </c>
      <c r="HZD103" s="13">
        <v>0.1</v>
      </c>
      <c r="HZE103" s="13">
        <v>0.1</v>
      </c>
      <c r="HZF103" s="13">
        <v>0.1</v>
      </c>
      <c r="HZG103" s="13">
        <v>0.1</v>
      </c>
      <c r="HZH103" s="13">
        <v>0.1</v>
      </c>
      <c r="HZI103" s="13">
        <v>0.1</v>
      </c>
      <c r="HZJ103" s="13">
        <v>0.1</v>
      </c>
      <c r="HZK103" s="13">
        <v>0.1</v>
      </c>
      <c r="HZL103" s="13">
        <v>0.1</v>
      </c>
      <c r="HZM103" s="13">
        <v>0.1</v>
      </c>
      <c r="HZN103" s="13">
        <v>0.1</v>
      </c>
      <c r="HZO103" s="13">
        <v>0.1</v>
      </c>
      <c r="HZP103" s="13">
        <v>0.1</v>
      </c>
      <c r="HZQ103" s="13">
        <v>0.1</v>
      </c>
      <c r="HZR103" s="13">
        <v>0.1</v>
      </c>
      <c r="HZS103" s="13">
        <v>0.1</v>
      </c>
      <c r="HZT103" s="13">
        <v>0.1</v>
      </c>
      <c r="HZU103" s="13">
        <v>0.1</v>
      </c>
      <c r="HZV103" s="13">
        <v>0.1</v>
      </c>
      <c r="HZW103" s="13">
        <v>0.1</v>
      </c>
      <c r="HZX103" s="13">
        <v>0.1</v>
      </c>
      <c r="HZY103" s="13">
        <v>0.1</v>
      </c>
      <c r="HZZ103" s="13">
        <v>0.1</v>
      </c>
      <c r="IAA103" s="13">
        <v>0.1</v>
      </c>
      <c r="IAB103" s="13">
        <v>0.1</v>
      </c>
      <c r="IAC103" s="13">
        <v>0.1</v>
      </c>
      <c r="IAD103" s="13">
        <v>0.1</v>
      </c>
      <c r="IAE103" s="13">
        <v>0.1</v>
      </c>
      <c r="IAF103" s="13">
        <v>0.1</v>
      </c>
      <c r="IAG103" s="13">
        <v>0.1</v>
      </c>
      <c r="IAH103" s="13">
        <v>0.1</v>
      </c>
      <c r="IAI103" s="13">
        <v>0.1</v>
      </c>
      <c r="IAJ103" s="13">
        <v>0.1</v>
      </c>
      <c r="IAK103" s="13">
        <v>0.1</v>
      </c>
      <c r="IAL103" s="13">
        <v>0.1</v>
      </c>
      <c r="IAM103" s="13">
        <v>0.1</v>
      </c>
      <c r="IAN103" s="13">
        <v>0.1</v>
      </c>
      <c r="IAO103" s="13">
        <v>0.1</v>
      </c>
      <c r="IAP103" s="13">
        <v>0.1</v>
      </c>
      <c r="IAQ103" s="13">
        <v>0.1</v>
      </c>
      <c r="IAR103" s="13">
        <v>0.1</v>
      </c>
      <c r="IAS103" s="13">
        <v>0.1</v>
      </c>
      <c r="IAT103" s="13">
        <v>0.1</v>
      </c>
      <c r="IAU103" s="13">
        <v>0.1</v>
      </c>
      <c r="IAV103" s="13">
        <v>0.1</v>
      </c>
      <c r="IAW103" s="13">
        <v>0.1</v>
      </c>
      <c r="IAX103" s="13">
        <v>0.1</v>
      </c>
      <c r="IAY103" s="13">
        <v>0.1</v>
      </c>
      <c r="IAZ103" s="13">
        <v>0.1</v>
      </c>
      <c r="IBA103" s="13">
        <v>0.1</v>
      </c>
      <c r="IBB103" s="13">
        <v>0.1</v>
      </c>
      <c r="IBC103" s="13">
        <v>0.1</v>
      </c>
      <c r="IBD103" s="13">
        <v>0.1</v>
      </c>
      <c r="IBE103" s="13">
        <v>0.1</v>
      </c>
      <c r="IBF103" s="13">
        <v>0.1</v>
      </c>
      <c r="IBG103" s="13">
        <v>0.1</v>
      </c>
      <c r="IBH103" s="13">
        <v>0.1</v>
      </c>
      <c r="IBI103" s="13">
        <v>0.1</v>
      </c>
      <c r="IBJ103" s="13">
        <v>0.1</v>
      </c>
      <c r="IBK103" s="13">
        <v>0.1</v>
      </c>
      <c r="IBL103" s="13">
        <v>0.1</v>
      </c>
      <c r="IBM103" s="13">
        <v>0.1</v>
      </c>
      <c r="IBN103" s="13">
        <v>0.1</v>
      </c>
      <c r="IBO103" s="13">
        <v>0.1</v>
      </c>
      <c r="IBP103" s="13">
        <v>0.1</v>
      </c>
      <c r="IBQ103" s="13">
        <v>0.1</v>
      </c>
      <c r="IBR103" s="13">
        <v>0.1</v>
      </c>
      <c r="IBS103" s="13">
        <v>0.1</v>
      </c>
      <c r="IBT103" s="13">
        <v>0.1</v>
      </c>
      <c r="IBU103" s="13">
        <v>0.1</v>
      </c>
      <c r="IBV103" s="13">
        <v>0.1</v>
      </c>
      <c r="IBW103" s="13">
        <v>0.1</v>
      </c>
      <c r="IBX103" s="13">
        <v>0.1</v>
      </c>
      <c r="IBY103" s="13">
        <v>0.1</v>
      </c>
      <c r="IBZ103" s="13">
        <v>0.1</v>
      </c>
      <c r="ICA103" s="13">
        <v>0.1</v>
      </c>
      <c r="ICB103" s="13">
        <v>0.1</v>
      </c>
      <c r="ICC103" s="13">
        <v>0.1</v>
      </c>
      <c r="ICD103" s="13">
        <v>0.1</v>
      </c>
      <c r="ICE103" s="13">
        <v>0.1</v>
      </c>
      <c r="ICF103" s="13">
        <v>0.1</v>
      </c>
      <c r="ICG103" s="13">
        <v>0.1</v>
      </c>
      <c r="ICH103" s="13">
        <v>0.1</v>
      </c>
      <c r="ICI103" s="13">
        <v>0.1</v>
      </c>
      <c r="ICJ103" s="13">
        <v>0.1</v>
      </c>
      <c r="ICK103" s="13">
        <v>0.1</v>
      </c>
      <c r="ICL103" s="13">
        <v>0.1</v>
      </c>
      <c r="ICM103" s="13">
        <v>0.1</v>
      </c>
      <c r="ICN103" s="13">
        <v>0.1</v>
      </c>
      <c r="ICO103" s="13">
        <v>0.1</v>
      </c>
      <c r="ICP103" s="13">
        <v>0.1</v>
      </c>
      <c r="ICQ103" s="13">
        <v>0.1</v>
      </c>
      <c r="ICR103" s="13">
        <v>0.1</v>
      </c>
      <c r="ICS103" s="13">
        <v>0.1</v>
      </c>
      <c r="ICT103" s="13">
        <v>0.1</v>
      </c>
      <c r="ICU103" s="13">
        <v>0.1</v>
      </c>
      <c r="ICV103" s="13">
        <v>0.1</v>
      </c>
      <c r="ICW103" s="13">
        <v>0.1</v>
      </c>
      <c r="ICX103" s="13">
        <v>0.1</v>
      </c>
      <c r="ICY103" s="13">
        <v>0.1</v>
      </c>
      <c r="ICZ103" s="13">
        <v>0.1</v>
      </c>
      <c r="IDA103" s="13">
        <v>0.1</v>
      </c>
      <c r="IDB103" s="13">
        <v>0.1</v>
      </c>
      <c r="IDC103" s="13">
        <v>0.1</v>
      </c>
      <c r="IDD103" s="13">
        <v>0.1</v>
      </c>
      <c r="IDE103" s="13">
        <v>0.1</v>
      </c>
      <c r="IDF103" s="13">
        <v>0.1</v>
      </c>
      <c r="IDG103" s="13">
        <v>0.1</v>
      </c>
      <c r="IDH103" s="13">
        <v>0.1</v>
      </c>
      <c r="IDI103" s="13">
        <v>0.1</v>
      </c>
      <c r="IDJ103" s="13">
        <v>0.1</v>
      </c>
      <c r="IDK103" s="13">
        <v>0.1</v>
      </c>
      <c r="IDL103" s="13">
        <v>0.1</v>
      </c>
      <c r="IDM103" s="13">
        <v>0.1</v>
      </c>
      <c r="IDN103" s="13">
        <v>0.1</v>
      </c>
      <c r="IDO103" s="13">
        <v>0.1</v>
      </c>
      <c r="IDP103" s="13">
        <v>0.1</v>
      </c>
      <c r="IDQ103" s="13">
        <v>0.1</v>
      </c>
      <c r="IDR103" s="13">
        <v>0.1</v>
      </c>
      <c r="IDS103" s="13">
        <v>0.1</v>
      </c>
      <c r="IDT103" s="13">
        <v>0.1</v>
      </c>
      <c r="IDU103" s="13">
        <v>0.1</v>
      </c>
      <c r="IDV103" s="13">
        <v>0.1</v>
      </c>
      <c r="IDW103" s="13">
        <v>0.1</v>
      </c>
      <c r="IDX103" s="13">
        <v>0.1</v>
      </c>
      <c r="IDY103" s="13">
        <v>0.1</v>
      </c>
      <c r="IDZ103" s="13">
        <v>0.1</v>
      </c>
      <c r="IEA103" s="13">
        <v>0.1</v>
      </c>
      <c r="IEB103" s="13">
        <v>0.1</v>
      </c>
      <c r="IEC103" s="13">
        <v>0.1</v>
      </c>
      <c r="IED103" s="13">
        <v>0.1</v>
      </c>
      <c r="IEE103" s="13">
        <v>0.1</v>
      </c>
      <c r="IEF103" s="13">
        <v>0.1</v>
      </c>
      <c r="IEG103" s="13">
        <v>0.1</v>
      </c>
      <c r="IEH103" s="13">
        <v>0.1</v>
      </c>
      <c r="IEI103" s="13">
        <v>0.1</v>
      </c>
      <c r="IEJ103" s="13">
        <v>0.1</v>
      </c>
      <c r="IEK103" s="13">
        <v>0.1</v>
      </c>
      <c r="IEL103" s="13">
        <v>0.1</v>
      </c>
      <c r="IEM103" s="13">
        <v>0.1</v>
      </c>
      <c r="IEN103" s="13">
        <v>0.1</v>
      </c>
      <c r="IEO103" s="13">
        <v>0.1</v>
      </c>
      <c r="IEP103" s="13">
        <v>0.1</v>
      </c>
      <c r="IEQ103" s="13">
        <v>0.1</v>
      </c>
      <c r="IER103" s="13">
        <v>0.1</v>
      </c>
      <c r="IES103" s="13">
        <v>0.1</v>
      </c>
      <c r="IET103" s="13">
        <v>0.1</v>
      </c>
      <c r="IEU103" s="13">
        <v>0.1</v>
      </c>
      <c r="IEV103" s="13">
        <v>0.1</v>
      </c>
      <c r="IEW103" s="13">
        <v>0.1</v>
      </c>
      <c r="IEX103" s="13">
        <v>0.1</v>
      </c>
      <c r="IEY103" s="13">
        <v>0.1</v>
      </c>
      <c r="IEZ103" s="13">
        <v>0.1</v>
      </c>
      <c r="IFA103" s="13">
        <v>0.1</v>
      </c>
      <c r="IFB103" s="13">
        <v>0.1</v>
      </c>
      <c r="IFC103" s="13">
        <v>0.1</v>
      </c>
      <c r="IFD103" s="13">
        <v>0.1</v>
      </c>
      <c r="IFE103" s="13">
        <v>0.1</v>
      </c>
      <c r="IFF103" s="13">
        <v>0.1</v>
      </c>
      <c r="IFG103" s="13">
        <v>0.1</v>
      </c>
      <c r="IFH103" s="13">
        <v>0.1</v>
      </c>
      <c r="IFI103" s="13">
        <v>0.1</v>
      </c>
      <c r="IFJ103" s="13">
        <v>0.1</v>
      </c>
      <c r="IFK103" s="13">
        <v>0.1</v>
      </c>
      <c r="IFL103" s="13">
        <v>0.1</v>
      </c>
      <c r="IFM103" s="13">
        <v>0.1</v>
      </c>
      <c r="IFN103" s="13">
        <v>0.1</v>
      </c>
      <c r="IFO103" s="13">
        <v>0.1</v>
      </c>
      <c r="IFP103" s="13">
        <v>0.1</v>
      </c>
      <c r="IFQ103" s="13">
        <v>0.1</v>
      </c>
      <c r="IFR103" s="13">
        <v>0.1</v>
      </c>
      <c r="IFS103" s="13">
        <v>0.1</v>
      </c>
      <c r="IFT103" s="13">
        <v>0.1</v>
      </c>
      <c r="IFU103" s="13">
        <v>0.1</v>
      </c>
      <c r="IFV103" s="13">
        <v>0.1</v>
      </c>
      <c r="IFW103" s="13">
        <v>0.1</v>
      </c>
      <c r="IFX103" s="13">
        <v>0.1</v>
      </c>
      <c r="IFY103" s="13">
        <v>0.1</v>
      </c>
      <c r="IFZ103" s="13">
        <v>0.1</v>
      </c>
      <c r="IGA103" s="13">
        <v>0.1</v>
      </c>
      <c r="IGB103" s="13">
        <v>0.1</v>
      </c>
      <c r="IGC103" s="13">
        <v>0.1</v>
      </c>
      <c r="IGD103" s="13">
        <v>0.1</v>
      </c>
      <c r="IGE103" s="13">
        <v>0.1</v>
      </c>
      <c r="IGF103" s="13">
        <v>0.1</v>
      </c>
      <c r="IGG103" s="13">
        <v>0.1</v>
      </c>
      <c r="IGH103" s="13">
        <v>0.1</v>
      </c>
      <c r="IGI103" s="13">
        <v>0.1</v>
      </c>
      <c r="IGJ103" s="13">
        <v>0.1</v>
      </c>
      <c r="IGK103" s="13">
        <v>0.1</v>
      </c>
      <c r="IGL103" s="13">
        <v>0.1</v>
      </c>
      <c r="IGM103" s="13">
        <v>0.1</v>
      </c>
      <c r="IGN103" s="13">
        <v>0.1</v>
      </c>
      <c r="IGO103" s="13">
        <v>0.1</v>
      </c>
      <c r="IGP103" s="13">
        <v>0.1</v>
      </c>
      <c r="IGQ103" s="13">
        <v>0.1</v>
      </c>
      <c r="IGR103" s="13">
        <v>0.1</v>
      </c>
      <c r="IGS103" s="13">
        <v>0.1</v>
      </c>
      <c r="IGT103" s="13">
        <v>0.1</v>
      </c>
      <c r="IGU103" s="13">
        <v>0.1</v>
      </c>
      <c r="IGV103" s="13">
        <v>0.1</v>
      </c>
      <c r="IGW103" s="13">
        <v>0.1</v>
      </c>
      <c r="IGX103" s="13">
        <v>0.1</v>
      </c>
      <c r="IGY103" s="13">
        <v>0.1</v>
      </c>
      <c r="IGZ103" s="13">
        <v>0.1</v>
      </c>
      <c r="IHA103" s="13">
        <v>0.1</v>
      </c>
      <c r="IHB103" s="13">
        <v>0.1</v>
      </c>
      <c r="IHC103" s="13">
        <v>0.1</v>
      </c>
      <c r="IHD103" s="13">
        <v>0.1</v>
      </c>
      <c r="IHE103" s="13">
        <v>0.1</v>
      </c>
      <c r="IHF103" s="13">
        <v>0.1</v>
      </c>
      <c r="IHG103" s="13">
        <v>0.1</v>
      </c>
      <c r="IHH103" s="13">
        <v>0.1</v>
      </c>
      <c r="IHI103" s="13">
        <v>0.1</v>
      </c>
      <c r="IHJ103" s="13">
        <v>0.1</v>
      </c>
      <c r="IHK103" s="13">
        <v>0.1</v>
      </c>
      <c r="IHL103" s="13">
        <v>0.1</v>
      </c>
      <c r="IHM103" s="13">
        <v>0.1</v>
      </c>
      <c r="IHN103" s="13">
        <v>0.1</v>
      </c>
      <c r="IHO103" s="13">
        <v>0.1</v>
      </c>
      <c r="IHP103" s="13">
        <v>0.1</v>
      </c>
      <c r="IHQ103" s="13">
        <v>0.1</v>
      </c>
      <c r="IHR103" s="13">
        <v>0.1</v>
      </c>
      <c r="IHS103" s="13">
        <v>0.1</v>
      </c>
      <c r="IHT103" s="13">
        <v>0.1</v>
      </c>
      <c r="IHU103" s="13">
        <v>0.1</v>
      </c>
      <c r="IHV103" s="13">
        <v>0.1</v>
      </c>
      <c r="IHW103" s="13">
        <v>0.1</v>
      </c>
      <c r="IHX103" s="13">
        <v>0.1</v>
      </c>
      <c r="IHY103" s="13">
        <v>0.1</v>
      </c>
      <c r="IHZ103" s="13">
        <v>0.1</v>
      </c>
      <c r="IIA103" s="13">
        <v>0.1</v>
      </c>
      <c r="IIB103" s="13">
        <v>0.1</v>
      </c>
      <c r="IIC103" s="13">
        <v>0.1</v>
      </c>
      <c r="IID103" s="13">
        <v>0.1</v>
      </c>
      <c r="IIE103" s="13">
        <v>0.1</v>
      </c>
      <c r="IIF103" s="13">
        <v>0.1</v>
      </c>
      <c r="IIG103" s="13">
        <v>0.1</v>
      </c>
      <c r="IIH103" s="13">
        <v>0.1</v>
      </c>
      <c r="III103" s="13">
        <v>0.1</v>
      </c>
      <c r="IIJ103" s="13">
        <v>0.1</v>
      </c>
      <c r="IIK103" s="13">
        <v>0.1</v>
      </c>
      <c r="IIL103" s="13">
        <v>0.1</v>
      </c>
      <c r="IIM103" s="13">
        <v>0.1</v>
      </c>
      <c r="IIN103" s="13">
        <v>0.1</v>
      </c>
      <c r="IIO103" s="13">
        <v>0.1</v>
      </c>
      <c r="IIP103" s="13">
        <v>0.1</v>
      </c>
      <c r="IIQ103" s="13">
        <v>0.1</v>
      </c>
      <c r="IIR103" s="13">
        <v>0.1</v>
      </c>
      <c r="IIS103" s="13">
        <v>0.1</v>
      </c>
      <c r="IIT103" s="13">
        <v>0.1</v>
      </c>
      <c r="IIU103" s="13">
        <v>0.1</v>
      </c>
      <c r="IIV103" s="13">
        <v>0.1</v>
      </c>
      <c r="IIW103" s="13">
        <v>0.1</v>
      </c>
      <c r="IIX103" s="13">
        <v>0.1</v>
      </c>
      <c r="IIY103" s="13">
        <v>0.1</v>
      </c>
      <c r="IIZ103" s="13">
        <v>0.1</v>
      </c>
      <c r="IJA103" s="13">
        <v>0.1</v>
      </c>
      <c r="IJB103" s="13">
        <v>0.1</v>
      </c>
      <c r="IJC103" s="13">
        <v>0.1</v>
      </c>
      <c r="IJD103" s="13">
        <v>0.1</v>
      </c>
      <c r="IJE103" s="13">
        <v>0.1</v>
      </c>
      <c r="IJF103" s="13">
        <v>0.1</v>
      </c>
      <c r="IJG103" s="13">
        <v>0.1</v>
      </c>
      <c r="IJH103" s="13">
        <v>0.1</v>
      </c>
      <c r="IJI103" s="13">
        <v>0.1</v>
      </c>
      <c r="IJJ103" s="13">
        <v>0.1</v>
      </c>
      <c r="IJK103" s="13">
        <v>0.1</v>
      </c>
      <c r="IJL103" s="13">
        <v>0.1</v>
      </c>
      <c r="IJM103" s="13">
        <v>0.1</v>
      </c>
      <c r="IJN103" s="13">
        <v>0.1</v>
      </c>
      <c r="IJO103" s="13">
        <v>0.1</v>
      </c>
      <c r="IJP103" s="13">
        <v>0.1</v>
      </c>
      <c r="IJQ103" s="13">
        <v>0.1</v>
      </c>
      <c r="IJR103" s="13">
        <v>0.1</v>
      </c>
      <c r="IJS103" s="13">
        <v>0.1</v>
      </c>
      <c r="IJT103" s="13">
        <v>0.1</v>
      </c>
      <c r="IJU103" s="13">
        <v>0.1</v>
      </c>
      <c r="IJV103" s="13">
        <v>0.1</v>
      </c>
      <c r="IJW103" s="13">
        <v>0.1</v>
      </c>
      <c r="IJX103" s="13">
        <v>0.1</v>
      </c>
      <c r="IJY103" s="13">
        <v>0.1</v>
      </c>
      <c r="IJZ103" s="13">
        <v>0.1</v>
      </c>
      <c r="IKA103" s="13">
        <v>0.1</v>
      </c>
      <c r="IKB103" s="13">
        <v>0.1</v>
      </c>
      <c r="IKC103" s="13">
        <v>0.1</v>
      </c>
      <c r="IKD103" s="13">
        <v>0.1</v>
      </c>
      <c r="IKE103" s="13">
        <v>0.1</v>
      </c>
      <c r="IKF103" s="13">
        <v>0.1</v>
      </c>
      <c r="IKG103" s="13">
        <v>0.1</v>
      </c>
      <c r="IKH103" s="13">
        <v>0.1</v>
      </c>
      <c r="IKI103" s="13">
        <v>0.1</v>
      </c>
      <c r="IKJ103" s="13">
        <v>0.1</v>
      </c>
      <c r="IKK103" s="13">
        <v>0.1</v>
      </c>
      <c r="IKL103" s="13">
        <v>0.1</v>
      </c>
      <c r="IKM103" s="13">
        <v>0.1</v>
      </c>
      <c r="IKN103" s="13">
        <v>0.1</v>
      </c>
      <c r="IKO103" s="13">
        <v>0.1</v>
      </c>
      <c r="IKP103" s="13">
        <v>0.1</v>
      </c>
      <c r="IKQ103" s="13">
        <v>0.1</v>
      </c>
      <c r="IKR103" s="13">
        <v>0.1</v>
      </c>
      <c r="IKS103" s="13">
        <v>0.1</v>
      </c>
      <c r="IKT103" s="13">
        <v>0.1</v>
      </c>
      <c r="IKU103" s="13">
        <v>0.1</v>
      </c>
      <c r="IKV103" s="13">
        <v>0.1</v>
      </c>
      <c r="IKW103" s="13">
        <v>0.1</v>
      </c>
      <c r="IKX103" s="13">
        <v>0.1</v>
      </c>
      <c r="IKY103" s="13">
        <v>0.1</v>
      </c>
      <c r="IKZ103" s="13">
        <v>0.1</v>
      </c>
      <c r="ILA103" s="13">
        <v>0.1</v>
      </c>
      <c r="ILB103" s="13">
        <v>0.1</v>
      </c>
      <c r="ILC103" s="13">
        <v>0.1</v>
      </c>
      <c r="ILD103" s="13">
        <v>0.1</v>
      </c>
      <c r="ILE103" s="13">
        <v>0.1</v>
      </c>
      <c r="ILF103" s="13">
        <v>0.1</v>
      </c>
      <c r="ILG103" s="13">
        <v>0.1</v>
      </c>
      <c r="ILH103" s="13">
        <v>0.1</v>
      </c>
      <c r="ILI103" s="13">
        <v>0.1</v>
      </c>
      <c r="ILJ103" s="13">
        <v>0.1</v>
      </c>
      <c r="ILK103" s="13">
        <v>0.1</v>
      </c>
      <c r="ILL103" s="13">
        <v>0.1</v>
      </c>
      <c r="ILM103" s="13">
        <v>0.1</v>
      </c>
      <c r="ILN103" s="13">
        <v>0.1</v>
      </c>
      <c r="ILO103" s="13">
        <v>0.1</v>
      </c>
      <c r="ILP103" s="13">
        <v>0.1</v>
      </c>
      <c r="ILQ103" s="13">
        <v>0.1</v>
      </c>
      <c r="ILR103" s="13">
        <v>0.1</v>
      </c>
      <c r="ILS103" s="13">
        <v>0.1</v>
      </c>
      <c r="ILT103" s="13">
        <v>0.1</v>
      </c>
      <c r="ILU103" s="13">
        <v>0.1</v>
      </c>
      <c r="ILV103" s="13">
        <v>0.1</v>
      </c>
      <c r="ILW103" s="13">
        <v>0.1</v>
      </c>
      <c r="ILX103" s="13">
        <v>0.1</v>
      </c>
      <c r="ILY103" s="13">
        <v>0.1</v>
      </c>
      <c r="ILZ103" s="13">
        <v>0.1</v>
      </c>
      <c r="IMA103" s="13">
        <v>0.1</v>
      </c>
      <c r="IMB103" s="13">
        <v>0.1</v>
      </c>
      <c r="IMC103" s="13">
        <v>0.1</v>
      </c>
      <c r="IMD103" s="13">
        <v>0.1</v>
      </c>
      <c r="IME103" s="13">
        <v>0.1</v>
      </c>
      <c r="IMF103" s="13">
        <v>0.1</v>
      </c>
      <c r="IMG103" s="13">
        <v>0.1</v>
      </c>
      <c r="IMH103" s="13">
        <v>0.1</v>
      </c>
      <c r="IMI103" s="13">
        <v>0.1</v>
      </c>
      <c r="IMJ103" s="13">
        <v>0.1</v>
      </c>
      <c r="IMK103" s="13">
        <v>0.1</v>
      </c>
      <c r="IML103" s="13">
        <v>0.1</v>
      </c>
      <c r="IMM103" s="13">
        <v>0.1</v>
      </c>
      <c r="IMN103" s="13">
        <v>0.1</v>
      </c>
      <c r="IMO103" s="13">
        <v>0.1</v>
      </c>
      <c r="IMP103" s="13">
        <v>0.1</v>
      </c>
      <c r="IMQ103" s="13">
        <v>0.1</v>
      </c>
      <c r="IMR103" s="13">
        <v>0.1</v>
      </c>
      <c r="IMS103" s="13">
        <v>0.1</v>
      </c>
      <c r="IMT103" s="13">
        <v>0.1</v>
      </c>
      <c r="IMU103" s="13">
        <v>0.1</v>
      </c>
      <c r="IMV103" s="13">
        <v>0.1</v>
      </c>
      <c r="IMW103" s="13">
        <v>0.1</v>
      </c>
      <c r="IMX103" s="13">
        <v>0.1</v>
      </c>
      <c r="IMY103" s="13">
        <v>0.1</v>
      </c>
      <c r="IMZ103" s="13">
        <v>0.1</v>
      </c>
      <c r="INA103" s="13">
        <v>0.1</v>
      </c>
      <c r="INB103" s="13">
        <v>0.1</v>
      </c>
      <c r="INC103" s="13">
        <v>0.1</v>
      </c>
      <c r="IND103" s="13">
        <v>0.1</v>
      </c>
      <c r="INE103" s="13">
        <v>0.1</v>
      </c>
      <c r="INF103" s="13">
        <v>0.1</v>
      </c>
      <c r="ING103" s="13">
        <v>0.1</v>
      </c>
      <c r="INH103" s="13">
        <v>0.1</v>
      </c>
      <c r="INI103" s="13">
        <v>0.1</v>
      </c>
      <c r="INJ103" s="13">
        <v>0.1</v>
      </c>
      <c r="INK103" s="13">
        <v>0.1</v>
      </c>
      <c r="INL103" s="13">
        <v>0.1</v>
      </c>
      <c r="INM103" s="13">
        <v>0.1</v>
      </c>
      <c r="INN103" s="13">
        <v>0.1</v>
      </c>
      <c r="INO103" s="13">
        <v>0.1</v>
      </c>
      <c r="INP103" s="13">
        <v>0.1</v>
      </c>
      <c r="INQ103" s="13">
        <v>0.1</v>
      </c>
      <c r="INR103" s="13">
        <v>0.1</v>
      </c>
      <c r="INS103" s="13">
        <v>0.1</v>
      </c>
      <c r="INT103" s="13">
        <v>0.1</v>
      </c>
      <c r="INU103" s="13">
        <v>0.1</v>
      </c>
      <c r="INV103" s="13">
        <v>0.1</v>
      </c>
      <c r="INW103" s="13">
        <v>0.1</v>
      </c>
      <c r="INX103" s="13">
        <v>0.1</v>
      </c>
      <c r="INY103" s="13">
        <v>0.1</v>
      </c>
      <c r="INZ103" s="13">
        <v>0.1</v>
      </c>
      <c r="IOA103" s="13">
        <v>0.1</v>
      </c>
      <c r="IOB103" s="13">
        <v>0.1</v>
      </c>
      <c r="IOC103" s="13">
        <v>0.1</v>
      </c>
      <c r="IOD103" s="13">
        <v>0.1</v>
      </c>
      <c r="IOE103" s="13">
        <v>0.1</v>
      </c>
      <c r="IOF103" s="13">
        <v>0.1</v>
      </c>
      <c r="IOG103" s="13">
        <v>0.1</v>
      </c>
      <c r="IOH103" s="13">
        <v>0.1</v>
      </c>
      <c r="IOI103" s="13">
        <v>0.1</v>
      </c>
      <c r="IOJ103" s="13">
        <v>0.1</v>
      </c>
      <c r="IOK103" s="13">
        <v>0.1</v>
      </c>
      <c r="IOL103" s="13">
        <v>0.1</v>
      </c>
      <c r="IOM103" s="13">
        <v>0.1</v>
      </c>
      <c r="ION103" s="13">
        <v>0.1</v>
      </c>
      <c r="IOO103" s="13">
        <v>0.1</v>
      </c>
      <c r="IOP103" s="13">
        <v>0.1</v>
      </c>
      <c r="IOQ103" s="13">
        <v>0.1</v>
      </c>
      <c r="IOR103" s="13">
        <v>0.1</v>
      </c>
      <c r="IOS103" s="13">
        <v>0.1</v>
      </c>
      <c r="IOT103" s="13">
        <v>0.1</v>
      </c>
      <c r="IOU103" s="13">
        <v>0.1</v>
      </c>
      <c r="IOV103" s="13">
        <v>0.1</v>
      </c>
      <c r="IOW103" s="13">
        <v>0.1</v>
      </c>
      <c r="IOX103" s="13">
        <v>0.1</v>
      </c>
      <c r="IOY103" s="13">
        <v>0.1</v>
      </c>
      <c r="IOZ103" s="13">
        <v>0.1</v>
      </c>
      <c r="IPA103" s="13">
        <v>0.1</v>
      </c>
      <c r="IPB103" s="13">
        <v>0.1</v>
      </c>
      <c r="IPC103" s="13">
        <v>0.1</v>
      </c>
      <c r="IPD103" s="13">
        <v>0.1</v>
      </c>
      <c r="IPE103" s="13">
        <v>0.1</v>
      </c>
      <c r="IPF103" s="13">
        <v>0.1</v>
      </c>
      <c r="IPG103" s="13">
        <v>0.1</v>
      </c>
      <c r="IPH103" s="13">
        <v>0.1</v>
      </c>
      <c r="IPI103" s="13">
        <v>0.1</v>
      </c>
      <c r="IPJ103" s="13">
        <v>0.1</v>
      </c>
      <c r="IPK103" s="13">
        <v>0.1</v>
      </c>
      <c r="IPL103" s="13">
        <v>0.1</v>
      </c>
      <c r="IPM103" s="13">
        <v>0.1</v>
      </c>
      <c r="IPN103" s="13">
        <v>0.1</v>
      </c>
      <c r="IPO103" s="13">
        <v>0.1</v>
      </c>
      <c r="IPP103" s="13">
        <v>0.1</v>
      </c>
      <c r="IPQ103" s="13">
        <v>0.1</v>
      </c>
      <c r="IPR103" s="13">
        <v>0.1</v>
      </c>
      <c r="IPS103" s="13">
        <v>0.1</v>
      </c>
      <c r="IPT103" s="13">
        <v>0.1</v>
      </c>
      <c r="IPU103" s="13">
        <v>0.1</v>
      </c>
      <c r="IPV103" s="13">
        <v>0.1</v>
      </c>
      <c r="IPW103" s="13">
        <v>0.1</v>
      </c>
      <c r="IPX103" s="13">
        <v>0.1</v>
      </c>
      <c r="IPY103" s="13">
        <v>0.1</v>
      </c>
      <c r="IPZ103" s="13">
        <v>0.1</v>
      </c>
      <c r="IQA103" s="13">
        <v>0.1</v>
      </c>
      <c r="IQB103" s="13">
        <v>0.1</v>
      </c>
      <c r="IQC103" s="13">
        <v>0.1</v>
      </c>
      <c r="IQD103" s="13">
        <v>0.1</v>
      </c>
      <c r="IQE103" s="13">
        <v>0.1</v>
      </c>
      <c r="IQF103" s="13">
        <v>0.1</v>
      </c>
      <c r="IQG103" s="13">
        <v>0.1</v>
      </c>
      <c r="IQH103" s="13">
        <v>0.1</v>
      </c>
      <c r="IQI103" s="13">
        <v>0.1</v>
      </c>
      <c r="IQJ103" s="13">
        <v>0.1</v>
      </c>
      <c r="IQK103" s="13">
        <v>0.1</v>
      </c>
      <c r="IQL103" s="13">
        <v>0.1</v>
      </c>
      <c r="IQM103" s="13">
        <v>0.1</v>
      </c>
      <c r="IQN103" s="13">
        <v>0.1</v>
      </c>
      <c r="IQO103" s="13">
        <v>0.1</v>
      </c>
      <c r="IQP103" s="13">
        <v>0.1</v>
      </c>
      <c r="IQQ103" s="13">
        <v>0.1</v>
      </c>
      <c r="IQR103" s="13">
        <v>0.1</v>
      </c>
      <c r="IQS103" s="13">
        <v>0.1</v>
      </c>
      <c r="IQT103" s="13">
        <v>0.1</v>
      </c>
      <c r="IQU103" s="13">
        <v>0.1</v>
      </c>
      <c r="IQV103" s="13">
        <v>0.1</v>
      </c>
      <c r="IQW103" s="13">
        <v>0.1</v>
      </c>
      <c r="IQX103" s="13">
        <v>0.1</v>
      </c>
      <c r="IQY103" s="13">
        <v>0.1</v>
      </c>
      <c r="IQZ103" s="13">
        <v>0.1</v>
      </c>
      <c r="IRA103" s="13">
        <v>0.1</v>
      </c>
      <c r="IRB103" s="13">
        <v>0.1</v>
      </c>
      <c r="IRC103" s="13">
        <v>0.1</v>
      </c>
      <c r="IRD103" s="13">
        <v>0.1</v>
      </c>
      <c r="IRE103" s="13">
        <v>0.1</v>
      </c>
      <c r="IRF103" s="13">
        <v>0.1</v>
      </c>
      <c r="IRG103" s="13">
        <v>0.1</v>
      </c>
      <c r="IRH103" s="13">
        <v>0.1</v>
      </c>
      <c r="IRI103" s="13">
        <v>0.1</v>
      </c>
      <c r="IRJ103" s="13">
        <v>0.1</v>
      </c>
      <c r="IRK103" s="13">
        <v>0.1</v>
      </c>
      <c r="IRL103" s="13">
        <v>0.1</v>
      </c>
      <c r="IRM103" s="13">
        <v>0.1</v>
      </c>
      <c r="IRN103" s="13">
        <v>0.1</v>
      </c>
      <c r="IRO103" s="13">
        <v>0.1</v>
      </c>
      <c r="IRP103" s="13">
        <v>0.1</v>
      </c>
      <c r="IRQ103" s="13">
        <v>0.1</v>
      </c>
      <c r="IRR103" s="13">
        <v>0.1</v>
      </c>
      <c r="IRS103" s="13">
        <v>0.1</v>
      </c>
      <c r="IRT103" s="13">
        <v>0.1</v>
      </c>
      <c r="IRU103" s="13">
        <v>0.1</v>
      </c>
      <c r="IRV103" s="13">
        <v>0.1</v>
      </c>
      <c r="IRW103" s="13">
        <v>0.1</v>
      </c>
      <c r="IRX103" s="13">
        <v>0.1</v>
      </c>
      <c r="IRY103" s="13">
        <v>0.1</v>
      </c>
      <c r="IRZ103" s="13">
        <v>0.1</v>
      </c>
      <c r="ISA103" s="13">
        <v>0.1</v>
      </c>
      <c r="ISB103" s="13">
        <v>0.1</v>
      </c>
      <c r="ISC103" s="13">
        <v>0.1</v>
      </c>
      <c r="ISD103" s="13">
        <v>0.1</v>
      </c>
      <c r="ISE103" s="13">
        <v>0.1</v>
      </c>
      <c r="ISF103" s="13">
        <v>0.1</v>
      </c>
      <c r="ISG103" s="13">
        <v>0.1</v>
      </c>
      <c r="ISH103" s="13">
        <v>0.1</v>
      </c>
      <c r="ISI103" s="13">
        <v>0.1</v>
      </c>
      <c r="ISJ103" s="13">
        <v>0.1</v>
      </c>
      <c r="ISK103" s="13">
        <v>0.1</v>
      </c>
      <c r="ISL103" s="13">
        <v>0.1</v>
      </c>
      <c r="ISM103" s="13">
        <v>0.1</v>
      </c>
      <c r="ISN103" s="13">
        <v>0.1</v>
      </c>
      <c r="ISO103" s="13">
        <v>0.1</v>
      </c>
      <c r="ISP103" s="13">
        <v>0.1</v>
      </c>
      <c r="ISQ103" s="13">
        <v>0.1</v>
      </c>
      <c r="ISR103" s="13">
        <v>0.1</v>
      </c>
      <c r="ISS103" s="13">
        <v>0.1</v>
      </c>
      <c r="IST103" s="13">
        <v>0.1</v>
      </c>
      <c r="ISU103" s="13">
        <v>0.1</v>
      </c>
      <c r="ISV103" s="13">
        <v>0.1</v>
      </c>
      <c r="ISW103" s="13">
        <v>0.1</v>
      </c>
      <c r="ISX103" s="13">
        <v>0.1</v>
      </c>
      <c r="ISY103" s="13">
        <v>0.1</v>
      </c>
      <c r="ISZ103" s="13">
        <v>0.1</v>
      </c>
      <c r="ITA103" s="13">
        <v>0.1</v>
      </c>
      <c r="ITB103" s="13">
        <v>0.1</v>
      </c>
      <c r="ITC103" s="13">
        <v>0.1</v>
      </c>
      <c r="ITD103" s="13">
        <v>0.1</v>
      </c>
      <c r="ITE103" s="13">
        <v>0.1</v>
      </c>
      <c r="ITF103" s="13">
        <v>0.1</v>
      </c>
      <c r="ITG103" s="13">
        <v>0.1</v>
      </c>
      <c r="ITH103" s="13">
        <v>0.1</v>
      </c>
      <c r="ITI103" s="13">
        <v>0.1</v>
      </c>
      <c r="ITJ103" s="13">
        <v>0.1</v>
      </c>
      <c r="ITK103" s="13">
        <v>0.1</v>
      </c>
      <c r="ITL103" s="13">
        <v>0.1</v>
      </c>
      <c r="ITM103" s="13">
        <v>0.1</v>
      </c>
      <c r="ITN103" s="13">
        <v>0.1</v>
      </c>
      <c r="ITO103" s="13">
        <v>0.1</v>
      </c>
      <c r="ITP103" s="13">
        <v>0.1</v>
      </c>
      <c r="ITQ103" s="13">
        <v>0.1</v>
      </c>
      <c r="ITR103" s="13">
        <v>0.1</v>
      </c>
      <c r="ITS103" s="13">
        <v>0.1</v>
      </c>
      <c r="ITT103" s="13">
        <v>0.1</v>
      </c>
      <c r="ITU103" s="13">
        <v>0.1</v>
      </c>
      <c r="ITV103" s="13">
        <v>0.1</v>
      </c>
      <c r="ITW103" s="13">
        <v>0.1</v>
      </c>
      <c r="ITX103" s="13">
        <v>0.1</v>
      </c>
      <c r="ITY103" s="13">
        <v>0.1</v>
      </c>
      <c r="ITZ103" s="13">
        <v>0.1</v>
      </c>
      <c r="IUA103" s="13">
        <v>0.1</v>
      </c>
      <c r="IUB103" s="13">
        <v>0.1</v>
      </c>
      <c r="IUC103" s="13">
        <v>0.1</v>
      </c>
      <c r="IUD103" s="13">
        <v>0.1</v>
      </c>
      <c r="IUE103" s="13">
        <v>0.1</v>
      </c>
      <c r="IUF103" s="13">
        <v>0.1</v>
      </c>
      <c r="IUG103" s="13">
        <v>0.1</v>
      </c>
      <c r="IUH103" s="13">
        <v>0.1</v>
      </c>
      <c r="IUI103" s="13">
        <v>0.1</v>
      </c>
      <c r="IUJ103" s="13">
        <v>0.1</v>
      </c>
      <c r="IUK103" s="13">
        <v>0.1</v>
      </c>
      <c r="IUL103" s="13">
        <v>0.1</v>
      </c>
      <c r="IUM103" s="13">
        <v>0.1</v>
      </c>
      <c r="IUN103" s="13">
        <v>0.1</v>
      </c>
      <c r="IUO103" s="13">
        <v>0.1</v>
      </c>
      <c r="IUP103" s="13">
        <v>0.1</v>
      </c>
      <c r="IUQ103" s="13">
        <v>0.1</v>
      </c>
      <c r="IUR103" s="13">
        <v>0.1</v>
      </c>
      <c r="IUS103" s="13">
        <v>0.1</v>
      </c>
      <c r="IUT103" s="13">
        <v>0.1</v>
      </c>
      <c r="IUU103" s="13">
        <v>0.1</v>
      </c>
      <c r="IUV103" s="13">
        <v>0.1</v>
      </c>
      <c r="IUW103" s="13">
        <v>0.1</v>
      </c>
      <c r="IUX103" s="13">
        <v>0.1</v>
      </c>
      <c r="IUY103" s="13">
        <v>0.1</v>
      </c>
      <c r="IUZ103" s="13">
        <v>0.1</v>
      </c>
      <c r="IVA103" s="13">
        <v>0.1</v>
      </c>
      <c r="IVB103" s="13">
        <v>0.1</v>
      </c>
      <c r="IVC103" s="13">
        <v>0.1</v>
      </c>
      <c r="IVD103" s="13">
        <v>0.1</v>
      </c>
      <c r="IVE103" s="13">
        <v>0.1</v>
      </c>
      <c r="IVF103" s="13">
        <v>0.1</v>
      </c>
      <c r="IVG103" s="13">
        <v>0.1</v>
      </c>
      <c r="IVH103" s="13">
        <v>0.1</v>
      </c>
      <c r="IVI103" s="13">
        <v>0.1</v>
      </c>
      <c r="IVJ103" s="13">
        <v>0.1</v>
      </c>
      <c r="IVK103" s="13">
        <v>0.1</v>
      </c>
      <c r="IVL103" s="13">
        <v>0.1</v>
      </c>
      <c r="IVM103" s="13">
        <v>0.1</v>
      </c>
      <c r="IVN103" s="13">
        <v>0.1</v>
      </c>
      <c r="IVO103" s="13">
        <v>0.1</v>
      </c>
      <c r="IVP103" s="13">
        <v>0.1</v>
      </c>
      <c r="IVQ103" s="13">
        <v>0.1</v>
      </c>
      <c r="IVR103" s="13">
        <v>0.1</v>
      </c>
      <c r="IVS103" s="13">
        <v>0.1</v>
      </c>
      <c r="IVT103" s="13">
        <v>0.1</v>
      </c>
      <c r="IVU103" s="13">
        <v>0.1</v>
      </c>
      <c r="IVV103" s="13">
        <v>0.1</v>
      </c>
      <c r="IVW103" s="13">
        <v>0.1</v>
      </c>
      <c r="IVX103" s="13">
        <v>0.1</v>
      </c>
      <c r="IVY103" s="13">
        <v>0.1</v>
      </c>
      <c r="IVZ103" s="13">
        <v>0.1</v>
      </c>
      <c r="IWA103" s="13">
        <v>0.1</v>
      </c>
      <c r="IWB103" s="13">
        <v>0.1</v>
      </c>
      <c r="IWC103" s="13">
        <v>0.1</v>
      </c>
      <c r="IWD103" s="13">
        <v>0.1</v>
      </c>
      <c r="IWE103" s="13">
        <v>0.1</v>
      </c>
      <c r="IWF103" s="13">
        <v>0.1</v>
      </c>
      <c r="IWG103" s="13">
        <v>0.1</v>
      </c>
      <c r="IWH103" s="13">
        <v>0.1</v>
      </c>
      <c r="IWI103" s="13">
        <v>0.1</v>
      </c>
      <c r="IWJ103" s="13">
        <v>0.1</v>
      </c>
      <c r="IWK103" s="13">
        <v>0.1</v>
      </c>
      <c r="IWL103" s="13">
        <v>0.1</v>
      </c>
      <c r="IWM103" s="13">
        <v>0.1</v>
      </c>
      <c r="IWN103" s="13">
        <v>0.1</v>
      </c>
      <c r="IWO103" s="13">
        <v>0.1</v>
      </c>
      <c r="IWP103" s="13">
        <v>0.1</v>
      </c>
      <c r="IWQ103" s="13">
        <v>0.1</v>
      </c>
      <c r="IWR103" s="13">
        <v>0.1</v>
      </c>
      <c r="IWS103" s="13">
        <v>0.1</v>
      </c>
      <c r="IWT103" s="13">
        <v>0.1</v>
      </c>
      <c r="IWU103" s="13">
        <v>0.1</v>
      </c>
      <c r="IWV103" s="13">
        <v>0.1</v>
      </c>
      <c r="IWW103" s="13">
        <v>0.1</v>
      </c>
      <c r="IWX103" s="13">
        <v>0.1</v>
      </c>
      <c r="IWY103" s="13">
        <v>0.1</v>
      </c>
      <c r="IWZ103" s="13">
        <v>0.1</v>
      </c>
      <c r="IXA103" s="13">
        <v>0.1</v>
      </c>
      <c r="IXB103" s="13">
        <v>0.1</v>
      </c>
      <c r="IXC103" s="13">
        <v>0.1</v>
      </c>
      <c r="IXD103" s="13">
        <v>0.1</v>
      </c>
      <c r="IXE103" s="13">
        <v>0.1</v>
      </c>
      <c r="IXF103" s="13">
        <v>0.1</v>
      </c>
      <c r="IXG103" s="13">
        <v>0.1</v>
      </c>
      <c r="IXH103" s="13">
        <v>0.1</v>
      </c>
      <c r="IXI103" s="13">
        <v>0.1</v>
      </c>
      <c r="IXJ103" s="13">
        <v>0.1</v>
      </c>
      <c r="IXK103" s="13">
        <v>0.1</v>
      </c>
      <c r="IXL103" s="13">
        <v>0.1</v>
      </c>
      <c r="IXM103" s="13">
        <v>0.1</v>
      </c>
      <c r="IXN103" s="13">
        <v>0.1</v>
      </c>
      <c r="IXO103" s="13">
        <v>0.1</v>
      </c>
      <c r="IXP103" s="13">
        <v>0.1</v>
      </c>
      <c r="IXQ103" s="13">
        <v>0.1</v>
      </c>
      <c r="IXR103" s="13">
        <v>0.1</v>
      </c>
      <c r="IXS103" s="13">
        <v>0.1</v>
      </c>
      <c r="IXT103" s="13">
        <v>0.1</v>
      </c>
      <c r="IXU103" s="13">
        <v>0.1</v>
      </c>
      <c r="IXV103" s="13">
        <v>0.1</v>
      </c>
      <c r="IXW103" s="13">
        <v>0.1</v>
      </c>
      <c r="IXX103" s="13">
        <v>0.1</v>
      </c>
      <c r="IXY103" s="13">
        <v>0.1</v>
      </c>
      <c r="IXZ103" s="13">
        <v>0.1</v>
      </c>
      <c r="IYA103" s="13">
        <v>0.1</v>
      </c>
      <c r="IYB103" s="13">
        <v>0.1</v>
      </c>
      <c r="IYC103" s="13">
        <v>0.1</v>
      </c>
      <c r="IYD103" s="13">
        <v>0.1</v>
      </c>
      <c r="IYE103" s="13">
        <v>0.1</v>
      </c>
      <c r="IYF103" s="13">
        <v>0.1</v>
      </c>
      <c r="IYG103" s="13">
        <v>0.1</v>
      </c>
      <c r="IYH103" s="13">
        <v>0.1</v>
      </c>
      <c r="IYI103" s="13">
        <v>0.1</v>
      </c>
      <c r="IYJ103" s="13">
        <v>0.1</v>
      </c>
      <c r="IYK103" s="13">
        <v>0.1</v>
      </c>
      <c r="IYL103" s="13">
        <v>0.1</v>
      </c>
      <c r="IYM103" s="13">
        <v>0.1</v>
      </c>
      <c r="IYN103" s="13">
        <v>0.1</v>
      </c>
      <c r="IYO103" s="13">
        <v>0.1</v>
      </c>
      <c r="IYP103" s="13">
        <v>0.1</v>
      </c>
      <c r="IYQ103" s="13">
        <v>0.1</v>
      </c>
      <c r="IYR103" s="13">
        <v>0.1</v>
      </c>
      <c r="IYS103" s="13">
        <v>0.1</v>
      </c>
      <c r="IYT103" s="13">
        <v>0.1</v>
      </c>
      <c r="IYU103" s="13">
        <v>0.1</v>
      </c>
      <c r="IYV103" s="13">
        <v>0.1</v>
      </c>
      <c r="IYW103" s="13">
        <v>0.1</v>
      </c>
      <c r="IYX103" s="13">
        <v>0.1</v>
      </c>
      <c r="IYY103" s="13">
        <v>0.1</v>
      </c>
      <c r="IYZ103" s="13">
        <v>0.1</v>
      </c>
      <c r="IZA103" s="13">
        <v>0.1</v>
      </c>
      <c r="IZB103" s="13">
        <v>0.1</v>
      </c>
      <c r="IZC103" s="13">
        <v>0.1</v>
      </c>
      <c r="IZD103" s="13">
        <v>0.1</v>
      </c>
      <c r="IZE103" s="13">
        <v>0.1</v>
      </c>
      <c r="IZF103" s="13">
        <v>0.1</v>
      </c>
      <c r="IZG103" s="13">
        <v>0.1</v>
      </c>
      <c r="IZH103" s="13">
        <v>0.1</v>
      </c>
      <c r="IZI103" s="13">
        <v>0.1</v>
      </c>
      <c r="IZJ103" s="13">
        <v>0.1</v>
      </c>
      <c r="IZK103" s="13">
        <v>0.1</v>
      </c>
      <c r="IZL103" s="13">
        <v>0.1</v>
      </c>
      <c r="IZM103" s="13">
        <v>0.1</v>
      </c>
      <c r="IZN103" s="13">
        <v>0.1</v>
      </c>
      <c r="IZO103" s="13">
        <v>0.1</v>
      </c>
      <c r="IZP103" s="13">
        <v>0.1</v>
      </c>
      <c r="IZQ103" s="13">
        <v>0.1</v>
      </c>
      <c r="IZR103" s="13">
        <v>0.1</v>
      </c>
      <c r="IZS103" s="13">
        <v>0.1</v>
      </c>
      <c r="IZT103" s="13">
        <v>0.1</v>
      </c>
      <c r="IZU103" s="13">
        <v>0.1</v>
      </c>
      <c r="IZV103" s="13">
        <v>0.1</v>
      </c>
      <c r="IZW103" s="13">
        <v>0.1</v>
      </c>
      <c r="IZX103" s="13">
        <v>0.1</v>
      </c>
      <c r="IZY103" s="13">
        <v>0.1</v>
      </c>
      <c r="IZZ103" s="13">
        <v>0.1</v>
      </c>
      <c r="JAA103" s="13">
        <v>0.1</v>
      </c>
      <c r="JAB103" s="13">
        <v>0.1</v>
      </c>
      <c r="JAC103" s="13">
        <v>0.1</v>
      </c>
      <c r="JAD103" s="13">
        <v>0.1</v>
      </c>
      <c r="JAE103" s="13">
        <v>0.1</v>
      </c>
      <c r="JAF103" s="13">
        <v>0.1</v>
      </c>
      <c r="JAG103" s="13">
        <v>0.1</v>
      </c>
      <c r="JAH103" s="13">
        <v>0.1</v>
      </c>
      <c r="JAI103" s="13">
        <v>0.1</v>
      </c>
      <c r="JAJ103" s="13">
        <v>0.1</v>
      </c>
      <c r="JAK103" s="13">
        <v>0.1</v>
      </c>
      <c r="JAL103" s="13">
        <v>0.1</v>
      </c>
      <c r="JAM103" s="13">
        <v>0.1</v>
      </c>
      <c r="JAN103" s="13">
        <v>0.1</v>
      </c>
      <c r="JAO103" s="13">
        <v>0.1</v>
      </c>
      <c r="JAP103" s="13">
        <v>0.1</v>
      </c>
      <c r="JAQ103" s="13">
        <v>0.1</v>
      </c>
      <c r="JAR103" s="13">
        <v>0.1</v>
      </c>
      <c r="JAS103" s="13">
        <v>0.1</v>
      </c>
      <c r="JAT103" s="13">
        <v>0.1</v>
      </c>
      <c r="JAU103" s="13">
        <v>0.1</v>
      </c>
      <c r="JAV103" s="13">
        <v>0.1</v>
      </c>
      <c r="JAW103" s="13">
        <v>0.1</v>
      </c>
      <c r="JAX103" s="13">
        <v>0.1</v>
      </c>
      <c r="JAY103" s="13">
        <v>0.1</v>
      </c>
      <c r="JAZ103" s="13">
        <v>0.1</v>
      </c>
      <c r="JBA103" s="13">
        <v>0.1</v>
      </c>
      <c r="JBB103" s="13">
        <v>0.1</v>
      </c>
      <c r="JBC103" s="13">
        <v>0.1</v>
      </c>
      <c r="JBD103" s="13">
        <v>0.1</v>
      </c>
      <c r="JBE103" s="13">
        <v>0.1</v>
      </c>
      <c r="JBF103" s="13">
        <v>0.1</v>
      </c>
      <c r="JBG103" s="13">
        <v>0.1</v>
      </c>
      <c r="JBH103" s="13">
        <v>0.1</v>
      </c>
      <c r="JBI103" s="13">
        <v>0.1</v>
      </c>
      <c r="JBJ103" s="13">
        <v>0.1</v>
      </c>
      <c r="JBK103" s="13">
        <v>0.1</v>
      </c>
      <c r="JBL103" s="13">
        <v>0.1</v>
      </c>
      <c r="JBM103" s="13">
        <v>0.1</v>
      </c>
      <c r="JBN103" s="13">
        <v>0.1</v>
      </c>
      <c r="JBO103" s="13">
        <v>0.1</v>
      </c>
      <c r="JBP103" s="13">
        <v>0.1</v>
      </c>
      <c r="JBQ103" s="13">
        <v>0.1</v>
      </c>
      <c r="JBR103" s="13">
        <v>0.1</v>
      </c>
      <c r="JBS103" s="13">
        <v>0.1</v>
      </c>
      <c r="JBT103" s="13">
        <v>0.1</v>
      </c>
      <c r="JBU103" s="13">
        <v>0.1</v>
      </c>
      <c r="JBV103" s="13">
        <v>0.1</v>
      </c>
      <c r="JBW103" s="13">
        <v>0.1</v>
      </c>
      <c r="JBX103" s="13">
        <v>0.1</v>
      </c>
      <c r="JBY103" s="13">
        <v>0.1</v>
      </c>
      <c r="JBZ103" s="13">
        <v>0.1</v>
      </c>
      <c r="JCA103" s="13">
        <v>0.1</v>
      </c>
      <c r="JCB103" s="13">
        <v>0.1</v>
      </c>
      <c r="JCC103" s="13">
        <v>0.1</v>
      </c>
      <c r="JCD103" s="13">
        <v>0.1</v>
      </c>
      <c r="JCE103" s="13">
        <v>0.1</v>
      </c>
      <c r="JCF103" s="13">
        <v>0.1</v>
      </c>
      <c r="JCG103" s="13">
        <v>0.1</v>
      </c>
      <c r="JCH103" s="13">
        <v>0.1</v>
      </c>
      <c r="JCI103" s="13">
        <v>0.1</v>
      </c>
      <c r="JCJ103" s="13">
        <v>0.1</v>
      </c>
      <c r="JCK103" s="13">
        <v>0.1</v>
      </c>
      <c r="JCL103" s="13">
        <v>0.1</v>
      </c>
      <c r="JCM103" s="13">
        <v>0.1</v>
      </c>
      <c r="JCN103" s="13">
        <v>0.1</v>
      </c>
      <c r="JCO103" s="13">
        <v>0.1</v>
      </c>
      <c r="JCP103" s="13">
        <v>0.1</v>
      </c>
      <c r="JCQ103" s="13">
        <v>0.1</v>
      </c>
      <c r="JCR103" s="13">
        <v>0.1</v>
      </c>
      <c r="JCS103" s="13">
        <v>0.1</v>
      </c>
      <c r="JCT103" s="13">
        <v>0.1</v>
      </c>
      <c r="JCU103" s="13">
        <v>0.1</v>
      </c>
      <c r="JCV103" s="13">
        <v>0.1</v>
      </c>
      <c r="JCW103" s="13">
        <v>0.1</v>
      </c>
      <c r="JCX103" s="13">
        <v>0.1</v>
      </c>
      <c r="JCY103" s="13">
        <v>0.1</v>
      </c>
      <c r="JCZ103" s="13">
        <v>0.1</v>
      </c>
      <c r="JDA103" s="13">
        <v>0.1</v>
      </c>
      <c r="JDB103" s="13">
        <v>0.1</v>
      </c>
      <c r="JDC103" s="13">
        <v>0.1</v>
      </c>
      <c r="JDD103" s="13">
        <v>0.1</v>
      </c>
      <c r="JDE103" s="13">
        <v>0.1</v>
      </c>
      <c r="JDF103" s="13">
        <v>0.1</v>
      </c>
      <c r="JDG103" s="13">
        <v>0.1</v>
      </c>
      <c r="JDH103" s="13">
        <v>0.1</v>
      </c>
      <c r="JDI103" s="13">
        <v>0.1</v>
      </c>
      <c r="JDJ103" s="13">
        <v>0.1</v>
      </c>
      <c r="JDK103" s="13">
        <v>0.1</v>
      </c>
      <c r="JDL103" s="13">
        <v>0.1</v>
      </c>
      <c r="JDM103" s="13">
        <v>0.1</v>
      </c>
      <c r="JDN103" s="13">
        <v>0.1</v>
      </c>
      <c r="JDO103" s="13">
        <v>0.1</v>
      </c>
      <c r="JDP103" s="13">
        <v>0.1</v>
      </c>
      <c r="JDQ103" s="13">
        <v>0.1</v>
      </c>
      <c r="JDR103" s="13">
        <v>0.1</v>
      </c>
      <c r="JDS103" s="13">
        <v>0.1</v>
      </c>
      <c r="JDT103" s="13">
        <v>0.1</v>
      </c>
      <c r="JDU103" s="13">
        <v>0.1</v>
      </c>
      <c r="JDV103" s="13">
        <v>0.1</v>
      </c>
      <c r="JDW103" s="13">
        <v>0.1</v>
      </c>
      <c r="JDX103" s="13">
        <v>0.1</v>
      </c>
      <c r="JDY103" s="13">
        <v>0.1</v>
      </c>
      <c r="JDZ103" s="13">
        <v>0.1</v>
      </c>
      <c r="JEA103" s="13">
        <v>0.1</v>
      </c>
      <c r="JEB103" s="13">
        <v>0.1</v>
      </c>
      <c r="JEC103" s="13">
        <v>0.1</v>
      </c>
      <c r="JED103" s="13">
        <v>0.1</v>
      </c>
      <c r="JEE103" s="13">
        <v>0.1</v>
      </c>
      <c r="JEF103" s="13">
        <v>0.1</v>
      </c>
      <c r="JEG103" s="13">
        <v>0.1</v>
      </c>
      <c r="JEH103" s="13">
        <v>0.1</v>
      </c>
      <c r="JEI103" s="13">
        <v>0.1</v>
      </c>
      <c r="JEJ103" s="13">
        <v>0.1</v>
      </c>
      <c r="JEK103" s="13">
        <v>0.1</v>
      </c>
      <c r="JEL103" s="13">
        <v>0.1</v>
      </c>
      <c r="JEM103" s="13">
        <v>0.1</v>
      </c>
      <c r="JEN103" s="13">
        <v>0.1</v>
      </c>
      <c r="JEO103" s="13">
        <v>0.1</v>
      </c>
      <c r="JEP103" s="13">
        <v>0.1</v>
      </c>
      <c r="JEQ103" s="13">
        <v>0.1</v>
      </c>
      <c r="JER103" s="13">
        <v>0.1</v>
      </c>
      <c r="JES103" s="13">
        <v>0.1</v>
      </c>
      <c r="JET103" s="13">
        <v>0.1</v>
      </c>
      <c r="JEU103" s="13">
        <v>0.1</v>
      </c>
      <c r="JEV103" s="13">
        <v>0.1</v>
      </c>
      <c r="JEW103" s="13">
        <v>0.1</v>
      </c>
      <c r="JEX103" s="13">
        <v>0.1</v>
      </c>
      <c r="JEY103" s="13">
        <v>0.1</v>
      </c>
      <c r="JEZ103" s="13">
        <v>0.1</v>
      </c>
      <c r="JFA103" s="13">
        <v>0.1</v>
      </c>
      <c r="JFB103" s="13">
        <v>0.1</v>
      </c>
      <c r="JFC103" s="13">
        <v>0.1</v>
      </c>
      <c r="JFD103" s="13">
        <v>0.1</v>
      </c>
      <c r="JFE103" s="13">
        <v>0.1</v>
      </c>
      <c r="JFF103" s="13">
        <v>0.1</v>
      </c>
      <c r="JFG103" s="13">
        <v>0.1</v>
      </c>
      <c r="JFH103" s="13">
        <v>0.1</v>
      </c>
      <c r="JFI103" s="13">
        <v>0.1</v>
      </c>
      <c r="JFJ103" s="13">
        <v>0.1</v>
      </c>
      <c r="JFK103" s="13">
        <v>0.1</v>
      </c>
      <c r="JFL103" s="13">
        <v>0.1</v>
      </c>
      <c r="JFM103" s="13">
        <v>0.1</v>
      </c>
      <c r="JFN103" s="13">
        <v>0.1</v>
      </c>
      <c r="JFO103" s="13">
        <v>0.1</v>
      </c>
      <c r="JFP103" s="13">
        <v>0.1</v>
      </c>
      <c r="JFQ103" s="13">
        <v>0.1</v>
      </c>
      <c r="JFR103" s="13">
        <v>0.1</v>
      </c>
      <c r="JFS103" s="13">
        <v>0.1</v>
      </c>
      <c r="JFT103" s="13">
        <v>0.1</v>
      </c>
      <c r="JFU103" s="13">
        <v>0.1</v>
      </c>
      <c r="JFV103" s="13">
        <v>0.1</v>
      </c>
      <c r="JFW103" s="13">
        <v>0.1</v>
      </c>
      <c r="JFX103" s="13">
        <v>0.1</v>
      </c>
      <c r="JFY103" s="13">
        <v>0.1</v>
      </c>
      <c r="JFZ103" s="13">
        <v>0.1</v>
      </c>
      <c r="JGA103" s="13">
        <v>0.1</v>
      </c>
      <c r="JGB103" s="13">
        <v>0.1</v>
      </c>
      <c r="JGC103" s="13">
        <v>0.1</v>
      </c>
      <c r="JGD103" s="13">
        <v>0.1</v>
      </c>
      <c r="JGE103" s="13">
        <v>0.1</v>
      </c>
      <c r="JGF103" s="13">
        <v>0.1</v>
      </c>
      <c r="JGG103" s="13">
        <v>0.1</v>
      </c>
      <c r="JGH103" s="13">
        <v>0.1</v>
      </c>
      <c r="JGI103" s="13">
        <v>0.1</v>
      </c>
      <c r="JGJ103" s="13">
        <v>0.1</v>
      </c>
      <c r="JGK103" s="13">
        <v>0.1</v>
      </c>
      <c r="JGL103" s="13">
        <v>0.1</v>
      </c>
      <c r="JGM103" s="13">
        <v>0.1</v>
      </c>
      <c r="JGN103" s="13">
        <v>0.1</v>
      </c>
      <c r="JGO103" s="13">
        <v>0.1</v>
      </c>
      <c r="JGP103" s="13">
        <v>0.1</v>
      </c>
      <c r="JGQ103" s="13">
        <v>0.1</v>
      </c>
      <c r="JGR103" s="13">
        <v>0.1</v>
      </c>
      <c r="JGS103" s="13">
        <v>0.1</v>
      </c>
      <c r="JGT103" s="13">
        <v>0.1</v>
      </c>
      <c r="JGU103" s="13">
        <v>0.1</v>
      </c>
      <c r="JGV103" s="13">
        <v>0.1</v>
      </c>
      <c r="JGW103" s="13">
        <v>0.1</v>
      </c>
      <c r="JGX103" s="13">
        <v>0.1</v>
      </c>
      <c r="JGY103" s="13">
        <v>0.1</v>
      </c>
      <c r="JGZ103" s="13">
        <v>0.1</v>
      </c>
      <c r="JHA103" s="13">
        <v>0.1</v>
      </c>
      <c r="JHB103" s="13">
        <v>0.1</v>
      </c>
      <c r="JHC103" s="13">
        <v>0.1</v>
      </c>
      <c r="JHD103" s="13">
        <v>0.1</v>
      </c>
      <c r="JHE103" s="13">
        <v>0.1</v>
      </c>
      <c r="JHF103" s="13">
        <v>0.1</v>
      </c>
      <c r="JHG103" s="13">
        <v>0.1</v>
      </c>
      <c r="JHH103" s="13">
        <v>0.1</v>
      </c>
      <c r="JHI103" s="13">
        <v>0.1</v>
      </c>
      <c r="JHJ103" s="13">
        <v>0.1</v>
      </c>
      <c r="JHK103" s="13">
        <v>0.1</v>
      </c>
      <c r="JHL103" s="13">
        <v>0.1</v>
      </c>
      <c r="JHM103" s="13">
        <v>0.1</v>
      </c>
      <c r="JHN103" s="13">
        <v>0.1</v>
      </c>
      <c r="JHO103" s="13">
        <v>0.1</v>
      </c>
      <c r="JHP103" s="13">
        <v>0.1</v>
      </c>
      <c r="JHQ103" s="13">
        <v>0.1</v>
      </c>
      <c r="JHR103" s="13">
        <v>0.1</v>
      </c>
      <c r="JHS103" s="13">
        <v>0.1</v>
      </c>
      <c r="JHT103" s="13">
        <v>0.1</v>
      </c>
      <c r="JHU103" s="13">
        <v>0.1</v>
      </c>
      <c r="JHV103" s="13">
        <v>0.1</v>
      </c>
      <c r="JHW103" s="13">
        <v>0.1</v>
      </c>
      <c r="JHX103" s="13">
        <v>0.1</v>
      </c>
      <c r="JHY103" s="13">
        <v>0.1</v>
      </c>
      <c r="JHZ103" s="13">
        <v>0.1</v>
      </c>
      <c r="JIA103" s="13">
        <v>0.1</v>
      </c>
      <c r="JIB103" s="13">
        <v>0.1</v>
      </c>
      <c r="JIC103" s="13">
        <v>0.1</v>
      </c>
      <c r="JID103" s="13">
        <v>0.1</v>
      </c>
      <c r="JIE103" s="13">
        <v>0.1</v>
      </c>
      <c r="JIF103" s="13">
        <v>0.1</v>
      </c>
      <c r="JIG103" s="13">
        <v>0.1</v>
      </c>
      <c r="JIH103" s="13">
        <v>0.1</v>
      </c>
      <c r="JII103" s="13">
        <v>0.1</v>
      </c>
      <c r="JIJ103" s="13">
        <v>0.1</v>
      </c>
      <c r="JIK103" s="13">
        <v>0.1</v>
      </c>
      <c r="JIL103" s="13">
        <v>0.1</v>
      </c>
      <c r="JIM103" s="13">
        <v>0.1</v>
      </c>
      <c r="JIN103" s="13">
        <v>0.1</v>
      </c>
      <c r="JIO103" s="13">
        <v>0.1</v>
      </c>
      <c r="JIP103" s="13">
        <v>0.1</v>
      </c>
      <c r="JIQ103" s="13">
        <v>0.1</v>
      </c>
      <c r="JIR103" s="13">
        <v>0.1</v>
      </c>
      <c r="JIS103" s="13">
        <v>0.1</v>
      </c>
      <c r="JIT103" s="13">
        <v>0.1</v>
      </c>
      <c r="JIU103" s="13">
        <v>0.1</v>
      </c>
      <c r="JIV103" s="13">
        <v>0.1</v>
      </c>
      <c r="JIW103" s="13">
        <v>0.1</v>
      </c>
      <c r="JIX103" s="13">
        <v>0.1</v>
      </c>
      <c r="JIY103" s="13">
        <v>0.1</v>
      </c>
      <c r="JIZ103" s="13">
        <v>0.1</v>
      </c>
      <c r="JJA103" s="13">
        <v>0.1</v>
      </c>
      <c r="JJB103" s="13">
        <v>0.1</v>
      </c>
      <c r="JJC103" s="13">
        <v>0.1</v>
      </c>
      <c r="JJD103" s="13">
        <v>0.1</v>
      </c>
      <c r="JJE103" s="13">
        <v>0.1</v>
      </c>
      <c r="JJF103" s="13">
        <v>0.1</v>
      </c>
      <c r="JJG103" s="13">
        <v>0.1</v>
      </c>
      <c r="JJH103" s="13">
        <v>0.1</v>
      </c>
      <c r="JJI103" s="13">
        <v>0.1</v>
      </c>
      <c r="JJJ103" s="13">
        <v>0.1</v>
      </c>
      <c r="JJK103" s="13">
        <v>0.1</v>
      </c>
      <c r="JJL103" s="13">
        <v>0.1</v>
      </c>
      <c r="JJM103" s="13">
        <v>0.1</v>
      </c>
      <c r="JJN103" s="13">
        <v>0.1</v>
      </c>
      <c r="JJO103" s="13">
        <v>0.1</v>
      </c>
      <c r="JJP103" s="13">
        <v>0.1</v>
      </c>
      <c r="JJQ103" s="13">
        <v>0.1</v>
      </c>
      <c r="JJR103" s="13">
        <v>0.1</v>
      </c>
      <c r="JJS103" s="13">
        <v>0.1</v>
      </c>
      <c r="JJT103" s="13">
        <v>0.1</v>
      </c>
      <c r="JJU103" s="13">
        <v>0.1</v>
      </c>
      <c r="JJV103" s="13">
        <v>0.1</v>
      </c>
      <c r="JJW103" s="13">
        <v>0.1</v>
      </c>
      <c r="JJX103" s="13">
        <v>0.1</v>
      </c>
      <c r="JJY103" s="13">
        <v>0.1</v>
      </c>
      <c r="JJZ103" s="13">
        <v>0.1</v>
      </c>
      <c r="JKA103" s="13">
        <v>0.1</v>
      </c>
      <c r="JKB103" s="13">
        <v>0.1</v>
      </c>
      <c r="JKC103" s="13">
        <v>0.1</v>
      </c>
      <c r="JKD103" s="13">
        <v>0.1</v>
      </c>
      <c r="JKE103" s="13">
        <v>0.1</v>
      </c>
      <c r="JKF103" s="13">
        <v>0.1</v>
      </c>
      <c r="JKG103" s="13">
        <v>0.1</v>
      </c>
      <c r="JKH103" s="13">
        <v>0.1</v>
      </c>
      <c r="JKI103" s="13">
        <v>0.1</v>
      </c>
      <c r="JKJ103" s="13">
        <v>0.1</v>
      </c>
      <c r="JKK103" s="13">
        <v>0.1</v>
      </c>
      <c r="JKL103" s="13">
        <v>0.1</v>
      </c>
      <c r="JKM103" s="13">
        <v>0.1</v>
      </c>
      <c r="JKN103" s="13">
        <v>0.1</v>
      </c>
      <c r="JKO103" s="13">
        <v>0.1</v>
      </c>
      <c r="JKP103" s="13">
        <v>0.1</v>
      </c>
      <c r="JKQ103" s="13">
        <v>0.1</v>
      </c>
      <c r="JKR103" s="13">
        <v>0.1</v>
      </c>
      <c r="JKS103" s="13">
        <v>0.1</v>
      </c>
      <c r="JKT103" s="13">
        <v>0.1</v>
      </c>
      <c r="JKU103" s="13">
        <v>0.1</v>
      </c>
      <c r="JKV103" s="13">
        <v>0.1</v>
      </c>
      <c r="JKW103" s="13">
        <v>0.1</v>
      </c>
      <c r="JKX103" s="13">
        <v>0.1</v>
      </c>
      <c r="JKY103" s="13">
        <v>0.1</v>
      </c>
      <c r="JKZ103" s="13">
        <v>0.1</v>
      </c>
      <c r="JLA103" s="13">
        <v>0.1</v>
      </c>
      <c r="JLB103" s="13">
        <v>0.1</v>
      </c>
      <c r="JLC103" s="13">
        <v>0.1</v>
      </c>
      <c r="JLD103" s="13">
        <v>0.1</v>
      </c>
      <c r="JLE103" s="13">
        <v>0.1</v>
      </c>
      <c r="JLF103" s="13">
        <v>0.1</v>
      </c>
      <c r="JLG103" s="13">
        <v>0.1</v>
      </c>
      <c r="JLH103" s="13">
        <v>0.1</v>
      </c>
      <c r="JLI103" s="13">
        <v>0.1</v>
      </c>
      <c r="JLJ103" s="13">
        <v>0.1</v>
      </c>
      <c r="JLK103" s="13">
        <v>0.1</v>
      </c>
      <c r="JLL103" s="13">
        <v>0.1</v>
      </c>
      <c r="JLM103" s="13">
        <v>0.1</v>
      </c>
      <c r="JLN103" s="13">
        <v>0.1</v>
      </c>
      <c r="JLO103" s="13">
        <v>0.1</v>
      </c>
      <c r="JLP103" s="13">
        <v>0.1</v>
      </c>
      <c r="JLQ103" s="13">
        <v>0.1</v>
      </c>
      <c r="JLR103" s="13">
        <v>0.1</v>
      </c>
      <c r="JLS103" s="13">
        <v>0.1</v>
      </c>
      <c r="JLT103" s="13">
        <v>0.1</v>
      </c>
      <c r="JLU103" s="13">
        <v>0.1</v>
      </c>
      <c r="JLV103" s="13">
        <v>0.1</v>
      </c>
      <c r="JLW103" s="13">
        <v>0.1</v>
      </c>
      <c r="JLX103" s="13">
        <v>0.1</v>
      </c>
      <c r="JLY103" s="13">
        <v>0.1</v>
      </c>
      <c r="JLZ103" s="13">
        <v>0.1</v>
      </c>
      <c r="JMA103" s="13">
        <v>0.1</v>
      </c>
      <c r="JMB103" s="13">
        <v>0.1</v>
      </c>
      <c r="JMC103" s="13">
        <v>0.1</v>
      </c>
      <c r="JMD103" s="13">
        <v>0.1</v>
      </c>
      <c r="JME103" s="13">
        <v>0.1</v>
      </c>
      <c r="JMF103" s="13">
        <v>0.1</v>
      </c>
      <c r="JMG103" s="13">
        <v>0.1</v>
      </c>
      <c r="JMH103" s="13">
        <v>0.1</v>
      </c>
      <c r="JMI103" s="13">
        <v>0.1</v>
      </c>
      <c r="JMJ103" s="13">
        <v>0.1</v>
      </c>
      <c r="JMK103" s="13">
        <v>0.1</v>
      </c>
      <c r="JML103" s="13">
        <v>0.1</v>
      </c>
      <c r="JMM103" s="13">
        <v>0.1</v>
      </c>
      <c r="JMN103" s="13">
        <v>0.1</v>
      </c>
      <c r="JMO103" s="13">
        <v>0.1</v>
      </c>
      <c r="JMP103" s="13">
        <v>0.1</v>
      </c>
      <c r="JMQ103" s="13">
        <v>0.1</v>
      </c>
      <c r="JMR103" s="13">
        <v>0.1</v>
      </c>
      <c r="JMS103" s="13">
        <v>0.1</v>
      </c>
      <c r="JMT103" s="13">
        <v>0.1</v>
      </c>
      <c r="JMU103" s="13">
        <v>0.1</v>
      </c>
      <c r="JMV103" s="13">
        <v>0.1</v>
      </c>
      <c r="JMW103" s="13">
        <v>0.1</v>
      </c>
      <c r="JMX103" s="13">
        <v>0.1</v>
      </c>
      <c r="JMY103" s="13">
        <v>0.1</v>
      </c>
      <c r="JMZ103" s="13">
        <v>0.1</v>
      </c>
      <c r="JNA103" s="13">
        <v>0.1</v>
      </c>
      <c r="JNB103" s="13">
        <v>0.1</v>
      </c>
      <c r="JNC103" s="13">
        <v>0.1</v>
      </c>
      <c r="JND103" s="13">
        <v>0.1</v>
      </c>
      <c r="JNE103" s="13">
        <v>0.1</v>
      </c>
      <c r="JNF103" s="13">
        <v>0.1</v>
      </c>
      <c r="JNG103" s="13">
        <v>0.1</v>
      </c>
      <c r="JNH103" s="13">
        <v>0.1</v>
      </c>
      <c r="JNI103" s="13">
        <v>0.1</v>
      </c>
      <c r="JNJ103" s="13">
        <v>0.1</v>
      </c>
      <c r="JNK103" s="13">
        <v>0.1</v>
      </c>
      <c r="JNL103" s="13">
        <v>0.1</v>
      </c>
      <c r="JNM103" s="13">
        <v>0.1</v>
      </c>
      <c r="JNN103" s="13">
        <v>0.1</v>
      </c>
      <c r="JNO103" s="13">
        <v>0.1</v>
      </c>
      <c r="JNP103" s="13">
        <v>0.1</v>
      </c>
      <c r="JNQ103" s="13">
        <v>0.1</v>
      </c>
      <c r="JNR103" s="13">
        <v>0.1</v>
      </c>
      <c r="JNS103" s="13">
        <v>0.1</v>
      </c>
      <c r="JNT103" s="13">
        <v>0.1</v>
      </c>
      <c r="JNU103" s="13">
        <v>0.1</v>
      </c>
      <c r="JNV103" s="13">
        <v>0.1</v>
      </c>
      <c r="JNW103" s="13">
        <v>0.1</v>
      </c>
      <c r="JNX103" s="13">
        <v>0.1</v>
      </c>
      <c r="JNY103" s="13">
        <v>0.1</v>
      </c>
      <c r="JNZ103" s="13">
        <v>0.1</v>
      </c>
      <c r="JOA103" s="13">
        <v>0.1</v>
      </c>
      <c r="JOB103" s="13">
        <v>0.1</v>
      </c>
      <c r="JOC103" s="13">
        <v>0.1</v>
      </c>
      <c r="JOD103" s="13">
        <v>0.1</v>
      </c>
      <c r="JOE103" s="13">
        <v>0.1</v>
      </c>
      <c r="JOF103" s="13">
        <v>0.1</v>
      </c>
      <c r="JOG103" s="13">
        <v>0.1</v>
      </c>
      <c r="JOH103" s="13">
        <v>0.1</v>
      </c>
      <c r="JOI103" s="13">
        <v>0.1</v>
      </c>
      <c r="JOJ103" s="13">
        <v>0.1</v>
      </c>
      <c r="JOK103" s="13">
        <v>0.1</v>
      </c>
      <c r="JOL103" s="13">
        <v>0.1</v>
      </c>
      <c r="JOM103" s="13">
        <v>0.1</v>
      </c>
      <c r="JON103" s="13">
        <v>0.1</v>
      </c>
      <c r="JOO103" s="13">
        <v>0.1</v>
      </c>
      <c r="JOP103" s="13">
        <v>0.1</v>
      </c>
      <c r="JOQ103" s="13">
        <v>0.1</v>
      </c>
      <c r="JOR103" s="13">
        <v>0.1</v>
      </c>
      <c r="JOS103" s="13">
        <v>0.1</v>
      </c>
      <c r="JOT103" s="13">
        <v>0.1</v>
      </c>
      <c r="JOU103" s="13">
        <v>0.1</v>
      </c>
      <c r="JOV103" s="13">
        <v>0.1</v>
      </c>
      <c r="JOW103" s="13">
        <v>0.1</v>
      </c>
      <c r="JOX103" s="13">
        <v>0.1</v>
      </c>
      <c r="JOY103" s="13">
        <v>0.1</v>
      </c>
      <c r="JOZ103" s="13">
        <v>0.1</v>
      </c>
      <c r="JPA103" s="13">
        <v>0.1</v>
      </c>
      <c r="JPB103" s="13">
        <v>0.1</v>
      </c>
      <c r="JPC103" s="13">
        <v>0.1</v>
      </c>
      <c r="JPD103" s="13">
        <v>0.1</v>
      </c>
      <c r="JPE103" s="13">
        <v>0.1</v>
      </c>
      <c r="JPF103" s="13">
        <v>0.1</v>
      </c>
      <c r="JPG103" s="13">
        <v>0.1</v>
      </c>
      <c r="JPH103" s="13">
        <v>0.1</v>
      </c>
      <c r="JPI103" s="13">
        <v>0.1</v>
      </c>
      <c r="JPJ103" s="13">
        <v>0.1</v>
      </c>
      <c r="JPK103" s="13">
        <v>0.1</v>
      </c>
      <c r="JPL103" s="13">
        <v>0.1</v>
      </c>
      <c r="JPM103" s="13">
        <v>0.1</v>
      </c>
      <c r="JPN103" s="13">
        <v>0.1</v>
      </c>
      <c r="JPO103" s="13">
        <v>0.1</v>
      </c>
      <c r="JPP103" s="13">
        <v>0.1</v>
      </c>
      <c r="JPQ103" s="13">
        <v>0.1</v>
      </c>
      <c r="JPR103" s="13">
        <v>0.1</v>
      </c>
      <c r="JPS103" s="13">
        <v>0.1</v>
      </c>
      <c r="JPT103" s="13">
        <v>0.1</v>
      </c>
      <c r="JPU103" s="13">
        <v>0.1</v>
      </c>
      <c r="JPV103" s="13">
        <v>0.1</v>
      </c>
      <c r="JPW103" s="13">
        <v>0.1</v>
      </c>
      <c r="JPX103" s="13">
        <v>0.1</v>
      </c>
      <c r="JPY103" s="13">
        <v>0.1</v>
      </c>
      <c r="JPZ103" s="13">
        <v>0.1</v>
      </c>
      <c r="JQA103" s="13">
        <v>0.1</v>
      </c>
      <c r="JQB103" s="13">
        <v>0.1</v>
      </c>
      <c r="JQC103" s="13">
        <v>0.1</v>
      </c>
      <c r="JQD103" s="13">
        <v>0.1</v>
      </c>
      <c r="JQE103" s="13">
        <v>0.1</v>
      </c>
      <c r="JQF103" s="13">
        <v>0.1</v>
      </c>
      <c r="JQG103" s="13">
        <v>0.1</v>
      </c>
      <c r="JQH103" s="13">
        <v>0.1</v>
      </c>
      <c r="JQI103" s="13">
        <v>0.1</v>
      </c>
      <c r="JQJ103" s="13">
        <v>0.1</v>
      </c>
      <c r="JQK103" s="13">
        <v>0.1</v>
      </c>
      <c r="JQL103" s="13">
        <v>0.1</v>
      </c>
      <c r="JQM103" s="13">
        <v>0.1</v>
      </c>
      <c r="JQN103" s="13">
        <v>0.1</v>
      </c>
      <c r="JQO103" s="13">
        <v>0.1</v>
      </c>
      <c r="JQP103" s="13">
        <v>0.1</v>
      </c>
      <c r="JQQ103" s="13">
        <v>0.1</v>
      </c>
      <c r="JQR103" s="13">
        <v>0.1</v>
      </c>
      <c r="JQS103" s="13">
        <v>0.1</v>
      </c>
      <c r="JQT103" s="13">
        <v>0.1</v>
      </c>
      <c r="JQU103" s="13">
        <v>0.1</v>
      </c>
      <c r="JQV103" s="13">
        <v>0.1</v>
      </c>
      <c r="JQW103" s="13">
        <v>0.1</v>
      </c>
      <c r="JQX103" s="13">
        <v>0.1</v>
      </c>
      <c r="JQY103" s="13">
        <v>0.1</v>
      </c>
      <c r="JQZ103" s="13">
        <v>0.1</v>
      </c>
      <c r="JRA103" s="13">
        <v>0.1</v>
      </c>
      <c r="JRB103" s="13">
        <v>0.1</v>
      </c>
      <c r="JRC103" s="13">
        <v>0.1</v>
      </c>
      <c r="JRD103" s="13">
        <v>0.1</v>
      </c>
      <c r="JRE103" s="13">
        <v>0.1</v>
      </c>
      <c r="JRF103" s="13">
        <v>0.1</v>
      </c>
      <c r="JRG103" s="13">
        <v>0.1</v>
      </c>
      <c r="JRH103" s="13">
        <v>0.1</v>
      </c>
      <c r="JRI103" s="13">
        <v>0.1</v>
      </c>
      <c r="JRJ103" s="13">
        <v>0.1</v>
      </c>
      <c r="JRK103" s="13">
        <v>0.1</v>
      </c>
      <c r="JRL103" s="13">
        <v>0.1</v>
      </c>
      <c r="JRM103" s="13">
        <v>0.1</v>
      </c>
      <c r="JRN103" s="13">
        <v>0.1</v>
      </c>
      <c r="JRO103" s="13">
        <v>0.1</v>
      </c>
      <c r="JRP103" s="13">
        <v>0.1</v>
      </c>
      <c r="JRQ103" s="13">
        <v>0.1</v>
      </c>
      <c r="JRR103" s="13">
        <v>0.1</v>
      </c>
      <c r="JRS103" s="13">
        <v>0.1</v>
      </c>
      <c r="JRT103" s="13">
        <v>0.1</v>
      </c>
      <c r="JRU103" s="13">
        <v>0.1</v>
      </c>
      <c r="JRV103" s="13">
        <v>0.1</v>
      </c>
      <c r="JRW103" s="13">
        <v>0.1</v>
      </c>
      <c r="JRX103" s="13">
        <v>0.1</v>
      </c>
      <c r="JRY103" s="13">
        <v>0.1</v>
      </c>
      <c r="JRZ103" s="13">
        <v>0.1</v>
      </c>
      <c r="JSA103" s="13">
        <v>0.1</v>
      </c>
      <c r="JSB103" s="13">
        <v>0.1</v>
      </c>
      <c r="JSC103" s="13">
        <v>0.1</v>
      </c>
      <c r="JSD103" s="13">
        <v>0.1</v>
      </c>
      <c r="JSE103" s="13">
        <v>0.1</v>
      </c>
      <c r="JSF103" s="13">
        <v>0.1</v>
      </c>
      <c r="JSG103" s="13">
        <v>0.1</v>
      </c>
      <c r="JSH103" s="13">
        <v>0.1</v>
      </c>
      <c r="JSI103" s="13">
        <v>0.1</v>
      </c>
      <c r="JSJ103" s="13">
        <v>0.1</v>
      </c>
      <c r="JSK103" s="13">
        <v>0.1</v>
      </c>
      <c r="JSL103" s="13">
        <v>0.1</v>
      </c>
      <c r="JSM103" s="13">
        <v>0.1</v>
      </c>
      <c r="JSN103" s="13">
        <v>0.1</v>
      </c>
      <c r="JSO103" s="13">
        <v>0.1</v>
      </c>
      <c r="JSP103" s="13">
        <v>0.1</v>
      </c>
      <c r="JSQ103" s="13">
        <v>0.1</v>
      </c>
      <c r="JSR103" s="13">
        <v>0.1</v>
      </c>
      <c r="JSS103" s="13">
        <v>0.1</v>
      </c>
      <c r="JST103" s="13">
        <v>0.1</v>
      </c>
      <c r="JSU103" s="13">
        <v>0.1</v>
      </c>
      <c r="JSV103" s="13">
        <v>0.1</v>
      </c>
      <c r="JSW103" s="13">
        <v>0.1</v>
      </c>
      <c r="JSX103" s="13">
        <v>0.1</v>
      </c>
      <c r="JSY103" s="13">
        <v>0.1</v>
      </c>
      <c r="JSZ103" s="13">
        <v>0.1</v>
      </c>
      <c r="JTA103" s="13">
        <v>0.1</v>
      </c>
      <c r="JTB103" s="13">
        <v>0.1</v>
      </c>
      <c r="JTC103" s="13">
        <v>0.1</v>
      </c>
      <c r="JTD103" s="13">
        <v>0.1</v>
      </c>
      <c r="JTE103" s="13">
        <v>0.1</v>
      </c>
      <c r="JTF103" s="13">
        <v>0.1</v>
      </c>
      <c r="JTG103" s="13">
        <v>0.1</v>
      </c>
      <c r="JTH103" s="13">
        <v>0.1</v>
      </c>
      <c r="JTI103" s="13">
        <v>0.1</v>
      </c>
      <c r="JTJ103" s="13">
        <v>0.1</v>
      </c>
      <c r="JTK103" s="13">
        <v>0.1</v>
      </c>
      <c r="JTL103" s="13">
        <v>0.1</v>
      </c>
      <c r="JTM103" s="13">
        <v>0.1</v>
      </c>
      <c r="JTN103" s="13">
        <v>0.1</v>
      </c>
      <c r="JTO103" s="13">
        <v>0.1</v>
      </c>
      <c r="JTP103" s="13">
        <v>0.1</v>
      </c>
      <c r="JTQ103" s="13">
        <v>0.1</v>
      </c>
      <c r="JTR103" s="13">
        <v>0.1</v>
      </c>
      <c r="JTS103" s="13">
        <v>0.1</v>
      </c>
      <c r="JTT103" s="13">
        <v>0.1</v>
      </c>
      <c r="JTU103" s="13">
        <v>0.1</v>
      </c>
      <c r="JTV103" s="13">
        <v>0.1</v>
      </c>
      <c r="JTW103" s="13">
        <v>0.1</v>
      </c>
      <c r="JTX103" s="13">
        <v>0.1</v>
      </c>
      <c r="JTY103" s="13">
        <v>0.1</v>
      </c>
      <c r="JTZ103" s="13">
        <v>0.1</v>
      </c>
      <c r="JUA103" s="13">
        <v>0.1</v>
      </c>
      <c r="JUB103" s="13">
        <v>0.1</v>
      </c>
      <c r="JUC103" s="13">
        <v>0.1</v>
      </c>
      <c r="JUD103" s="13">
        <v>0.1</v>
      </c>
      <c r="JUE103" s="13">
        <v>0.1</v>
      </c>
      <c r="JUF103" s="13">
        <v>0.1</v>
      </c>
      <c r="JUG103" s="13">
        <v>0.1</v>
      </c>
      <c r="JUH103" s="13">
        <v>0.1</v>
      </c>
      <c r="JUI103" s="13">
        <v>0.1</v>
      </c>
      <c r="JUJ103" s="13">
        <v>0.1</v>
      </c>
      <c r="JUK103" s="13">
        <v>0.1</v>
      </c>
      <c r="JUL103" s="13">
        <v>0.1</v>
      </c>
      <c r="JUM103" s="13">
        <v>0.1</v>
      </c>
      <c r="JUN103" s="13">
        <v>0.1</v>
      </c>
      <c r="JUO103" s="13">
        <v>0.1</v>
      </c>
      <c r="JUP103" s="13">
        <v>0.1</v>
      </c>
      <c r="JUQ103" s="13">
        <v>0.1</v>
      </c>
      <c r="JUR103" s="13">
        <v>0.1</v>
      </c>
      <c r="JUS103" s="13">
        <v>0.1</v>
      </c>
      <c r="JUT103" s="13">
        <v>0.1</v>
      </c>
      <c r="JUU103" s="13">
        <v>0.1</v>
      </c>
      <c r="JUV103" s="13">
        <v>0.1</v>
      </c>
      <c r="JUW103" s="13">
        <v>0.1</v>
      </c>
      <c r="JUX103" s="13">
        <v>0.1</v>
      </c>
      <c r="JUY103" s="13">
        <v>0.1</v>
      </c>
      <c r="JUZ103" s="13">
        <v>0.1</v>
      </c>
      <c r="JVA103" s="13">
        <v>0.1</v>
      </c>
      <c r="JVB103" s="13">
        <v>0.1</v>
      </c>
      <c r="JVC103" s="13">
        <v>0.1</v>
      </c>
      <c r="JVD103" s="13">
        <v>0.1</v>
      </c>
      <c r="JVE103" s="13">
        <v>0.1</v>
      </c>
      <c r="JVF103" s="13">
        <v>0.1</v>
      </c>
      <c r="JVG103" s="13">
        <v>0.1</v>
      </c>
      <c r="JVH103" s="13">
        <v>0.1</v>
      </c>
      <c r="JVI103" s="13">
        <v>0.1</v>
      </c>
      <c r="JVJ103" s="13">
        <v>0.1</v>
      </c>
      <c r="JVK103" s="13">
        <v>0.1</v>
      </c>
      <c r="JVL103" s="13">
        <v>0.1</v>
      </c>
      <c r="JVM103" s="13">
        <v>0.1</v>
      </c>
      <c r="JVN103" s="13">
        <v>0.1</v>
      </c>
      <c r="JVO103" s="13">
        <v>0.1</v>
      </c>
      <c r="JVP103" s="13">
        <v>0.1</v>
      </c>
      <c r="JVQ103" s="13">
        <v>0.1</v>
      </c>
      <c r="JVR103" s="13">
        <v>0.1</v>
      </c>
      <c r="JVS103" s="13">
        <v>0.1</v>
      </c>
      <c r="JVT103" s="13">
        <v>0.1</v>
      </c>
      <c r="JVU103" s="13">
        <v>0.1</v>
      </c>
      <c r="JVV103" s="13">
        <v>0.1</v>
      </c>
      <c r="JVW103" s="13">
        <v>0.1</v>
      </c>
      <c r="JVX103" s="13">
        <v>0.1</v>
      </c>
      <c r="JVY103" s="13">
        <v>0.1</v>
      </c>
      <c r="JVZ103" s="13">
        <v>0.1</v>
      </c>
      <c r="JWA103" s="13">
        <v>0.1</v>
      </c>
      <c r="JWB103" s="13">
        <v>0.1</v>
      </c>
      <c r="JWC103" s="13">
        <v>0.1</v>
      </c>
      <c r="JWD103" s="13">
        <v>0.1</v>
      </c>
      <c r="JWE103" s="13">
        <v>0.1</v>
      </c>
      <c r="JWF103" s="13">
        <v>0.1</v>
      </c>
      <c r="JWG103" s="13">
        <v>0.1</v>
      </c>
      <c r="JWH103" s="13">
        <v>0.1</v>
      </c>
      <c r="JWI103" s="13">
        <v>0.1</v>
      </c>
      <c r="JWJ103" s="13">
        <v>0.1</v>
      </c>
      <c r="JWK103" s="13">
        <v>0.1</v>
      </c>
      <c r="JWL103" s="13">
        <v>0.1</v>
      </c>
      <c r="JWM103" s="13">
        <v>0.1</v>
      </c>
      <c r="JWN103" s="13">
        <v>0.1</v>
      </c>
      <c r="JWO103" s="13">
        <v>0.1</v>
      </c>
      <c r="JWP103" s="13">
        <v>0.1</v>
      </c>
      <c r="JWQ103" s="13">
        <v>0.1</v>
      </c>
      <c r="JWR103" s="13">
        <v>0.1</v>
      </c>
      <c r="JWS103" s="13">
        <v>0.1</v>
      </c>
      <c r="JWT103" s="13">
        <v>0.1</v>
      </c>
      <c r="JWU103" s="13">
        <v>0.1</v>
      </c>
      <c r="JWV103" s="13">
        <v>0.1</v>
      </c>
      <c r="JWW103" s="13">
        <v>0.1</v>
      </c>
      <c r="JWX103" s="13">
        <v>0.1</v>
      </c>
      <c r="JWY103" s="13">
        <v>0.1</v>
      </c>
      <c r="JWZ103" s="13">
        <v>0.1</v>
      </c>
      <c r="JXA103" s="13">
        <v>0.1</v>
      </c>
      <c r="JXB103" s="13">
        <v>0.1</v>
      </c>
      <c r="JXC103" s="13">
        <v>0.1</v>
      </c>
      <c r="JXD103" s="13">
        <v>0.1</v>
      </c>
      <c r="JXE103" s="13">
        <v>0.1</v>
      </c>
      <c r="JXF103" s="13">
        <v>0.1</v>
      </c>
      <c r="JXG103" s="13">
        <v>0.1</v>
      </c>
      <c r="JXH103" s="13">
        <v>0.1</v>
      </c>
      <c r="JXI103" s="13">
        <v>0.1</v>
      </c>
      <c r="JXJ103" s="13">
        <v>0.1</v>
      </c>
      <c r="JXK103" s="13">
        <v>0.1</v>
      </c>
      <c r="JXL103" s="13">
        <v>0.1</v>
      </c>
      <c r="JXM103" s="13">
        <v>0.1</v>
      </c>
      <c r="JXN103" s="13">
        <v>0.1</v>
      </c>
      <c r="JXO103" s="13">
        <v>0.1</v>
      </c>
      <c r="JXP103" s="13">
        <v>0.1</v>
      </c>
      <c r="JXQ103" s="13">
        <v>0.1</v>
      </c>
      <c r="JXR103" s="13">
        <v>0.1</v>
      </c>
      <c r="JXS103" s="13">
        <v>0.1</v>
      </c>
      <c r="JXT103" s="13">
        <v>0.1</v>
      </c>
      <c r="JXU103" s="13">
        <v>0.1</v>
      </c>
      <c r="JXV103" s="13">
        <v>0.1</v>
      </c>
      <c r="JXW103" s="13">
        <v>0.1</v>
      </c>
      <c r="JXX103" s="13">
        <v>0.1</v>
      </c>
      <c r="JXY103" s="13">
        <v>0.1</v>
      </c>
      <c r="JXZ103" s="13">
        <v>0.1</v>
      </c>
      <c r="JYA103" s="13">
        <v>0.1</v>
      </c>
      <c r="JYB103" s="13">
        <v>0.1</v>
      </c>
      <c r="JYC103" s="13">
        <v>0.1</v>
      </c>
      <c r="JYD103" s="13">
        <v>0.1</v>
      </c>
      <c r="JYE103" s="13">
        <v>0.1</v>
      </c>
      <c r="JYF103" s="13">
        <v>0.1</v>
      </c>
      <c r="JYG103" s="13">
        <v>0.1</v>
      </c>
      <c r="JYH103" s="13">
        <v>0.1</v>
      </c>
      <c r="JYI103" s="13">
        <v>0.1</v>
      </c>
      <c r="JYJ103" s="13">
        <v>0.1</v>
      </c>
      <c r="JYK103" s="13">
        <v>0.1</v>
      </c>
      <c r="JYL103" s="13">
        <v>0.1</v>
      </c>
      <c r="JYM103" s="13">
        <v>0.1</v>
      </c>
      <c r="JYN103" s="13">
        <v>0.1</v>
      </c>
      <c r="JYO103" s="13">
        <v>0.1</v>
      </c>
      <c r="JYP103" s="13">
        <v>0.1</v>
      </c>
      <c r="JYQ103" s="13">
        <v>0.1</v>
      </c>
      <c r="JYR103" s="13">
        <v>0.1</v>
      </c>
      <c r="JYS103" s="13">
        <v>0.1</v>
      </c>
      <c r="JYT103" s="13">
        <v>0.1</v>
      </c>
      <c r="JYU103" s="13">
        <v>0.1</v>
      </c>
      <c r="JYV103" s="13">
        <v>0.1</v>
      </c>
      <c r="JYW103" s="13">
        <v>0.1</v>
      </c>
      <c r="JYX103" s="13">
        <v>0.1</v>
      </c>
      <c r="JYY103" s="13">
        <v>0.1</v>
      </c>
      <c r="JYZ103" s="13">
        <v>0.1</v>
      </c>
      <c r="JZA103" s="13">
        <v>0.1</v>
      </c>
      <c r="JZB103" s="13">
        <v>0.1</v>
      </c>
      <c r="JZC103" s="13">
        <v>0.1</v>
      </c>
      <c r="JZD103" s="13">
        <v>0.1</v>
      </c>
      <c r="JZE103" s="13">
        <v>0.1</v>
      </c>
      <c r="JZF103" s="13">
        <v>0.1</v>
      </c>
      <c r="JZG103" s="13">
        <v>0.1</v>
      </c>
      <c r="JZH103" s="13">
        <v>0.1</v>
      </c>
      <c r="JZI103" s="13">
        <v>0.1</v>
      </c>
      <c r="JZJ103" s="13">
        <v>0.1</v>
      </c>
      <c r="JZK103" s="13">
        <v>0.1</v>
      </c>
      <c r="JZL103" s="13">
        <v>0.1</v>
      </c>
      <c r="JZM103" s="13">
        <v>0.1</v>
      </c>
      <c r="JZN103" s="13">
        <v>0.1</v>
      </c>
      <c r="JZO103" s="13">
        <v>0.1</v>
      </c>
      <c r="JZP103" s="13">
        <v>0.1</v>
      </c>
      <c r="JZQ103" s="13">
        <v>0.1</v>
      </c>
      <c r="JZR103" s="13">
        <v>0.1</v>
      </c>
      <c r="JZS103" s="13">
        <v>0.1</v>
      </c>
      <c r="JZT103" s="13">
        <v>0.1</v>
      </c>
      <c r="JZU103" s="13">
        <v>0.1</v>
      </c>
      <c r="JZV103" s="13">
        <v>0.1</v>
      </c>
      <c r="JZW103" s="13">
        <v>0.1</v>
      </c>
      <c r="JZX103" s="13">
        <v>0.1</v>
      </c>
      <c r="JZY103" s="13">
        <v>0.1</v>
      </c>
      <c r="JZZ103" s="13">
        <v>0.1</v>
      </c>
      <c r="KAA103" s="13">
        <v>0.1</v>
      </c>
      <c r="KAB103" s="13">
        <v>0.1</v>
      </c>
      <c r="KAC103" s="13">
        <v>0.1</v>
      </c>
      <c r="KAD103" s="13">
        <v>0.1</v>
      </c>
      <c r="KAE103" s="13">
        <v>0.1</v>
      </c>
      <c r="KAF103" s="13">
        <v>0.1</v>
      </c>
      <c r="KAG103" s="13">
        <v>0.1</v>
      </c>
      <c r="KAH103" s="13">
        <v>0.1</v>
      </c>
      <c r="KAI103" s="13">
        <v>0.1</v>
      </c>
      <c r="KAJ103" s="13">
        <v>0.1</v>
      </c>
      <c r="KAK103" s="13">
        <v>0.1</v>
      </c>
      <c r="KAL103" s="13">
        <v>0.1</v>
      </c>
      <c r="KAM103" s="13">
        <v>0.1</v>
      </c>
      <c r="KAN103" s="13">
        <v>0.1</v>
      </c>
      <c r="KAO103" s="13">
        <v>0.1</v>
      </c>
      <c r="KAP103" s="13">
        <v>0.1</v>
      </c>
      <c r="KAQ103" s="13">
        <v>0.1</v>
      </c>
      <c r="KAR103" s="13">
        <v>0.1</v>
      </c>
      <c r="KAS103" s="13">
        <v>0.1</v>
      </c>
      <c r="KAT103" s="13">
        <v>0.1</v>
      </c>
      <c r="KAU103" s="13">
        <v>0.1</v>
      </c>
      <c r="KAV103" s="13">
        <v>0.1</v>
      </c>
      <c r="KAW103" s="13">
        <v>0.1</v>
      </c>
      <c r="KAX103" s="13">
        <v>0.1</v>
      </c>
      <c r="KAY103" s="13">
        <v>0.1</v>
      </c>
      <c r="KAZ103" s="13">
        <v>0.1</v>
      </c>
      <c r="KBA103" s="13">
        <v>0.1</v>
      </c>
      <c r="KBB103" s="13">
        <v>0.1</v>
      </c>
      <c r="KBC103" s="13">
        <v>0.1</v>
      </c>
      <c r="KBD103" s="13">
        <v>0.1</v>
      </c>
      <c r="KBE103" s="13">
        <v>0.1</v>
      </c>
      <c r="KBF103" s="13">
        <v>0.1</v>
      </c>
      <c r="KBG103" s="13">
        <v>0.1</v>
      </c>
      <c r="KBH103" s="13">
        <v>0.1</v>
      </c>
      <c r="KBI103" s="13">
        <v>0.1</v>
      </c>
      <c r="KBJ103" s="13">
        <v>0.1</v>
      </c>
      <c r="KBK103" s="13">
        <v>0.1</v>
      </c>
      <c r="KBL103" s="13">
        <v>0.1</v>
      </c>
      <c r="KBM103" s="13">
        <v>0.1</v>
      </c>
      <c r="KBN103" s="13">
        <v>0.1</v>
      </c>
      <c r="KBO103" s="13">
        <v>0.1</v>
      </c>
      <c r="KBP103" s="13">
        <v>0.1</v>
      </c>
      <c r="KBQ103" s="13">
        <v>0.1</v>
      </c>
      <c r="KBR103" s="13">
        <v>0.1</v>
      </c>
      <c r="KBS103" s="13">
        <v>0.1</v>
      </c>
      <c r="KBT103" s="13">
        <v>0.1</v>
      </c>
      <c r="KBU103" s="13">
        <v>0.1</v>
      </c>
      <c r="KBV103" s="13">
        <v>0.1</v>
      </c>
      <c r="KBW103" s="13">
        <v>0.1</v>
      </c>
      <c r="KBX103" s="13">
        <v>0.1</v>
      </c>
      <c r="KBY103" s="13">
        <v>0.1</v>
      </c>
      <c r="KBZ103" s="13">
        <v>0.1</v>
      </c>
      <c r="KCA103" s="13">
        <v>0.1</v>
      </c>
      <c r="KCB103" s="13">
        <v>0.1</v>
      </c>
      <c r="KCC103" s="13">
        <v>0.1</v>
      </c>
      <c r="KCD103" s="13">
        <v>0.1</v>
      </c>
      <c r="KCE103" s="13">
        <v>0.1</v>
      </c>
      <c r="KCF103" s="13">
        <v>0.1</v>
      </c>
      <c r="KCG103" s="13">
        <v>0.1</v>
      </c>
      <c r="KCH103" s="13">
        <v>0.1</v>
      </c>
      <c r="KCI103" s="13">
        <v>0.1</v>
      </c>
      <c r="KCJ103" s="13">
        <v>0.1</v>
      </c>
      <c r="KCK103" s="13">
        <v>0.1</v>
      </c>
      <c r="KCL103" s="13">
        <v>0.1</v>
      </c>
      <c r="KCM103" s="13">
        <v>0.1</v>
      </c>
      <c r="KCN103" s="13">
        <v>0.1</v>
      </c>
      <c r="KCO103" s="13">
        <v>0.1</v>
      </c>
      <c r="KCP103" s="13">
        <v>0.1</v>
      </c>
      <c r="KCQ103" s="13">
        <v>0.1</v>
      </c>
      <c r="KCR103" s="13">
        <v>0.1</v>
      </c>
      <c r="KCS103" s="13">
        <v>0.1</v>
      </c>
      <c r="KCT103" s="13">
        <v>0.1</v>
      </c>
      <c r="KCU103" s="13">
        <v>0.1</v>
      </c>
      <c r="KCV103" s="13">
        <v>0.1</v>
      </c>
      <c r="KCW103" s="13">
        <v>0.1</v>
      </c>
      <c r="KCX103" s="13">
        <v>0.1</v>
      </c>
      <c r="KCY103" s="13">
        <v>0.1</v>
      </c>
      <c r="KCZ103" s="13">
        <v>0.1</v>
      </c>
      <c r="KDA103" s="13">
        <v>0.1</v>
      </c>
      <c r="KDB103" s="13">
        <v>0.1</v>
      </c>
      <c r="KDC103" s="13">
        <v>0.1</v>
      </c>
      <c r="KDD103" s="13">
        <v>0.1</v>
      </c>
      <c r="KDE103" s="13">
        <v>0.1</v>
      </c>
      <c r="KDF103" s="13">
        <v>0.1</v>
      </c>
      <c r="KDG103" s="13">
        <v>0.1</v>
      </c>
      <c r="KDH103" s="13">
        <v>0.1</v>
      </c>
      <c r="KDI103" s="13">
        <v>0.1</v>
      </c>
      <c r="KDJ103" s="13">
        <v>0.1</v>
      </c>
      <c r="KDK103" s="13">
        <v>0.1</v>
      </c>
      <c r="KDL103" s="13">
        <v>0.1</v>
      </c>
      <c r="KDM103" s="13">
        <v>0.1</v>
      </c>
      <c r="KDN103" s="13">
        <v>0.1</v>
      </c>
      <c r="KDO103" s="13">
        <v>0.1</v>
      </c>
      <c r="KDP103" s="13">
        <v>0.1</v>
      </c>
      <c r="KDQ103" s="13">
        <v>0.1</v>
      </c>
      <c r="KDR103" s="13">
        <v>0.1</v>
      </c>
      <c r="KDS103" s="13">
        <v>0.1</v>
      </c>
      <c r="KDT103" s="13">
        <v>0.1</v>
      </c>
      <c r="KDU103" s="13">
        <v>0.1</v>
      </c>
      <c r="KDV103" s="13">
        <v>0.1</v>
      </c>
      <c r="KDW103" s="13">
        <v>0.1</v>
      </c>
      <c r="KDX103" s="13">
        <v>0.1</v>
      </c>
      <c r="KDY103" s="13">
        <v>0.1</v>
      </c>
      <c r="KDZ103" s="13">
        <v>0.1</v>
      </c>
      <c r="KEA103" s="13">
        <v>0.1</v>
      </c>
      <c r="KEB103" s="13">
        <v>0.1</v>
      </c>
      <c r="KEC103" s="13">
        <v>0.1</v>
      </c>
      <c r="KED103" s="13">
        <v>0.1</v>
      </c>
      <c r="KEE103" s="13">
        <v>0.1</v>
      </c>
      <c r="KEF103" s="13">
        <v>0.1</v>
      </c>
      <c r="KEG103" s="13">
        <v>0.1</v>
      </c>
      <c r="KEH103" s="13">
        <v>0.1</v>
      </c>
      <c r="KEI103" s="13">
        <v>0.1</v>
      </c>
      <c r="KEJ103" s="13">
        <v>0.1</v>
      </c>
      <c r="KEK103" s="13">
        <v>0.1</v>
      </c>
      <c r="KEL103" s="13">
        <v>0.1</v>
      </c>
      <c r="KEM103" s="13">
        <v>0.1</v>
      </c>
      <c r="KEN103" s="13">
        <v>0.1</v>
      </c>
      <c r="KEO103" s="13">
        <v>0.1</v>
      </c>
      <c r="KEP103" s="13">
        <v>0.1</v>
      </c>
      <c r="KEQ103" s="13">
        <v>0.1</v>
      </c>
      <c r="KER103" s="13">
        <v>0.1</v>
      </c>
      <c r="KES103" s="13">
        <v>0.1</v>
      </c>
      <c r="KET103" s="13">
        <v>0.1</v>
      </c>
      <c r="KEU103" s="13">
        <v>0.1</v>
      </c>
      <c r="KEV103" s="13">
        <v>0.1</v>
      </c>
      <c r="KEW103" s="13">
        <v>0.1</v>
      </c>
      <c r="KEX103" s="13">
        <v>0.1</v>
      </c>
      <c r="KEY103" s="13">
        <v>0.1</v>
      </c>
      <c r="KEZ103" s="13">
        <v>0.1</v>
      </c>
      <c r="KFA103" s="13">
        <v>0.1</v>
      </c>
      <c r="KFB103" s="13">
        <v>0.1</v>
      </c>
      <c r="KFC103" s="13">
        <v>0.1</v>
      </c>
      <c r="KFD103" s="13">
        <v>0.1</v>
      </c>
      <c r="KFE103" s="13">
        <v>0.1</v>
      </c>
      <c r="KFF103" s="13">
        <v>0.1</v>
      </c>
      <c r="KFG103" s="13">
        <v>0.1</v>
      </c>
      <c r="KFH103" s="13">
        <v>0.1</v>
      </c>
      <c r="KFI103" s="13">
        <v>0.1</v>
      </c>
      <c r="KFJ103" s="13">
        <v>0.1</v>
      </c>
      <c r="KFK103" s="13">
        <v>0.1</v>
      </c>
      <c r="KFL103" s="13">
        <v>0.1</v>
      </c>
      <c r="KFM103" s="13">
        <v>0.1</v>
      </c>
      <c r="KFN103" s="13">
        <v>0.1</v>
      </c>
      <c r="KFO103" s="13">
        <v>0.1</v>
      </c>
      <c r="KFP103" s="13">
        <v>0.1</v>
      </c>
      <c r="KFQ103" s="13">
        <v>0.1</v>
      </c>
      <c r="KFR103" s="13">
        <v>0.1</v>
      </c>
      <c r="KFS103" s="13">
        <v>0.1</v>
      </c>
      <c r="KFT103" s="13">
        <v>0.1</v>
      </c>
      <c r="KFU103" s="13">
        <v>0.1</v>
      </c>
      <c r="KFV103" s="13">
        <v>0.1</v>
      </c>
      <c r="KFW103" s="13">
        <v>0.1</v>
      </c>
      <c r="KFX103" s="13">
        <v>0.1</v>
      </c>
      <c r="KFY103" s="13">
        <v>0.1</v>
      </c>
      <c r="KFZ103" s="13">
        <v>0.1</v>
      </c>
      <c r="KGA103" s="13">
        <v>0.1</v>
      </c>
      <c r="KGB103" s="13">
        <v>0.1</v>
      </c>
      <c r="KGC103" s="13">
        <v>0.1</v>
      </c>
      <c r="KGD103" s="13">
        <v>0.1</v>
      </c>
      <c r="KGE103" s="13">
        <v>0.1</v>
      </c>
      <c r="KGF103" s="13">
        <v>0.1</v>
      </c>
      <c r="KGG103" s="13">
        <v>0.1</v>
      </c>
      <c r="KGH103" s="13">
        <v>0.1</v>
      </c>
      <c r="KGI103" s="13">
        <v>0.1</v>
      </c>
      <c r="KGJ103" s="13">
        <v>0.1</v>
      </c>
      <c r="KGK103" s="13">
        <v>0.1</v>
      </c>
      <c r="KGL103" s="13">
        <v>0.1</v>
      </c>
      <c r="KGM103" s="13">
        <v>0.1</v>
      </c>
      <c r="KGN103" s="13">
        <v>0.1</v>
      </c>
      <c r="KGO103" s="13">
        <v>0.1</v>
      </c>
      <c r="KGP103" s="13">
        <v>0.1</v>
      </c>
      <c r="KGQ103" s="13">
        <v>0.1</v>
      </c>
      <c r="KGR103" s="13">
        <v>0.1</v>
      </c>
      <c r="KGS103" s="13">
        <v>0.1</v>
      </c>
      <c r="KGT103" s="13">
        <v>0.1</v>
      </c>
      <c r="KGU103" s="13">
        <v>0.1</v>
      </c>
      <c r="KGV103" s="13">
        <v>0.1</v>
      </c>
      <c r="KGW103" s="13">
        <v>0.1</v>
      </c>
      <c r="KGX103" s="13">
        <v>0.1</v>
      </c>
      <c r="KGY103" s="13">
        <v>0.1</v>
      </c>
      <c r="KGZ103" s="13">
        <v>0.1</v>
      </c>
      <c r="KHA103" s="13">
        <v>0.1</v>
      </c>
      <c r="KHB103" s="13">
        <v>0.1</v>
      </c>
      <c r="KHC103" s="13">
        <v>0.1</v>
      </c>
      <c r="KHD103" s="13">
        <v>0.1</v>
      </c>
      <c r="KHE103" s="13">
        <v>0.1</v>
      </c>
      <c r="KHF103" s="13">
        <v>0.1</v>
      </c>
      <c r="KHG103" s="13">
        <v>0.1</v>
      </c>
      <c r="KHH103" s="13">
        <v>0.1</v>
      </c>
      <c r="KHI103" s="13">
        <v>0.1</v>
      </c>
      <c r="KHJ103" s="13">
        <v>0.1</v>
      </c>
      <c r="KHK103" s="13">
        <v>0.1</v>
      </c>
      <c r="KHL103" s="13">
        <v>0.1</v>
      </c>
      <c r="KHM103" s="13">
        <v>0.1</v>
      </c>
      <c r="KHN103" s="13">
        <v>0.1</v>
      </c>
      <c r="KHO103" s="13">
        <v>0.1</v>
      </c>
      <c r="KHP103" s="13">
        <v>0.1</v>
      </c>
      <c r="KHQ103" s="13">
        <v>0.1</v>
      </c>
      <c r="KHR103" s="13">
        <v>0.1</v>
      </c>
      <c r="KHS103" s="13">
        <v>0.1</v>
      </c>
      <c r="KHT103" s="13">
        <v>0.1</v>
      </c>
      <c r="KHU103" s="13">
        <v>0.1</v>
      </c>
      <c r="KHV103" s="13">
        <v>0.1</v>
      </c>
      <c r="KHW103" s="13">
        <v>0.1</v>
      </c>
      <c r="KHX103" s="13">
        <v>0.1</v>
      </c>
      <c r="KHY103" s="13">
        <v>0.1</v>
      </c>
      <c r="KHZ103" s="13">
        <v>0.1</v>
      </c>
      <c r="KIA103" s="13">
        <v>0.1</v>
      </c>
      <c r="KIB103" s="13">
        <v>0.1</v>
      </c>
      <c r="KIC103" s="13">
        <v>0.1</v>
      </c>
      <c r="KID103" s="13">
        <v>0.1</v>
      </c>
      <c r="KIE103" s="13">
        <v>0.1</v>
      </c>
      <c r="KIF103" s="13">
        <v>0.1</v>
      </c>
      <c r="KIG103" s="13">
        <v>0.1</v>
      </c>
      <c r="KIH103" s="13">
        <v>0.1</v>
      </c>
      <c r="KII103" s="13">
        <v>0.1</v>
      </c>
      <c r="KIJ103" s="13">
        <v>0.1</v>
      </c>
      <c r="KIK103" s="13">
        <v>0.1</v>
      </c>
      <c r="KIL103" s="13">
        <v>0.1</v>
      </c>
      <c r="KIM103" s="13">
        <v>0.1</v>
      </c>
      <c r="KIN103" s="13">
        <v>0.1</v>
      </c>
      <c r="KIO103" s="13">
        <v>0.1</v>
      </c>
      <c r="KIP103" s="13">
        <v>0.1</v>
      </c>
      <c r="KIQ103" s="13">
        <v>0.1</v>
      </c>
      <c r="KIR103" s="13">
        <v>0.1</v>
      </c>
      <c r="KIS103" s="13">
        <v>0.1</v>
      </c>
      <c r="KIT103" s="13">
        <v>0.1</v>
      </c>
      <c r="KIU103" s="13">
        <v>0.1</v>
      </c>
      <c r="KIV103" s="13">
        <v>0.1</v>
      </c>
      <c r="KIW103" s="13">
        <v>0.1</v>
      </c>
      <c r="KIX103" s="13">
        <v>0.1</v>
      </c>
      <c r="KIY103" s="13">
        <v>0.1</v>
      </c>
      <c r="KIZ103" s="13">
        <v>0.1</v>
      </c>
      <c r="KJA103" s="13">
        <v>0.1</v>
      </c>
      <c r="KJB103" s="13">
        <v>0.1</v>
      </c>
      <c r="KJC103" s="13">
        <v>0.1</v>
      </c>
      <c r="KJD103" s="13">
        <v>0.1</v>
      </c>
      <c r="KJE103" s="13">
        <v>0.1</v>
      </c>
      <c r="KJF103" s="13">
        <v>0.1</v>
      </c>
      <c r="KJG103" s="13">
        <v>0.1</v>
      </c>
      <c r="KJH103" s="13">
        <v>0.1</v>
      </c>
      <c r="KJI103" s="13">
        <v>0.1</v>
      </c>
      <c r="KJJ103" s="13">
        <v>0.1</v>
      </c>
      <c r="KJK103" s="13">
        <v>0.1</v>
      </c>
      <c r="KJL103" s="13">
        <v>0.1</v>
      </c>
      <c r="KJM103" s="13">
        <v>0.1</v>
      </c>
      <c r="KJN103" s="13">
        <v>0.1</v>
      </c>
      <c r="KJO103" s="13">
        <v>0.1</v>
      </c>
      <c r="KJP103" s="13">
        <v>0.1</v>
      </c>
      <c r="KJQ103" s="13">
        <v>0.1</v>
      </c>
      <c r="KJR103" s="13">
        <v>0.1</v>
      </c>
      <c r="KJS103" s="13">
        <v>0.1</v>
      </c>
      <c r="KJT103" s="13">
        <v>0.1</v>
      </c>
      <c r="KJU103" s="13">
        <v>0.1</v>
      </c>
      <c r="KJV103" s="13">
        <v>0.1</v>
      </c>
      <c r="KJW103" s="13">
        <v>0.1</v>
      </c>
      <c r="KJX103" s="13">
        <v>0.1</v>
      </c>
      <c r="KJY103" s="13">
        <v>0.1</v>
      </c>
      <c r="KJZ103" s="13">
        <v>0.1</v>
      </c>
      <c r="KKA103" s="13">
        <v>0.1</v>
      </c>
      <c r="KKB103" s="13">
        <v>0.1</v>
      </c>
      <c r="KKC103" s="13">
        <v>0.1</v>
      </c>
      <c r="KKD103" s="13">
        <v>0.1</v>
      </c>
      <c r="KKE103" s="13">
        <v>0.1</v>
      </c>
      <c r="KKF103" s="13">
        <v>0.1</v>
      </c>
      <c r="KKG103" s="13">
        <v>0.1</v>
      </c>
      <c r="KKH103" s="13">
        <v>0.1</v>
      </c>
      <c r="KKI103" s="13">
        <v>0.1</v>
      </c>
      <c r="KKJ103" s="13">
        <v>0.1</v>
      </c>
      <c r="KKK103" s="13">
        <v>0.1</v>
      </c>
      <c r="KKL103" s="13">
        <v>0.1</v>
      </c>
      <c r="KKM103" s="13">
        <v>0.1</v>
      </c>
      <c r="KKN103" s="13">
        <v>0.1</v>
      </c>
      <c r="KKO103" s="13">
        <v>0.1</v>
      </c>
      <c r="KKP103" s="13">
        <v>0.1</v>
      </c>
      <c r="KKQ103" s="13">
        <v>0.1</v>
      </c>
      <c r="KKR103" s="13">
        <v>0.1</v>
      </c>
      <c r="KKS103" s="13">
        <v>0.1</v>
      </c>
      <c r="KKT103" s="13">
        <v>0.1</v>
      </c>
      <c r="KKU103" s="13">
        <v>0.1</v>
      </c>
      <c r="KKV103" s="13">
        <v>0.1</v>
      </c>
      <c r="KKW103" s="13">
        <v>0.1</v>
      </c>
      <c r="KKX103" s="13">
        <v>0.1</v>
      </c>
      <c r="KKY103" s="13">
        <v>0.1</v>
      </c>
      <c r="KKZ103" s="13">
        <v>0.1</v>
      </c>
      <c r="KLA103" s="13">
        <v>0.1</v>
      </c>
      <c r="KLB103" s="13">
        <v>0.1</v>
      </c>
      <c r="KLC103" s="13">
        <v>0.1</v>
      </c>
      <c r="KLD103" s="13">
        <v>0.1</v>
      </c>
      <c r="KLE103" s="13">
        <v>0.1</v>
      </c>
      <c r="KLF103" s="13">
        <v>0.1</v>
      </c>
      <c r="KLG103" s="13">
        <v>0.1</v>
      </c>
      <c r="KLH103" s="13">
        <v>0.1</v>
      </c>
      <c r="KLI103" s="13">
        <v>0.1</v>
      </c>
      <c r="KLJ103" s="13">
        <v>0.1</v>
      </c>
      <c r="KLK103" s="13">
        <v>0.1</v>
      </c>
      <c r="KLL103" s="13">
        <v>0.1</v>
      </c>
      <c r="KLM103" s="13">
        <v>0.1</v>
      </c>
      <c r="KLN103" s="13">
        <v>0.1</v>
      </c>
      <c r="KLO103" s="13">
        <v>0.1</v>
      </c>
      <c r="KLP103" s="13">
        <v>0.1</v>
      </c>
      <c r="KLQ103" s="13">
        <v>0.1</v>
      </c>
      <c r="KLR103" s="13">
        <v>0.1</v>
      </c>
      <c r="KLS103" s="13">
        <v>0.1</v>
      </c>
      <c r="KLT103" s="13">
        <v>0.1</v>
      </c>
      <c r="KLU103" s="13">
        <v>0.1</v>
      </c>
      <c r="KLV103" s="13">
        <v>0.1</v>
      </c>
      <c r="KLW103" s="13">
        <v>0.1</v>
      </c>
      <c r="KLX103" s="13">
        <v>0.1</v>
      </c>
      <c r="KLY103" s="13">
        <v>0.1</v>
      </c>
      <c r="KLZ103" s="13">
        <v>0.1</v>
      </c>
      <c r="KMA103" s="13">
        <v>0.1</v>
      </c>
      <c r="KMB103" s="13">
        <v>0.1</v>
      </c>
      <c r="KMC103" s="13">
        <v>0.1</v>
      </c>
      <c r="KMD103" s="13">
        <v>0.1</v>
      </c>
      <c r="KME103" s="13">
        <v>0.1</v>
      </c>
      <c r="KMF103" s="13">
        <v>0.1</v>
      </c>
      <c r="KMG103" s="13">
        <v>0.1</v>
      </c>
      <c r="KMH103" s="13">
        <v>0.1</v>
      </c>
      <c r="KMI103" s="13">
        <v>0.1</v>
      </c>
      <c r="KMJ103" s="13">
        <v>0.1</v>
      </c>
      <c r="KMK103" s="13">
        <v>0.1</v>
      </c>
      <c r="KML103" s="13">
        <v>0.1</v>
      </c>
      <c r="KMM103" s="13">
        <v>0.1</v>
      </c>
      <c r="KMN103" s="13">
        <v>0.1</v>
      </c>
      <c r="KMO103" s="13">
        <v>0.1</v>
      </c>
      <c r="KMP103" s="13">
        <v>0.1</v>
      </c>
      <c r="KMQ103" s="13">
        <v>0.1</v>
      </c>
      <c r="KMR103" s="13">
        <v>0.1</v>
      </c>
      <c r="KMS103" s="13">
        <v>0.1</v>
      </c>
      <c r="KMT103" s="13">
        <v>0.1</v>
      </c>
      <c r="KMU103" s="13">
        <v>0.1</v>
      </c>
      <c r="KMV103" s="13">
        <v>0.1</v>
      </c>
      <c r="KMW103" s="13">
        <v>0.1</v>
      </c>
      <c r="KMX103" s="13">
        <v>0.1</v>
      </c>
      <c r="KMY103" s="13">
        <v>0.1</v>
      </c>
      <c r="KMZ103" s="13">
        <v>0.1</v>
      </c>
      <c r="KNA103" s="13">
        <v>0.1</v>
      </c>
      <c r="KNB103" s="13">
        <v>0.1</v>
      </c>
      <c r="KNC103" s="13">
        <v>0.1</v>
      </c>
      <c r="KND103" s="13">
        <v>0.1</v>
      </c>
      <c r="KNE103" s="13">
        <v>0.1</v>
      </c>
      <c r="KNF103" s="13">
        <v>0.1</v>
      </c>
      <c r="KNG103" s="13">
        <v>0.1</v>
      </c>
      <c r="KNH103" s="13">
        <v>0.1</v>
      </c>
      <c r="KNI103" s="13">
        <v>0.1</v>
      </c>
      <c r="KNJ103" s="13">
        <v>0.1</v>
      </c>
      <c r="KNK103" s="13">
        <v>0.1</v>
      </c>
      <c r="KNL103" s="13">
        <v>0.1</v>
      </c>
      <c r="KNM103" s="13">
        <v>0.1</v>
      </c>
      <c r="KNN103" s="13">
        <v>0.1</v>
      </c>
      <c r="KNO103" s="13">
        <v>0.1</v>
      </c>
      <c r="KNP103" s="13">
        <v>0.1</v>
      </c>
      <c r="KNQ103" s="13">
        <v>0.1</v>
      </c>
      <c r="KNR103" s="13">
        <v>0.1</v>
      </c>
      <c r="KNS103" s="13">
        <v>0.1</v>
      </c>
      <c r="KNT103" s="13">
        <v>0.1</v>
      </c>
      <c r="KNU103" s="13">
        <v>0.1</v>
      </c>
      <c r="KNV103" s="13">
        <v>0.1</v>
      </c>
      <c r="KNW103" s="13">
        <v>0.1</v>
      </c>
      <c r="KNX103" s="13">
        <v>0.1</v>
      </c>
      <c r="KNY103" s="13">
        <v>0.1</v>
      </c>
      <c r="KNZ103" s="13">
        <v>0.1</v>
      </c>
      <c r="KOA103" s="13">
        <v>0.1</v>
      </c>
      <c r="KOB103" s="13">
        <v>0.1</v>
      </c>
      <c r="KOC103" s="13">
        <v>0.1</v>
      </c>
      <c r="KOD103" s="13">
        <v>0.1</v>
      </c>
      <c r="KOE103" s="13">
        <v>0.1</v>
      </c>
      <c r="KOF103" s="13">
        <v>0.1</v>
      </c>
      <c r="KOG103" s="13">
        <v>0.1</v>
      </c>
      <c r="KOH103" s="13">
        <v>0.1</v>
      </c>
      <c r="KOI103" s="13">
        <v>0.1</v>
      </c>
      <c r="KOJ103" s="13">
        <v>0.1</v>
      </c>
      <c r="KOK103" s="13">
        <v>0.1</v>
      </c>
      <c r="KOL103" s="13">
        <v>0.1</v>
      </c>
      <c r="KOM103" s="13">
        <v>0.1</v>
      </c>
      <c r="KON103" s="13">
        <v>0.1</v>
      </c>
      <c r="KOO103" s="13">
        <v>0.1</v>
      </c>
      <c r="KOP103" s="13">
        <v>0.1</v>
      </c>
      <c r="KOQ103" s="13">
        <v>0.1</v>
      </c>
      <c r="KOR103" s="13">
        <v>0.1</v>
      </c>
      <c r="KOS103" s="13">
        <v>0.1</v>
      </c>
      <c r="KOT103" s="13">
        <v>0.1</v>
      </c>
      <c r="KOU103" s="13">
        <v>0.1</v>
      </c>
      <c r="KOV103" s="13">
        <v>0.1</v>
      </c>
      <c r="KOW103" s="13">
        <v>0.1</v>
      </c>
      <c r="KOX103" s="13">
        <v>0.1</v>
      </c>
      <c r="KOY103" s="13">
        <v>0.1</v>
      </c>
      <c r="KOZ103" s="13">
        <v>0.1</v>
      </c>
      <c r="KPA103" s="13">
        <v>0.1</v>
      </c>
      <c r="KPB103" s="13">
        <v>0.1</v>
      </c>
      <c r="KPC103" s="13">
        <v>0.1</v>
      </c>
      <c r="KPD103" s="13">
        <v>0.1</v>
      </c>
      <c r="KPE103" s="13">
        <v>0.1</v>
      </c>
      <c r="KPF103" s="13">
        <v>0.1</v>
      </c>
      <c r="KPG103" s="13">
        <v>0.1</v>
      </c>
      <c r="KPH103" s="13">
        <v>0.1</v>
      </c>
      <c r="KPI103" s="13">
        <v>0.1</v>
      </c>
      <c r="KPJ103" s="13">
        <v>0.1</v>
      </c>
      <c r="KPK103" s="13">
        <v>0.1</v>
      </c>
      <c r="KPL103" s="13">
        <v>0.1</v>
      </c>
      <c r="KPM103" s="13">
        <v>0.1</v>
      </c>
      <c r="KPN103" s="13">
        <v>0.1</v>
      </c>
      <c r="KPO103" s="13">
        <v>0.1</v>
      </c>
      <c r="KPP103" s="13">
        <v>0.1</v>
      </c>
      <c r="KPQ103" s="13">
        <v>0.1</v>
      </c>
      <c r="KPR103" s="13">
        <v>0.1</v>
      </c>
      <c r="KPS103" s="13">
        <v>0.1</v>
      </c>
      <c r="KPT103" s="13">
        <v>0.1</v>
      </c>
      <c r="KPU103" s="13">
        <v>0.1</v>
      </c>
      <c r="KPV103" s="13">
        <v>0.1</v>
      </c>
      <c r="KPW103" s="13">
        <v>0.1</v>
      </c>
      <c r="KPX103" s="13">
        <v>0.1</v>
      </c>
      <c r="KPY103" s="13">
        <v>0.1</v>
      </c>
      <c r="KPZ103" s="13">
        <v>0.1</v>
      </c>
      <c r="KQA103" s="13">
        <v>0.1</v>
      </c>
      <c r="KQB103" s="13">
        <v>0.1</v>
      </c>
      <c r="KQC103" s="13">
        <v>0.1</v>
      </c>
      <c r="KQD103" s="13">
        <v>0.1</v>
      </c>
      <c r="KQE103" s="13">
        <v>0.1</v>
      </c>
      <c r="KQF103" s="13">
        <v>0.1</v>
      </c>
      <c r="KQG103" s="13">
        <v>0.1</v>
      </c>
      <c r="KQH103" s="13">
        <v>0.1</v>
      </c>
      <c r="KQI103" s="13">
        <v>0.1</v>
      </c>
      <c r="KQJ103" s="13">
        <v>0.1</v>
      </c>
      <c r="KQK103" s="13">
        <v>0.1</v>
      </c>
      <c r="KQL103" s="13">
        <v>0.1</v>
      </c>
      <c r="KQM103" s="13">
        <v>0.1</v>
      </c>
      <c r="KQN103" s="13">
        <v>0.1</v>
      </c>
      <c r="KQO103" s="13">
        <v>0.1</v>
      </c>
      <c r="KQP103" s="13">
        <v>0.1</v>
      </c>
      <c r="KQQ103" s="13">
        <v>0.1</v>
      </c>
      <c r="KQR103" s="13">
        <v>0.1</v>
      </c>
      <c r="KQS103" s="13">
        <v>0.1</v>
      </c>
      <c r="KQT103" s="13">
        <v>0.1</v>
      </c>
      <c r="KQU103" s="13">
        <v>0.1</v>
      </c>
      <c r="KQV103" s="13">
        <v>0.1</v>
      </c>
      <c r="KQW103" s="13">
        <v>0.1</v>
      </c>
      <c r="KQX103" s="13">
        <v>0.1</v>
      </c>
      <c r="KQY103" s="13">
        <v>0.1</v>
      </c>
      <c r="KQZ103" s="13">
        <v>0.1</v>
      </c>
      <c r="KRA103" s="13">
        <v>0.1</v>
      </c>
      <c r="KRB103" s="13">
        <v>0.1</v>
      </c>
      <c r="KRC103" s="13">
        <v>0.1</v>
      </c>
      <c r="KRD103" s="13">
        <v>0.1</v>
      </c>
      <c r="KRE103" s="13">
        <v>0.1</v>
      </c>
      <c r="KRF103" s="13">
        <v>0.1</v>
      </c>
      <c r="KRG103" s="13">
        <v>0.1</v>
      </c>
      <c r="KRH103" s="13">
        <v>0.1</v>
      </c>
      <c r="KRI103" s="13">
        <v>0.1</v>
      </c>
      <c r="KRJ103" s="13">
        <v>0.1</v>
      </c>
      <c r="KRK103" s="13">
        <v>0.1</v>
      </c>
      <c r="KRL103" s="13">
        <v>0.1</v>
      </c>
      <c r="KRM103" s="13">
        <v>0.1</v>
      </c>
      <c r="KRN103" s="13">
        <v>0.1</v>
      </c>
      <c r="KRO103" s="13">
        <v>0.1</v>
      </c>
      <c r="KRP103" s="13">
        <v>0.1</v>
      </c>
      <c r="KRQ103" s="13">
        <v>0.1</v>
      </c>
      <c r="KRR103" s="13">
        <v>0.1</v>
      </c>
      <c r="KRS103" s="13">
        <v>0.1</v>
      </c>
      <c r="KRT103" s="13">
        <v>0.1</v>
      </c>
      <c r="KRU103" s="13">
        <v>0.1</v>
      </c>
      <c r="KRV103" s="13">
        <v>0.1</v>
      </c>
      <c r="KRW103" s="13">
        <v>0.1</v>
      </c>
      <c r="KRX103" s="13">
        <v>0.1</v>
      </c>
      <c r="KRY103" s="13">
        <v>0.1</v>
      </c>
      <c r="KRZ103" s="13">
        <v>0.1</v>
      </c>
      <c r="KSA103" s="13">
        <v>0.1</v>
      </c>
      <c r="KSB103" s="13">
        <v>0.1</v>
      </c>
      <c r="KSC103" s="13">
        <v>0.1</v>
      </c>
      <c r="KSD103" s="13">
        <v>0.1</v>
      </c>
      <c r="KSE103" s="13">
        <v>0.1</v>
      </c>
      <c r="KSF103" s="13">
        <v>0.1</v>
      </c>
      <c r="KSG103" s="13">
        <v>0.1</v>
      </c>
      <c r="KSH103" s="13">
        <v>0.1</v>
      </c>
      <c r="KSI103" s="13">
        <v>0.1</v>
      </c>
      <c r="KSJ103" s="13">
        <v>0.1</v>
      </c>
      <c r="KSK103" s="13">
        <v>0.1</v>
      </c>
      <c r="KSL103" s="13">
        <v>0.1</v>
      </c>
      <c r="KSM103" s="13">
        <v>0.1</v>
      </c>
      <c r="KSN103" s="13">
        <v>0.1</v>
      </c>
      <c r="KSO103" s="13">
        <v>0.1</v>
      </c>
      <c r="KSP103" s="13">
        <v>0.1</v>
      </c>
      <c r="KSQ103" s="13">
        <v>0.1</v>
      </c>
      <c r="KSR103" s="13">
        <v>0.1</v>
      </c>
      <c r="KSS103" s="13">
        <v>0.1</v>
      </c>
      <c r="KST103" s="13">
        <v>0.1</v>
      </c>
      <c r="KSU103" s="13">
        <v>0.1</v>
      </c>
      <c r="KSV103" s="13">
        <v>0.1</v>
      </c>
      <c r="KSW103" s="13">
        <v>0.1</v>
      </c>
      <c r="KSX103" s="13">
        <v>0.1</v>
      </c>
      <c r="KSY103" s="13">
        <v>0.1</v>
      </c>
      <c r="KSZ103" s="13">
        <v>0.1</v>
      </c>
      <c r="KTA103" s="13">
        <v>0.1</v>
      </c>
      <c r="KTB103" s="13">
        <v>0.1</v>
      </c>
      <c r="KTC103" s="13">
        <v>0.1</v>
      </c>
      <c r="KTD103" s="13">
        <v>0.1</v>
      </c>
      <c r="KTE103" s="13">
        <v>0.1</v>
      </c>
      <c r="KTF103" s="13">
        <v>0.1</v>
      </c>
      <c r="KTG103" s="13">
        <v>0.1</v>
      </c>
      <c r="KTH103" s="13">
        <v>0.1</v>
      </c>
      <c r="KTI103" s="13">
        <v>0.1</v>
      </c>
      <c r="KTJ103" s="13">
        <v>0.1</v>
      </c>
      <c r="KTK103" s="13">
        <v>0.1</v>
      </c>
      <c r="KTL103" s="13">
        <v>0.1</v>
      </c>
      <c r="KTM103" s="13">
        <v>0.1</v>
      </c>
      <c r="KTN103" s="13">
        <v>0.1</v>
      </c>
      <c r="KTO103" s="13">
        <v>0.1</v>
      </c>
      <c r="KTP103" s="13">
        <v>0.1</v>
      </c>
      <c r="KTQ103" s="13">
        <v>0.1</v>
      </c>
      <c r="KTR103" s="13">
        <v>0.1</v>
      </c>
      <c r="KTS103" s="13">
        <v>0.1</v>
      </c>
      <c r="KTT103" s="13">
        <v>0.1</v>
      </c>
      <c r="KTU103" s="13">
        <v>0.1</v>
      </c>
      <c r="KTV103" s="13">
        <v>0.1</v>
      </c>
      <c r="KTW103" s="13">
        <v>0.1</v>
      </c>
      <c r="KTX103" s="13">
        <v>0.1</v>
      </c>
      <c r="KTY103" s="13">
        <v>0.1</v>
      </c>
      <c r="KTZ103" s="13">
        <v>0.1</v>
      </c>
      <c r="KUA103" s="13">
        <v>0.1</v>
      </c>
      <c r="KUB103" s="13">
        <v>0.1</v>
      </c>
      <c r="KUC103" s="13">
        <v>0.1</v>
      </c>
      <c r="KUD103" s="13">
        <v>0.1</v>
      </c>
      <c r="KUE103" s="13">
        <v>0.1</v>
      </c>
      <c r="KUF103" s="13">
        <v>0.1</v>
      </c>
      <c r="KUG103" s="13">
        <v>0.1</v>
      </c>
      <c r="KUH103" s="13">
        <v>0.1</v>
      </c>
      <c r="KUI103" s="13">
        <v>0.1</v>
      </c>
      <c r="KUJ103" s="13">
        <v>0.1</v>
      </c>
      <c r="KUK103" s="13">
        <v>0.1</v>
      </c>
      <c r="KUL103" s="13">
        <v>0.1</v>
      </c>
      <c r="KUM103" s="13">
        <v>0.1</v>
      </c>
      <c r="KUN103" s="13">
        <v>0.1</v>
      </c>
      <c r="KUO103" s="13">
        <v>0.1</v>
      </c>
      <c r="KUP103" s="13">
        <v>0.1</v>
      </c>
      <c r="KUQ103" s="13">
        <v>0.1</v>
      </c>
      <c r="KUR103" s="13">
        <v>0.1</v>
      </c>
      <c r="KUS103" s="13">
        <v>0.1</v>
      </c>
      <c r="KUT103" s="13">
        <v>0.1</v>
      </c>
      <c r="KUU103" s="13">
        <v>0.1</v>
      </c>
      <c r="KUV103" s="13">
        <v>0.1</v>
      </c>
      <c r="KUW103" s="13">
        <v>0.1</v>
      </c>
      <c r="KUX103" s="13">
        <v>0.1</v>
      </c>
      <c r="KUY103" s="13">
        <v>0.1</v>
      </c>
      <c r="KUZ103" s="13">
        <v>0.1</v>
      </c>
      <c r="KVA103" s="13">
        <v>0.1</v>
      </c>
      <c r="KVB103" s="13">
        <v>0.1</v>
      </c>
      <c r="KVC103" s="13">
        <v>0.1</v>
      </c>
      <c r="KVD103" s="13">
        <v>0.1</v>
      </c>
      <c r="KVE103" s="13">
        <v>0.1</v>
      </c>
      <c r="KVF103" s="13">
        <v>0.1</v>
      </c>
      <c r="KVG103" s="13">
        <v>0.1</v>
      </c>
      <c r="KVH103" s="13">
        <v>0.1</v>
      </c>
      <c r="KVI103" s="13">
        <v>0.1</v>
      </c>
      <c r="KVJ103" s="13">
        <v>0.1</v>
      </c>
      <c r="KVK103" s="13">
        <v>0.1</v>
      </c>
      <c r="KVL103" s="13">
        <v>0.1</v>
      </c>
      <c r="KVM103" s="13">
        <v>0.1</v>
      </c>
      <c r="KVN103" s="13">
        <v>0.1</v>
      </c>
      <c r="KVO103" s="13">
        <v>0.1</v>
      </c>
      <c r="KVP103" s="13">
        <v>0.1</v>
      </c>
      <c r="KVQ103" s="13">
        <v>0.1</v>
      </c>
      <c r="KVR103" s="13">
        <v>0.1</v>
      </c>
      <c r="KVS103" s="13">
        <v>0.1</v>
      </c>
      <c r="KVT103" s="13">
        <v>0.1</v>
      </c>
      <c r="KVU103" s="13">
        <v>0.1</v>
      </c>
      <c r="KVV103" s="13">
        <v>0.1</v>
      </c>
      <c r="KVW103" s="13">
        <v>0.1</v>
      </c>
      <c r="KVX103" s="13">
        <v>0.1</v>
      </c>
      <c r="KVY103" s="13">
        <v>0.1</v>
      </c>
      <c r="KVZ103" s="13">
        <v>0.1</v>
      </c>
      <c r="KWA103" s="13">
        <v>0.1</v>
      </c>
      <c r="KWB103" s="13">
        <v>0.1</v>
      </c>
      <c r="KWC103" s="13">
        <v>0.1</v>
      </c>
      <c r="KWD103" s="13">
        <v>0.1</v>
      </c>
      <c r="KWE103" s="13">
        <v>0.1</v>
      </c>
      <c r="KWF103" s="13">
        <v>0.1</v>
      </c>
      <c r="KWG103" s="13">
        <v>0.1</v>
      </c>
      <c r="KWH103" s="13">
        <v>0.1</v>
      </c>
      <c r="KWI103" s="13">
        <v>0.1</v>
      </c>
      <c r="KWJ103" s="13">
        <v>0.1</v>
      </c>
      <c r="KWK103" s="13">
        <v>0.1</v>
      </c>
      <c r="KWL103" s="13">
        <v>0.1</v>
      </c>
      <c r="KWM103" s="13">
        <v>0.1</v>
      </c>
      <c r="KWN103" s="13">
        <v>0.1</v>
      </c>
      <c r="KWO103" s="13">
        <v>0.1</v>
      </c>
      <c r="KWP103" s="13">
        <v>0.1</v>
      </c>
      <c r="KWQ103" s="13">
        <v>0.1</v>
      </c>
      <c r="KWR103" s="13">
        <v>0.1</v>
      </c>
      <c r="KWS103" s="13">
        <v>0.1</v>
      </c>
      <c r="KWT103" s="13">
        <v>0.1</v>
      </c>
      <c r="KWU103" s="13">
        <v>0.1</v>
      </c>
      <c r="KWV103" s="13">
        <v>0.1</v>
      </c>
      <c r="KWW103" s="13">
        <v>0.1</v>
      </c>
      <c r="KWX103" s="13">
        <v>0.1</v>
      </c>
      <c r="KWY103" s="13">
        <v>0.1</v>
      </c>
      <c r="KWZ103" s="13">
        <v>0.1</v>
      </c>
      <c r="KXA103" s="13">
        <v>0.1</v>
      </c>
      <c r="KXB103" s="13">
        <v>0.1</v>
      </c>
      <c r="KXC103" s="13">
        <v>0.1</v>
      </c>
      <c r="KXD103" s="13">
        <v>0.1</v>
      </c>
      <c r="KXE103" s="13">
        <v>0.1</v>
      </c>
      <c r="KXF103" s="13">
        <v>0.1</v>
      </c>
      <c r="KXG103" s="13">
        <v>0.1</v>
      </c>
      <c r="KXH103" s="13">
        <v>0.1</v>
      </c>
      <c r="KXI103" s="13">
        <v>0.1</v>
      </c>
      <c r="KXJ103" s="13">
        <v>0.1</v>
      </c>
      <c r="KXK103" s="13">
        <v>0.1</v>
      </c>
      <c r="KXL103" s="13">
        <v>0.1</v>
      </c>
      <c r="KXM103" s="13">
        <v>0.1</v>
      </c>
      <c r="KXN103" s="13">
        <v>0.1</v>
      </c>
      <c r="KXO103" s="13">
        <v>0.1</v>
      </c>
      <c r="KXP103" s="13">
        <v>0.1</v>
      </c>
      <c r="KXQ103" s="13">
        <v>0.1</v>
      </c>
      <c r="KXR103" s="13">
        <v>0.1</v>
      </c>
      <c r="KXS103" s="13">
        <v>0.1</v>
      </c>
      <c r="KXT103" s="13">
        <v>0.1</v>
      </c>
      <c r="KXU103" s="13">
        <v>0.1</v>
      </c>
      <c r="KXV103" s="13">
        <v>0.1</v>
      </c>
      <c r="KXW103" s="13">
        <v>0.1</v>
      </c>
      <c r="KXX103" s="13">
        <v>0.1</v>
      </c>
      <c r="KXY103" s="13">
        <v>0.1</v>
      </c>
      <c r="KXZ103" s="13">
        <v>0.1</v>
      </c>
      <c r="KYA103" s="13">
        <v>0.1</v>
      </c>
      <c r="KYB103" s="13">
        <v>0.1</v>
      </c>
      <c r="KYC103" s="13">
        <v>0.1</v>
      </c>
      <c r="KYD103" s="13">
        <v>0.1</v>
      </c>
      <c r="KYE103" s="13">
        <v>0.1</v>
      </c>
      <c r="KYF103" s="13">
        <v>0.1</v>
      </c>
      <c r="KYG103" s="13">
        <v>0.1</v>
      </c>
      <c r="KYH103" s="13">
        <v>0.1</v>
      </c>
      <c r="KYI103" s="13">
        <v>0.1</v>
      </c>
      <c r="KYJ103" s="13">
        <v>0.1</v>
      </c>
      <c r="KYK103" s="13">
        <v>0.1</v>
      </c>
      <c r="KYL103" s="13">
        <v>0.1</v>
      </c>
      <c r="KYM103" s="13">
        <v>0.1</v>
      </c>
      <c r="KYN103" s="13">
        <v>0.1</v>
      </c>
      <c r="KYO103" s="13">
        <v>0.1</v>
      </c>
      <c r="KYP103" s="13">
        <v>0.1</v>
      </c>
      <c r="KYQ103" s="13">
        <v>0.1</v>
      </c>
      <c r="KYR103" s="13">
        <v>0.1</v>
      </c>
      <c r="KYS103" s="13">
        <v>0.1</v>
      </c>
      <c r="KYT103" s="13">
        <v>0.1</v>
      </c>
      <c r="KYU103" s="13">
        <v>0.1</v>
      </c>
      <c r="KYV103" s="13">
        <v>0.1</v>
      </c>
      <c r="KYW103" s="13">
        <v>0.1</v>
      </c>
      <c r="KYX103" s="13">
        <v>0.1</v>
      </c>
      <c r="KYY103" s="13">
        <v>0.1</v>
      </c>
      <c r="KYZ103" s="13">
        <v>0.1</v>
      </c>
      <c r="KZA103" s="13">
        <v>0.1</v>
      </c>
      <c r="KZB103" s="13">
        <v>0.1</v>
      </c>
      <c r="KZC103" s="13">
        <v>0.1</v>
      </c>
      <c r="KZD103" s="13">
        <v>0.1</v>
      </c>
      <c r="KZE103" s="13">
        <v>0.1</v>
      </c>
      <c r="KZF103" s="13">
        <v>0.1</v>
      </c>
      <c r="KZG103" s="13">
        <v>0.1</v>
      </c>
      <c r="KZH103" s="13">
        <v>0.1</v>
      </c>
      <c r="KZI103" s="13">
        <v>0.1</v>
      </c>
      <c r="KZJ103" s="13">
        <v>0.1</v>
      </c>
      <c r="KZK103" s="13">
        <v>0.1</v>
      </c>
      <c r="KZL103" s="13">
        <v>0.1</v>
      </c>
      <c r="KZM103" s="13">
        <v>0.1</v>
      </c>
      <c r="KZN103" s="13">
        <v>0.1</v>
      </c>
      <c r="KZO103" s="13">
        <v>0.1</v>
      </c>
      <c r="KZP103" s="13">
        <v>0.1</v>
      </c>
      <c r="KZQ103" s="13">
        <v>0.1</v>
      </c>
      <c r="KZR103" s="13">
        <v>0.1</v>
      </c>
      <c r="KZS103" s="13">
        <v>0.1</v>
      </c>
      <c r="KZT103" s="13">
        <v>0.1</v>
      </c>
      <c r="KZU103" s="13">
        <v>0.1</v>
      </c>
      <c r="KZV103" s="13">
        <v>0.1</v>
      </c>
      <c r="KZW103" s="13">
        <v>0.1</v>
      </c>
      <c r="KZX103" s="13">
        <v>0.1</v>
      </c>
      <c r="KZY103" s="13">
        <v>0.1</v>
      </c>
      <c r="KZZ103" s="13">
        <v>0.1</v>
      </c>
      <c r="LAA103" s="13">
        <v>0.1</v>
      </c>
      <c r="LAB103" s="13">
        <v>0.1</v>
      </c>
      <c r="LAC103" s="13">
        <v>0.1</v>
      </c>
      <c r="LAD103" s="13">
        <v>0.1</v>
      </c>
      <c r="LAE103" s="13">
        <v>0.1</v>
      </c>
      <c r="LAF103" s="13">
        <v>0.1</v>
      </c>
      <c r="LAG103" s="13">
        <v>0.1</v>
      </c>
      <c r="LAH103" s="13">
        <v>0.1</v>
      </c>
      <c r="LAI103" s="13">
        <v>0.1</v>
      </c>
      <c r="LAJ103" s="13">
        <v>0.1</v>
      </c>
      <c r="LAK103" s="13">
        <v>0.1</v>
      </c>
      <c r="LAL103" s="13">
        <v>0.1</v>
      </c>
      <c r="LAM103" s="13">
        <v>0.1</v>
      </c>
      <c r="LAN103" s="13">
        <v>0.1</v>
      </c>
      <c r="LAO103" s="13">
        <v>0.1</v>
      </c>
      <c r="LAP103" s="13">
        <v>0.1</v>
      </c>
      <c r="LAQ103" s="13">
        <v>0.1</v>
      </c>
      <c r="LAR103" s="13">
        <v>0.1</v>
      </c>
      <c r="LAS103" s="13">
        <v>0.1</v>
      </c>
      <c r="LAT103" s="13">
        <v>0.1</v>
      </c>
      <c r="LAU103" s="13">
        <v>0.1</v>
      </c>
      <c r="LAV103" s="13">
        <v>0.1</v>
      </c>
      <c r="LAW103" s="13">
        <v>0.1</v>
      </c>
      <c r="LAX103" s="13">
        <v>0.1</v>
      </c>
      <c r="LAY103" s="13">
        <v>0.1</v>
      </c>
      <c r="LAZ103" s="13">
        <v>0.1</v>
      </c>
      <c r="LBA103" s="13">
        <v>0.1</v>
      </c>
      <c r="LBB103" s="13">
        <v>0.1</v>
      </c>
      <c r="LBC103" s="13">
        <v>0.1</v>
      </c>
      <c r="LBD103" s="13">
        <v>0.1</v>
      </c>
      <c r="LBE103" s="13">
        <v>0.1</v>
      </c>
      <c r="LBF103" s="13">
        <v>0.1</v>
      </c>
      <c r="LBG103" s="13">
        <v>0.1</v>
      </c>
      <c r="LBH103" s="13">
        <v>0.1</v>
      </c>
      <c r="LBI103" s="13">
        <v>0.1</v>
      </c>
      <c r="LBJ103" s="13">
        <v>0.1</v>
      </c>
      <c r="LBK103" s="13">
        <v>0.1</v>
      </c>
      <c r="LBL103" s="13">
        <v>0.1</v>
      </c>
      <c r="LBM103" s="13">
        <v>0.1</v>
      </c>
      <c r="LBN103" s="13">
        <v>0.1</v>
      </c>
      <c r="LBO103" s="13">
        <v>0.1</v>
      </c>
      <c r="LBP103" s="13">
        <v>0.1</v>
      </c>
      <c r="LBQ103" s="13">
        <v>0.1</v>
      </c>
      <c r="LBR103" s="13">
        <v>0.1</v>
      </c>
      <c r="LBS103" s="13">
        <v>0.1</v>
      </c>
      <c r="LBT103" s="13">
        <v>0.1</v>
      </c>
      <c r="LBU103" s="13">
        <v>0.1</v>
      </c>
      <c r="LBV103" s="13">
        <v>0.1</v>
      </c>
      <c r="LBW103" s="13">
        <v>0.1</v>
      </c>
      <c r="LBX103" s="13">
        <v>0.1</v>
      </c>
      <c r="LBY103" s="13">
        <v>0.1</v>
      </c>
      <c r="LBZ103" s="13">
        <v>0.1</v>
      </c>
      <c r="LCA103" s="13">
        <v>0.1</v>
      </c>
      <c r="LCB103" s="13">
        <v>0.1</v>
      </c>
      <c r="LCC103" s="13">
        <v>0.1</v>
      </c>
      <c r="LCD103" s="13">
        <v>0.1</v>
      </c>
      <c r="LCE103" s="13">
        <v>0.1</v>
      </c>
      <c r="LCF103" s="13">
        <v>0.1</v>
      </c>
      <c r="LCG103" s="13">
        <v>0.1</v>
      </c>
      <c r="LCH103" s="13">
        <v>0.1</v>
      </c>
      <c r="LCI103" s="13">
        <v>0.1</v>
      </c>
      <c r="LCJ103" s="13">
        <v>0.1</v>
      </c>
      <c r="LCK103" s="13">
        <v>0.1</v>
      </c>
      <c r="LCL103" s="13">
        <v>0.1</v>
      </c>
      <c r="LCM103" s="13">
        <v>0.1</v>
      </c>
      <c r="LCN103" s="13">
        <v>0.1</v>
      </c>
      <c r="LCO103" s="13">
        <v>0.1</v>
      </c>
      <c r="LCP103" s="13">
        <v>0.1</v>
      </c>
      <c r="LCQ103" s="13">
        <v>0.1</v>
      </c>
      <c r="LCR103" s="13">
        <v>0.1</v>
      </c>
      <c r="LCS103" s="13">
        <v>0.1</v>
      </c>
      <c r="LCT103" s="13">
        <v>0.1</v>
      </c>
      <c r="LCU103" s="13">
        <v>0.1</v>
      </c>
      <c r="LCV103" s="13">
        <v>0.1</v>
      </c>
      <c r="LCW103" s="13">
        <v>0.1</v>
      </c>
      <c r="LCX103" s="13">
        <v>0.1</v>
      </c>
      <c r="LCY103" s="13">
        <v>0.1</v>
      </c>
      <c r="LCZ103" s="13">
        <v>0.1</v>
      </c>
      <c r="LDA103" s="13">
        <v>0.1</v>
      </c>
      <c r="LDB103" s="13">
        <v>0.1</v>
      </c>
      <c r="LDC103" s="13">
        <v>0.1</v>
      </c>
      <c r="LDD103" s="13">
        <v>0.1</v>
      </c>
      <c r="LDE103" s="13">
        <v>0.1</v>
      </c>
      <c r="LDF103" s="13">
        <v>0.1</v>
      </c>
      <c r="LDG103" s="13">
        <v>0.1</v>
      </c>
      <c r="LDH103" s="13">
        <v>0.1</v>
      </c>
      <c r="LDI103" s="13">
        <v>0.1</v>
      </c>
      <c r="LDJ103" s="13">
        <v>0.1</v>
      </c>
      <c r="LDK103" s="13">
        <v>0.1</v>
      </c>
      <c r="LDL103" s="13">
        <v>0.1</v>
      </c>
      <c r="LDM103" s="13">
        <v>0.1</v>
      </c>
      <c r="LDN103" s="13">
        <v>0.1</v>
      </c>
      <c r="LDO103" s="13">
        <v>0.1</v>
      </c>
      <c r="LDP103" s="13">
        <v>0.1</v>
      </c>
      <c r="LDQ103" s="13">
        <v>0.1</v>
      </c>
      <c r="LDR103" s="13">
        <v>0.1</v>
      </c>
      <c r="LDS103" s="13">
        <v>0.1</v>
      </c>
      <c r="LDT103" s="13">
        <v>0.1</v>
      </c>
      <c r="LDU103" s="13">
        <v>0.1</v>
      </c>
      <c r="LDV103" s="13">
        <v>0.1</v>
      </c>
      <c r="LDW103" s="13">
        <v>0.1</v>
      </c>
      <c r="LDX103" s="13">
        <v>0.1</v>
      </c>
      <c r="LDY103" s="13">
        <v>0.1</v>
      </c>
      <c r="LDZ103" s="13">
        <v>0.1</v>
      </c>
      <c r="LEA103" s="13">
        <v>0.1</v>
      </c>
      <c r="LEB103" s="13">
        <v>0.1</v>
      </c>
      <c r="LEC103" s="13">
        <v>0.1</v>
      </c>
      <c r="LED103" s="13">
        <v>0.1</v>
      </c>
      <c r="LEE103" s="13">
        <v>0.1</v>
      </c>
      <c r="LEF103" s="13">
        <v>0.1</v>
      </c>
      <c r="LEG103" s="13">
        <v>0.1</v>
      </c>
      <c r="LEH103" s="13">
        <v>0.1</v>
      </c>
      <c r="LEI103" s="13">
        <v>0.1</v>
      </c>
      <c r="LEJ103" s="13">
        <v>0.1</v>
      </c>
      <c r="LEK103" s="13">
        <v>0.1</v>
      </c>
      <c r="LEL103" s="13">
        <v>0.1</v>
      </c>
      <c r="LEM103" s="13">
        <v>0.1</v>
      </c>
      <c r="LEN103" s="13">
        <v>0.1</v>
      </c>
      <c r="LEO103" s="13">
        <v>0.1</v>
      </c>
      <c r="LEP103" s="13">
        <v>0.1</v>
      </c>
      <c r="LEQ103" s="13">
        <v>0.1</v>
      </c>
      <c r="LER103" s="13">
        <v>0.1</v>
      </c>
      <c r="LES103" s="13">
        <v>0.1</v>
      </c>
      <c r="LET103" s="13">
        <v>0.1</v>
      </c>
      <c r="LEU103" s="13">
        <v>0.1</v>
      </c>
      <c r="LEV103" s="13">
        <v>0.1</v>
      </c>
      <c r="LEW103" s="13">
        <v>0.1</v>
      </c>
      <c r="LEX103" s="13">
        <v>0.1</v>
      </c>
      <c r="LEY103" s="13">
        <v>0.1</v>
      </c>
      <c r="LEZ103" s="13">
        <v>0.1</v>
      </c>
      <c r="LFA103" s="13">
        <v>0.1</v>
      </c>
      <c r="LFB103" s="13">
        <v>0.1</v>
      </c>
      <c r="LFC103" s="13">
        <v>0.1</v>
      </c>
      <c r="LFD103" s="13">
        <v>0.1</v>
      </c>
      <c r="LFE103" s="13">
        <v>0.1</v>
      </c>
      <c r="LFF103" s="13">
        <v>0.1</v>
      </c>
      <c r="LFG103" s="13">
        <v>0.1</v>
      </c>
      <c r="LFH103" s="13">
        <v>0.1</v>
      </c>
      <c r="LFI103" s="13">
        <v>0.1</v>
      </c>
      <c r="LFJ103" s="13">
        <v>0.1</v>
      </c>
      <c r="LFK103" s="13">
        <v>0.1</v>
      </c>
      <c r="LFL103" s="13">
        <v>0.1</v>
      </c>
      <c r="LFM103" s="13">
        <v>0.1</v>
      </c>
      <c r="LFN103" s="13">
        <v>0.1</v>
      </c>
      <c r="LFO103" s="13">
        <v>0.1</v>
      </c>
      <c r="LFP103" s="13">
        <v>0.1</v>
      </c>
      <c r="LFQ103" s="13">
        <v>0.1</v>
      </c>
      <c r="LFR103" s="13">
        <v>0.1</v>
      </c>
      <c r="LFS103" s="13">
        <v>0.1</v>
      </c>
      <c r="LFT103" s="13">
        <v>0.1</v>
      </c>
      <c r="LFU103" s="13">
        <v>0.1</v>
      </c>
      <c r="LFV103" s="13">
        <v>0.1</v>
      </c>
      <c r="LFW103" s="13">
        <v>0.1</v>
      </c>
      <c r="LFX103" s="13">
        <v>0.1</v>
      </c>
      <c r="LFY103" s="13">
        <v>0.1</v>
      </c>
      <c r="LFZ103" s="13">
        <v>0.1</v>
      </c>
      <c r="LGA103" s="13">
        <v>0.1</v>
      </c>
      <c r="LGB103" s="13">
        <v>0.1</v>
      </c>
      <c r="LGC103" s="13">
        <v>0.1</v>
      </c>
      <c r="LGD103" s="13">
        <v>0.1</v>
      </c>
      <c r="LGE103" s="13">
        <v>0.1</v>
      </c>
      <c r="LGF103" s="13">
        <v>0.1</v>
      </c>
      <c r="LGG103" s="13">
        <v>0.1</v>
      </c>
      <c r="LGH103" s="13">
        <v>0.1</v>
      </c>
      <c r="LGI103" s="13">
        <v>0.1</v>
      </c>
      <c r="LGJ103" s="13">
        <v>0.1</v>
      </c>
      <c r="LGK103" s="13">
        <v>0.1</v>
      </c>
      <c r="LGL103" s="13">
        <v>0.1</v>
      </c>
      <c r="LGM103" s="13">
        <v>0.1</v>
      </c>
      <c r="LGN103" s="13">
        <v>0.1</v>
      </c>
      <c r="LGO103" s="13">
        <v>0.1</v>
      </c>
      <c r="LGP103" s="13">
        <v>0.1</v>
      </c>
      <c r="LGQ103" s="13">
        <v>0.1</v>
      </c>
      <c r="LGR103" s="13">
        <v>0.1</v>
      </c>
      <c r="LGS103" s="13">
        <v>0.1</v>
      </c>
      <c r="LGT103" s="13">
        <v>0.1</v>
      </c>
      <c r="LGU103" s="13">
        <v>0.1</v>
      </c>
      <c r="LGV103" s="13">
        <v>0.1</v>
      </c>
      <c r="LGW103" s="13">
        <v>0.1</v>
      </c>
      <c r="LGX103" s="13">
        <v>0.1</v>
      </c>
      <c r="LGY103" s="13">
        <v>0.1</v>
      </c>
      <c r="LGZ103" s="13">
        <v>0.1</v>
      </c>
      <c r="LHA103" s="13">
        <v>0.1</v>
      </c>
      <c r="LHB103" s="13">
        <v>0.1</v>
      </c>
      <c r="LHC103" s="13">
        <v>0.1</v>
      </c>
      <c r="LHD103" s="13">
        <v>0.1</v>
      </c>
      <c r="LHE103" s="13">
        <v>0.1</v>
      </c>
      <c r="LHF103" s="13">
        <v>0.1</v>
      </c>
      <c r="LHG103" s="13">
        <v>0.1</v>
      </c>
      <c r="LHH103" s="13">
        <v>0.1</v>
      </c>
      <c r="LHI103" s="13">
        <v>0.1</v>
      </c>
      <c r="LHJ103" s="13">
        <v>0.1</v>
      </c>
      <c r="LHK103" s="13">
        <v>0.1</v>
      </c>
      <c r="LHL103" s="13">
        <v>0.1</v>
      </c>
      <c r="LHM103" s="13">
        <v>0.1</v>
      </c>
      <c r="LHN103" s="13">
        <v>0.1</v>
      </c>
      <c r="LHO103" s="13">
        <v>0.1</v>
      </c>
      <c r="LHP103" s="13">
        <v>0.1</v>
      </c>
      <c r="LHQ103" s="13">
        <v>0.1</v>
      </c>
      <c r="LHR103" s="13">
        <v>0.1</v>
      </c>
      <c r="LHS103" s="13">
        <v>0.1</v>
      </c>
      <c r="LHT103" s="13">
        <v>0.1</v>
      </c>
      <c r="LHU103" s="13">
        <v>0.1</v>
      </c>
      <c r="LHV103" s="13">
        <v>0.1</v>
      </c>
      <c r="LHW103" s="13">
        <v>0.1</v>
      </c>
      <c r="LHX103" s="13">
        <v>0.1</v>
      </c>
      <c r="LHY103" s="13">
        <v>0.1</v>
      </c>
      <c r="LHZ103" s="13">
        <v>0.1</v>
      </c>
      <c r="LIA103" s="13">
        <v>0.1</v>
      </c>
      <c r="LIB103" s="13">
        <v>0.1</v>
      </c>
      <c r="LIC103" s="13">
        <v>0.1</v>
      </c>
      <c r="LID103" s="13">
        <v>0.1</v>
      </c>
      <c r="LIE103" s="13">
        <v>0.1</v>
      </c>
      <c r="LIF103" s="13">
        <v>0.1</v>
      </c>
      <c r="LIG103" s="13">
        <v>0.1</v>
      </c>
      <c r="LIH103" s="13">
        <v>0.1</v>
      </c>
      <c r="LII103" s="13">
        <v>0.1</v>
      </c>
      <c r="LIJ103" s="13">
        <v>0.1</v>
      </c>
      <c r="LIK103" s="13">
        <v>0.1</v>
      </c>
      <c r="LIL103" s="13">
        <v>0.1</v>
      </c>
      <c r="LIM103" s="13">
        <v>0.1</v>
      </c>
      <c r="LIN103" s="13">
        <v>0.1</v>
      </c>
      <c r="LIO103" s="13">
        <v>0.1</v>
      </c>
      <c r="LIP103" s="13">
        <v>0.1</v>
      </c>
      <c r="LIQ103" s="13">
        <v>0.1</v>
      </c>
      <c r="LIR103" s="13">
        <v>0.1</v>
      </c>
      <c r="LIS103" s="13">
        <v>0.1</v>
      </c>
      <c r="LIT103" s="13">
        <v>0.1</v>
      </c>
      <c r="LIU103" s="13">
        <v>0.1</v>
      </c>
      <c r="LIV103" s="13">
        <v>0.1</v>
      </c>
      <c r="LIW103" s="13">
        <v>0.1</v>
      </c>
      <c r="LIX103" s="13">
        <v>0.1</v>
      </c>
      <c r="LIY103" s="13">
        <v>0.1</v>
      </c>
      <c r="LIZ103" s="13">
        <v>0.1</v>
      </c>
      <c r="LJA103" s="13">
        <v>0.1</v>
      </c>
      <c r="LJB103" s="13">
        <v>0.1</v>
      </c>
      <c r="LJC103" s="13">
        <v>0.1</v>
      </c>
      <c r="LJD103" s="13">
        <v>0.1</v>
      </c>
      <c r="LJE103" s="13">
        <v>0.1</v>
      </c>
      <c r="LJF103" s="13">
        <v>0.1</v>
      </c>
      <c r="LJG103" s="13">
        <v>0.1</v>
      </c>
      <c r="LJH103" s="13">
        <v>0.1</v>
      </c>
      <c r="LJI103" s="13">
        <v>0.1</v>
      </c>
      <c r="LJJ103" s="13">
        <v>0.1</v>
      </c>
      <c r="LJK103" s="13">
        <v>0.1</v>
      </c>
      <c r="LJL103" s="13">
        <v>0.1</v>
      </c>
      <c r="LJM103" s="13">
        <v>0.1</v>
      </c>
      <c r="LJN103" s="13">
        <v>0.1</v>
      </c>
      <c r="LJO103" s="13">
        <v>0.1</v>
      </c>
      <c r="LJP103" s="13">
        <v>0.1</v>
      </c>
      <c r="LJQ103" s="13">
        <v>0.1</v>
      </c>
      <c r="LJR103" s="13">
        <v>0.1</v>
      </c>
      <c r="LJS103" s="13">
        <v>0.1</v>
      </c>
      <c r="LJT103" s="13">
        <v>0.1</v>
      </c>
      <c r="LJU103" s="13">
        <v>0.1</v>
      </c>
      <c r="LJV103" s="13">
        <v>0.1</v>
      </c>
      <c r="LJW103" s="13">
        <v>0.1</v>
      </c>
      <c r="LJX103" s="13">
        <v>0.1</v>
      </c>
      <c r="LJY103" s="13">
        <v>0.1</v>
      </c>
      <c r="LJZ103" s="13">
        <v>0.1</v>
      </c>
      <c r="LKA103" s="13">
        <v>0.1</v>
      </c>
      <c r="LKB103" s="13">
        <v>0.1</v>
      </c>
      <c r="LKC103" s="13">
        <v>0.1</v>
      </c>
      <c r="LKD103" s="13">
        <v>0.1</v>
      </c>
      <c r="LKE103" s="13">
        <v>0.1</v>
      </c>
      <c r="LKF103" s="13">
        <v>0.1</v>
      </c>
      <c r="LKG103" s="13">
        <v>0.1</v>
      </c>
      <c r="LKH103" s="13">
        <v>0.1</v>
      </c>
      <c r="LKI103" s="13">
        <v>0.1</v>
      </c>
      <c r="LKJ103" s="13">
        <v>0.1</v>
      </c>
      <c r="LKK103" s="13">
        <v>0.1</v>
      </c>
      <c r="LKL103" s="13">
        <v>0.1</v>
      </c>
      <c r="LKM103" s="13">
        <v>0.1</v>
      </c>
      <c r="LKN103" s="13">
        <v>0.1</v>
      </c>
      <c r="LKO103" s="13">
        <v>0.1</v>
      </c>
      <c r="LKP103" s="13">
        <v>0.1</v>
      </c>
      <c r="LKQ103" s="13">
        <v>0.1</v>
      </c>
      <c r="LKR103" s="13">
        <v>0.1</v>
      </c>
      <c r="LKS103" s="13">
        <v>0.1</v>
      </c>
      <c r="LKT103" s="13">
        <v>0.1</v>
      </c>
      <c r="LKU103" s="13">
        <v>0.1</v>
      </c>
      <c r="LKV103" s="13">
        <v>0.1</v>
      </c>
      <c r="LKW103" s="13">
        <v>0.1</v>
      </c>
      <c r="LKX103" s="13">
        <v>0.1</v>
      </c>
      <c r="LKY103" s="13">
        <v>0.1</v>
      </c>
      <c r="LKZ103" s="13">
        <v>0.1</v>
      </c>
      <c r="LLA103" s="13">
        <v>0.1</v>
      </c>
      <c r="LLB103" s="13">
        <v>0.1</v>
      </c>
      <c r="LLC103" s="13">
        <v>0.1</v>
      </c>
      <c r="LLD103" s="13">
        <v>0.1</v>
      </c>
      <c r="LLE103" s="13">
        <v>0.1</v>
      </c>
      <c r="LLF103" s="13">
        <v>0.1</v>
      </c>
      <c r="LLG103" s="13">
        <v>0.1</v>
      </c>
      <c r="LLH103" s="13">
        <v>0.1</v>
      </c>
      <c r="LLI103" s="13">
        <v>0.1</v>
      </c>
      <c r="LLJ103" s="13">
        <v>0.1</v>
      </c>
      <c r="LLK103" s="13">
        <v>0.1</v>
      </c>
      <c r="LLL103" s="13">
        <v>0.1</v>
      </c>
      <c r="LLM103" s="13">
        <v>0.1</v>
      </c>
      <c r="LLN103" s="13">
        <v>0.1</v>
      </c>
      <c r="LLO103" s="13">
        <v>0.1</v>
      </c>
      <c r="LLP103" s="13">
        <v>0.1</v>
      </c>
      <c r="LLQ103" s="13">
        <v>0.1</v>
      </c>
      <c r="LLR103" s="13">
        <v>0.1</v>
      </c>
      <c r="LLS103" s="13">
        <v>0.1</v>
      </c>
      <c r="LLT103" s="13">
        <v>0.1</v>
      </c>
      <c r="LLU103" s="13">
        <v>0.1</v>
      </c>
      <c r="LLV103" s="13">
        <v>0.1</v>
      </c>
      <c r="LLW103" s="13">
        <v>0.1</v>
      </c>
      <c r="LLX103" s="13">
        <v>0.1</v>
      </c>
      <c r="LLY103" s="13">
        <v>0.1</v>
      </c>
      <c r="LLZ103" s="13">
        <v>0.1</v>
      </c>
      <c r="LMA103" s="13">
        <v>0.1</v>
      </c>
      <c r="LMB103" s="13">
        <v>0.1</v>
      </c>
      <c r="LMC103" s="13">
        <v>0.1</v>
      </c>
      <c r="LMD103" s="13">
        <v>0.1</v>
      </c>
      <c r="LME103" s="13">
        <v>0.1</v>
      </c>
      <c r="LMF103" s="13">
        <v>0.1</v>
      </c>
      <c r="LMG103" s="13">
        <v>0.1</v>
      </c>
      <c r="LMH103" s="13">
        <v>0.1</v>
      </c>
      <c r="LMI103" s="13">
        <v>0.1</v>
      </c>
      <c r="LMJ103" s="13">
        <v>0.1</v>
      </c>
      <c r="LMK103" s="13">
        <v>0.1</v>
      </c>
      <c r="LML103" s="13">
        <v>0.1</v>
      </c>
      <c r="LMM103" s="13">
        <v>0.1</v>
      </c>
      <c r="LMN103" s="13">
        <v>0.1</v>
      </c>
      <c r="LMO103" s="13">
        <v>0.1</v>
      </c>
      <c r="LMP103" s="13">
        <v>0.1</v>
      </c>
      <c r="LMQ103" s="13">
        <v>0.1</v>
      </c>
      <c r="LMR103" s="13">
        <v>0.1</v>
      </c>
      <c r="LMS103" s="13">
        <v>0.1</v>
      </c>
      <c r="LMT103" s="13">
        <v>0.1</v>
      </c>
      <c r="LMU103" s="13">
        <v>0.1</v>
      </c>
      <c r="LMV103" s="13">
        <v>0.1</v>
      </c>
      <c r="LMW103" s="13">
        <v>0.1</v>
      </c>
      <c r="LMX103" s="13">
        <v>0.1</v>
      </c>
      <c r="LMY103" s="13">
        <v>0.1</v>
      </c>
      <c r="LMZ103" s="13">
        <v>0.1</v>
      </c>
      <c r="LNA103" s="13">
        <v>0.1</v>
      </c>
      <c r="LNB103" s="13">
        <v>0.1</v>
      </c>
      <c r="LNC103" s="13">
        <v>0.1</v>
      </c>
      <c r="LND103" s="13">
        <v>0.1</v>
      </c>
      <c r="LNE103" s="13">
        <v>0.1</v>
      </c>
      <c r="LNF103" s="13">
        <v>0.1</v>
      </c>
      <c r="LNG103" s="13">
        <v>0.1</v>
      </c>
      <c r="LNH103" s="13">
        <v>0.1</v>
      </c>
      <c r="LNI103" s="13">
        <v>0.1</v>
      </c>
      <c r="LNJ103" s="13">
        <v>0.1</v>
      </c>
      <c r="LNK103" s="13">
        <v>0.1</v>
      </c>
      <c r="LNL103" s="13">
        <v>0.1</v>
      </c>
      <c r="LNM103" s="13">
        <v>0.1</v>
      </c>
      <c r="LNN103" s="13">
        <v>0.1</v>
      </c>
      <c r="LNO103" s="13">
        <v>0.1</v>
      </c>
      <c r="LNP103" s="13">
        <v>0.1</v>
      </c>
      <c r="LNQ103" s="13">
        <v>0.1</v>
      </c>
      <c r="LNR103" s="13">
        <v>0.1</v>
      </c>
      <c r="LNS103" s="13">
        <v>0.1</v>
      </c>
      <c r="LNT103" s="13">
        <v>0.1</v>
      </c>
      <c r="LNU103" s="13">
        <v>0.1</v>
      </c>
      <c r="LNV103" s="13">
        <v>0.1</v>
      </c>
      <c r="LNW103" s="13">
        <v>0.1</v>
      </c>
      <c r="LNX103" s="13">
        <v>0.1</v>
      </c>
      <c r="LNY103" s="13">
        <v>0.1</v>
      </c>
      <c r="LNZ103" s="13">
        <v>0.1</v>
      </c>
      <c r="LOA103" s="13">
        <v>0.1</v>
      </c>
      <c r="LOB103" s="13">
        <v>0.1</v>
      </c>
      <c r="LOC103" s="13">
        <v>0.1</v>
      </c>
      <c r="LOD103" s="13">
        <v>0.1</v>
      </c>
      <c r="LOE103" s="13">
        <v>0.1</v>
      </c>
      <c r="LOF103" s="13">
        <v>0.1</v>
      </c>
      <c r="LOG103" s="13">
        <v>0.1</v>
      </c>
      <c r="LOH103" s="13">
        <v>0.1</v>
      </c>
      <c r="LOI103" s="13">
        <v>0.1</v>
      </c>
      <c r="LOJ103" s="13">
        <v>0.1</v>
      </c>
      <c r="LOK103" s="13">
        <v>0.1</v>
      </c>
      <c r="LOL103" s="13">
        <v>0.1</v>
      </c>
      <c r="LOM103" s="13">
        <v>0.1</v>
      </c>
      <c r="LON103" s="13">
        <v>0.1</v>
      </c>
      <c r="LOO103" s="13">
        <v>0.1</v>
      </c>
      <c r="LOP103" s="13">
        <v>0.1</v>
      </c>
      <c r="LOQ103" s="13">
        <v>0.1</v>
      </c>
      <c r="LOR103" s="13">
        <v>0.1</v>
      </c>
      <c r="LOS103" s="13">
        <v>0.1</v>
      </c>
      <c r="LOT103" s="13">
        <v>0.1</v>
      </c>
      <c r="LOU103" s="13">
        <v>0.1</v>
      </c>
      <c r="LOV103" s="13">
        <v>0.1</v>
      </c>
      <c r="LOW103" s="13">
        <v>0.1</v>
      </c>
      <c r="LOX103" s="13">
        <v>0.1</v>
      </c>
      <c r="LOY103" s="13">
        <v>0.1</v>
      </c>
      <c r="LOZ103" s="13">
        <v>0.1</v>
      </c>
      <c r="LPA103" s="13">
        <v>0.1</v>
      </c>
      <c r="LPB103" s="13">
        <v>0.1</v>
      </c>
      <c r="LPC103" s="13">
        <v>0.1</v>
      </c>
      <c r="LPD103" s="13">
        <v>0.1</v>
      </c>
      <c r="LPE103" s="13">
        <v>0.1</v>
      </c>
      <c r="LPF103" s="13">
        <v>0.1</v>
      </c>
      <c r="LPG103" s="13">
        <v>0.1</v>
      </c>
      <c r="LPH103" s="13">
        <v>0.1</v>
      </c>
      <c r="LPI103" s="13">
        <v>0.1</v>
      </c>
      <c r="LPJ103" s="13">
        <v>0.1</v>
      </c>
      <c r="LPK103" s="13">
        <v>0.1</v>
      </c>
      <c r="LPL103" s="13">
        <v>0.1</v>
      </c>
      <c r="LPM103" s="13">
        <v>0.1</v>
      </c>
      <c r="LPN103" s="13">
        <v>0.1</v>
      </c>
      <c r="LPO103" s="13">
        <v>0.1</v>
      </c>
      <c r="LPP103" s="13">
        <v>0.1</v>
      </c>
      <c r="LPQ103" s="13">
        <v>0.1</v>
      </c>
      <c r="LPR103" s="13">
        <v>0.1</v>
      </c>
      <c r="LPS103" s="13">
        <v>0.1</v>
      </c>
      <c r="LPT103" s="13">
        <v>0.1</v>
      </c>
      <c r="LPU103" s="13">
        <v>0.1</v>
      </c>
      <c r="LPV103" s="13">
        <v>0.1</v>
      </c>
      <c r="LPW103" s="13">
        <v>0.1</v>
      </c>
      <c r="LPX103" s="13">
        <v>0.1</v>
      </c>
      <c r="LPY103" s="13">
        <v>0.1</v>
      </c>
      <c r="LPZ103" s="13">
        <v>0.1</v>
      </c>
      <c r="LQA103" s="13">
        <v>0.1</v>
      </c>
      <c r="LQB103" s="13">
        <v>0.1</v>
      </c>
      <c r="LQC103" s="13">
        <v>0.1</v>
      </c>
      <c r="LQD103" s="13">
        <v>0.1</v>
      </c>
      <c r="LQE103" s="13">
        <v>0.1</v>
      </c>
      <c r="LQF103" s="13">
        <v>0.1</v>
      </c>
      <c r="LQG103" s="13">
        <v>0.1</v>
      </c>
      <c r="LQH103" s="13">
        <v>0.1</v>
      </c>
      <c r="LQI103" s="13">
        <v>0.1</v>
      </c>
      <c r="LQJ103" s="13">
        <v>0.1</v>
      </c>
      <c r="LQK103" s="13">
        <v>0.1</v>
      </c>
      <c r="LQL103" s="13">
        <v>0.1</v>
      </c>
      <c r="LQM103" s="13">
        <v>0.1</v>
      </c>
      <c r="LQN103" s="13">
        <v>0.1</v>
      </c>
      <c r="LQO103" s="13">
        <v>0.1</v>
      </c>
      <c r="LQP103" s="13">
        <v>0.1</v>
      </c>
      <c r="LQQ103" s="13">
        <v>0.1</v>
      </c>
      <c r="LQR103" s="13">
        <v>0.1</v>
      </c>
      <c r="LQS103" s="13">
        <v>0.1</v>
      </c>
      <c r="LQT103" s="13">
        <v>0.1</v>
      </c>
      <c r="LQU103" s="13">
        <v>0.1</v>
      </c>
      <c r="LQV103" s="13">
        <v>0.1</v>
      </c>
      <c r="LQW103" s="13">
        <v>0.1</v>
      </c>
      <c r="LQX103" s="13">
        <v>0.1</v>
      </c>
      <c r="LQY103" s="13">
        <v>0.1</v>
      </c>
      <c r="LQZ103" s="13">
        <v>0.1</v>
      </c>
      <c r="LRA103" s="13">
        <v>0.1</v>
      </c>
      <c r="LRB103" s="13">
        <v>0.1</v>
      </c>
      <c r="LRC103" s="13">
        <v>0.1</v>
      </c>
      <c r="LRD103" s="13">
        <v>0.1</v>
      </c>
      <c r="LRE103" s="13">
        <v>0.1</v>
      </c>
      <c r="LRF103" s="13">
        <v>0.1</v>
      </c>
      <c r="LRG103" s="13">
        <v>0.1</v>
      </c>
      <c r="LRH103" s="13">
        <v>0.1</v>
      </c>
      <c r="LRI103" s="13">
        <v>0.1</v>
      </c>
      <c r="LRJ103" s="13">
        <v>0.1</v>
      </c>
      <c r="LRK103" s="13">
        <v>0.1</v>
      </c>
      <c r="LRL103" s="13">
        <v>0.1</v>
      </c>
      <c r="LRM103" s="13">
        <v>0.1</v>
      </c>
      <c r="LRN103" s="13">
        <v>0.1</v>
      </c>
      <c r="LRO103" s="13">
        <v>0.1</v>
      </c>
      <c r="LRP103" s="13">
        <v>0.1</v>
      </c>
      <c r="LRQ103" s="13">
        <v>0.1</v>
      </c>
      <c r="LRR103" s="13">
        <v>0.1</v>
      </c>
      <c r="LRS103" s="13">
        <v>0.1</v>
      </c>
      <c r="LRT103" s="13">
        <v>0.1</v>
      </c>
      <c r="LRU103" s="13">
        <v>0.1</v>
      </c>
      <c r="LRV103" s="13">
        <v>0.1</v>
      </c>
      <c r="LRW103" s="13">
        <v>0.1</v>
      </c>
      <c r="LRX103" s="13">
        <v>0.1</v>
      </c>
      <c r="LRY103" s="13">
        <v>0.1</v>
      </c>
      <c r="LRZ103" s="13">
        <v>0.1</v>
      </c>
      <c r="LSA103" s="13">
        <v>0.1</v>
      </c>
      <c r="LSB103" s="13">
        <v>0.1</v>
      </c>
      <c r="LSC103" s="13">
        <v>0.1</v>
      </c>
      <c r="LSD103" s="13">
        <v>0.1</v>
      </c>
      <c r="LSE103" s="13">
        <v>0.1</v>
      </c>
      <c r="LSF103" s="13">
        <v>0.1</v>
      </c>
      <c r="LSG103" s="13">
        <v>0.1</v>
      </c>
      <c r="LSH103" s="13">
        <v>0.1</v>
      </c>
      <c r="LSI103" s="13">
        <v>0.1</v>
      </c>
      <c r="LSJ103" s="13">
        <v>0.1</v>
      </c>
      <c r="LSK103" s="13">
        <v>0.1</v>
      </c>
      <c r="LSL103" s="13">
        <v>0.1</v>
      </c>
      <c r="LSM103" s="13">
        <v>0.1</v>
      </c>
      <c r="LSN103" s="13">
        <v>0.1</v>
      </c>
      <c r="LSO103" s="13">
        <v>0.1</v>
      </c>
      <c r="LSP103" s="13">
        <v>0.1</v>
      </c>
      <c r="LSQ103" s="13">
        <v>0.1</v>
      </c>
      <c r="LSR103" s="13">
        <v>0.1</v>
      </c>
      <c r="LSS103" s="13">
        <v>0.1</v>
      </c>
      <c r="LST103" s="13">
        <v>0.1</v>
      </c>
      <c r="LSU103" s="13">
        <v>0.1</v>
      </c>
      <c r="LSV103" s="13">
        <v>0.1</v>
      </c>
      <c r="LSW103" s="13">
        <v>0.1</v>
      </c>
      <c r="LSX103" s="13">
        <v>0.1</v>
      </c>
      <c r="LSY103" s="13">
        <v>0.1</v>
      </c>
      <c r="LSZ103" s="13">
        <v>0.1</v>
      </c>
      <c r="LTA103" s="13">
        <v>0.1</v>
      </c>
      <c r="LTB103" s="13">
        <v>0.1</v>
      </c>
      <c r="LTC103" s="13">
        <v>0.1</v>
      </c>
      <c r="LTD103" s="13">
        <v>0.1</v>
      </c>
      <c r="LTE103" s="13">
        <v>0.1</v>
      </c>
      <c r="LTF103" s="13">
        <v>0.1</v>
      </c>
      <c r="LTG103" s="13">
        <v>0.1</v>
      </c>
      <c r="LTH103" s="13">
        <v>0.1</v>
      </c>
      <c r="LTI103" s="13">
        <v>0.1</v>
      </c>
      <c r="LTJ103" s="13">
        <v>0.1</v>
      </c>
      <c r="LTK103" s="13">
        <v>0.1</v>
      </c>
      <c r="LTL103" s="13">
        <v>0.1</v>
      </c>
      <c r="LTM103" s="13">
        <v>0.1</v>
      </c>
      <c r="LTN103" s="13">
        <v>0.1</v>
      </c>
      <c r="LTO103" s="13">
        <v>0.1</v>
      </c>
      <c r="LTP103" s="13">
        <v>0.1</v>
      </c>
      <c r="LTQ103" s="13">
        <v>0.1</v>
      </c>
      <c r="LTR103" s="13">
        <v>0.1</v>
      </c>
      <c r="LTS103" s="13">
        <v>0.1</v>
      </c>
      <c r="LTT103" s="13">
        <v>0.1</v>
      </c>
      <c r="LTU103" s="13">
        <v>0.1</v>
      </c>
      <c r="LTV103" s="13">
        <v>0.1</v>
      </c>
      <c r="LTW103" s="13">
        <v>0.1</v>
      </c>
      <c r="LTX103" s="13">
        <v>0.1</v>
      </c>
      <c r="LTY103" s="13">
        <v>0.1</v>
      </c>
      <c r="LTZ103" s="13">
        <v>0.1</v>
      </c>
      <c r="LUA103" s="13">
        <v>0.1</v>
      </c>
      <c r="LUB103" s="13">
        <v>0.1</v>
      </c>
      <c r="LUC103" s="13">
        <v>0.1</v>
      </c>
      <c r="LUD103" s="13">
        <v>0.1</v>
      </c>
      <c r="LUE103" s="13">
        <v>0.1</v>
      </c>
      <c r="LUF103" s="13">
        <v>0.1</v>
      </c>
      <c r="LUG103" s="13">
        <v>0.1</v>
      </c>
      <c r="LUH103" s="13">
        <v>0.1</v>
      </c>
      <c r="LUI103" s="13">
        <v>0.1</v>
      </c>
      <c r="LUJ103" s="13">
        <v>0.1</v>
      </c>
      <c r="LUK103" s="13">
        <v>0.1</v>
      </c>
      <c r="LUL103" s="13">
        <v>0.1</v>
      </c>
      <c r="LUM103" s="13">
        <v>0.1</v>
      </c>
      <c r="LUN103" s="13">
        <v>0.1</v>
      </c>
      <c r="LUO103" s="13">
        <v>0.1</v>
      </c>
      <c r="LUP103" s="13">
        <v>0.1</v>
      </c>
      <c r="LUQ103" s="13">
        <v>0.1</v>
      </c>
      <c r="LUR103" s="13">
        <v>0.1</v>
      </c>
      <c r="LUS103" s="13">
        <v>0.1</v>
      </c>
      <c r="LUT103" s="13">
        <v>0.1</v>
      </c>
      <c r="LUU103" s="13">
        <v>0.1</v>
      </c>
      <c r="LUV103" s="13">
        <v>0.1</v>
      </c>
      <c r="LUW103" s="13">
        <v>0.1</v>
      </c>
      <c r="LUX103" s="13">
        <v>0.1</v>
      </c>
      <c r="LUY103" s="13">
        <v>0.1</v>
      </c>
      <c r="LUZ103" s="13">
        <v>0.1</v>
      </c>
      <c r="LVA103" s="13">
        <v>0.1</v>
      </c>
      <c r="LVB103" s="13">
        <v>0.1</v>
      </c>
      <c r="LVC103" s="13">
        <v>0.1</v>
      </c>
      <c r="LVD103" s="13">
        <v>0.1</v>
      </c>
      <c r="LVE103" s="13">
        <v>0.1</v>
      </c>
      <c r="LVF103" s="13">
        <v>0.1</v>
      </c>
      <c r="LVG103" s="13">
        <v>0.1</v>
      </c>
      <c r="LVH103" s="13">
        <v>0.1</v>
      </c>
      <c r="LVI103" s="13">
        <v>0.1</v>
      </c>
      <c r="LVJ103" s="13">
        <v>0.1</v>
      </c>
      <c r="LVK103" s="13">
        <v>0.1</v>
      </c>
      <c r="LVL103" s="13">
        <v>0.1</v>
      </c>
      <c r="LVM103" s="13">
        <v>0.1</v>
      </c>
      <c r="LVN103" s="13">
        <v>0.1</v>
      </c>
      <c r="LVO103" s="13">
        <v>0.1</v>
      </c>
      <c r="LVP103" s="13">
        <v>0.1</v>
      </c>
      <c r="LVQ103" s="13">
        <v>0.1</v>
      </c>
      <c r="LVR103" s="13">
        <v>0.1</v>
      </c>
      <c r="LVS103" s="13">
        <v>0.1</v>
      </c>
      <c r="LVT103" s="13">
        <v>0.1</v>
      </c>
      <c r="LVU103" s="13">
        <v>0.1</v>
      </c>
      <c r="LVV103" s="13">
        <v>0.1</v>
      </c>
      <c r="LVW103" s="13">
        <v>0.1</v>
      </c>
      <c r="LVX103" s="13">
        <v>0.1</v>
      </c>
      <c r="LVY103" s="13">
        <v>0.1</v>
      </c>
      <c r="LVZ103" s="13">
        <v>0.1</v>
      </c>
      <c r="LWA103" s="13">
        <v>0.1</v>
      </c>
      <c r="LWB103" s="13">
        <v>0.1</v>
      </c>
      <c r="LWC103" s="13">
        <v>0.1</v>
      </c>
      <c r="LWD103" s="13">
        <v>0.1</v>
      </c>
      <c r="LWE103" s="13">
        <v>0.1</v>
      </c>
      <c r="LWF103" s="13">
        <v>0.1</v>
      </c>
      <c r="LWG103" s="13">
        <v>0.1</v>
      </c>
      <c r="LWH103" s="13">
        <v>0.1</v>
      </c>
      <c r="LWI103" s="13">
        <v>0.1</v>
      </c>
      <c r="LWJ103" s="13">
        <v>0.1</v>
      </c>
      <c r="LWK103" s="13">
        <v>0.1</v>
      </c>
      <c r="LWL103" s="13">
        <v>0.1</v>
      </c>
      <c r="LWM103" s="13">
        <v>0.1</v>
      </c>
      <c r="LWN103" s="13">
        <v>0.1</v>
      </c>
      <c r="LWO103" s="13">
        <v>0.1</v>
      </c>
      <c r="LWP103" s="13">
        <v>0.1</v>
      </c>
      <c r="LWQ103" s="13">
        <v>0.1</v>
      </c>
      <c r="LWR103" s="13">
        <v>0.1</v>
      </c>
      <c r="LWS103" s="13">
        <v>0.1</v>
      </c>
      <c r="LWT103" s="13">
        <v>0.1</v>
      </c>
      <c r="LWU103" s="13">
        <v>0.1</v>
      </c>
      <c r="LWV103" s="13">
        <v>0.1</v>
      </c>
      <c r="LWW103" s="13">
        <v>0.1</v>
      </c>
      <c r="LWX103" s="13">
        <v>0.1</v>
      </c>
      <c r="LWY103" s="13">
        <v>0.1</v>
      </c>
      <c r="LWZ103" s="13">
        <v>0.1</v>
      </c>
      <c r="LXA103" s="13">
        <v>0.1</v>
      </c>
      <c r="LXB103" s="13">
        <v>0.1</v>
      </c>
      <c r="LXC103" s="13">
        <v>0.1</v>
      </c>
      <c r="LXD103" s="13">
        <v>0.1</v>
      </c>
      <c r="LXE103" s="13">
        <v>0.1</v>
      </c>
      <c r="LXF103" s="13">
        <v>0.1</v>
      </c>
      <c r="LXG103" s="13">
        <v>0.1</v>
      </c>
      <c r="LXH103" s="13">
        <v>0.1</v>
      </c>
      <c r="LXI103" s="13">
        <v>0.1</v>
      </c>
      <c r="LXJ103" s="13">
        <v>0.1</v>
      </c>
      <c r="LXK103" s="13">
        <v>0.1</v>
      </c>
      <c r="LXL103" s="13">
        <v>0.1</v>
      </c>
      <c r="LXM103" s="13">
        <v>0.1</v>
      </c>
      <c r="LXN103" s="13">
        <v>0.1</v>
      </c>
      <c r="LXO103" s="13">
        <v>0.1</v>
      </c>
      <c r="LXP103" s="13">
        <v>0.1</v>
      </c>
      <c r="LXQ103" s="13">
        <v>0.1</v>
      </c>
      <c r="LXR103" s="13">
        <v>0.1</v>
      </c>
      <c r="LXS103" s="13">
        <v>0.1</v>
      </c>
      <c r="LXT103" s="13">
        <v>0.1</v>
      </c>
      <c r="LXU103" s="13">
        <v>0.1</v>
      </c>
      <c r="LXV103" s="13">
        <v>0.1</v>
      </c>
      <c r="LXW103" s="13">
        <v>0.1</v>
      </c>
      <c r="LXX103" s="13">
        <v>0.1</v>
      </c>
      <c r="LXY103" s="13">
        <v>0.1</v>
      </c>
      <c r="LXZ103" s="13">
        <v>0.1</v>
      </c>
      <c r="LYA103" s="13">
        <v>0.1</v>
      </c>
      <c r="LYB103" s="13">
        <v>0.1</v>
      </c>
      <c r="LYC103" s="13">
        <v>0.1</v>
      </c>
      <c r="LYD103" s="13">
        <v>0.1</v>
      </c>
      <c r="LYE103" s="13">
        <v>0.1</v>
      </c>
      <c r="LYF103" s="13">
        <v>0.1</v>
      </c>
      <c r="LYG103" s="13">
        <v>0.1</v>
      </c>
      <c r="LYH103" s="13">
        <v>0.1</v>
      </c>
      <c r="LYI103" s="13">
        <v>0.1</v>
      </c>
      <c r="LYJ103" s="13">
        <v>0.1</v>
      </c>
      <c r="LYK103" s="13">
        <v>0.1</v>
      </c>
      <c r="LYL103" s="13">
        <v>0.1</v>
      </c>
      <c r="LYM103" s="13">
        <v>0.1</v>
      </c>
      <c r="LYN103" s="13">
        <v>0.1</v>
      </c>
      <c r="LYO103" s="13">
        <v>0.1</v>
      </c>
      <c r="LYP103" s="13">
        <v>0.1</v>
      </c>
      <c r="LYQ103" s="13">
        <v>0.1</v>
      </c>
      <c r="LYR103" s="13">
        <v>0.1</v>
      </c>
      <c r="LYS103" s="13">
        <v>0.1</v>
      </c>
      <c r="LYT103" s="13">
        <v>0.1</v>
      </c>
      <c r="LYU103" s="13">
        <v>0.1</v>
      </c>
      <c r="LYV103" s="13">
        <v>0.1</v>
      </c>
      <c r="LYW103" s="13">
        <v>0.1</v>
      </c>
      <c r="LYX103" s="13">
        <v>0.1</v>
      </c>
      <c r="LYY103" s="13">
        <v>0.1</v>
      </c>
      <c r="LYZ103" s="13">
        <v>0.1</v>
      </c>
      <c r="LZA103" s="13">
        <v>0.1</v>
      </c>
      <c r="LZB103" s="13">
        <v>0.1</v>
      </c>
      <c r="LZC103" s="13">
        <v>0.1</v>
      </c>
      <c r="LZD103" s="13">
        <v>0.1</v>
      </c>
      <c r="LZE103" s="13">
        <v>0.1</v>
      </c>
      <c r="LZF103" s="13">
        <v>0.1</v>
      </c>
      <c r="LZG103" s="13">
        <v>0.1</v>
      </c>
      <c r="LZH103" s="13">
        <v>0.1</v>
      </c>
      <c r="LZI103" s="13">
        <v>0.1</v>
      </c>
      <c r="LZJ103" s="13">
        <v>0.1</v>
      </c>
      <c r="LZK103" s="13">
        <v>0.1</v>
      </c>
      <c r="LZL103" s="13">
        <v>0.1</v>
      </c>
      <c r="LZM103" s="13">
        <v>0.1</v>
      </c>
      <c r="LZN103" s="13">
        <v>0.1</v>
      </c>
      <c r="LZO103" s="13">
        <v>0.1</v>
      </c>
      <c r="LZP103" s="13">
        <v>0.1</v>
      </c>
      <c r="LZQ103" s="13">
        <v>0.1</v>
      </c>
      <c r="LZR103" s="13">
        <v>0.1</v>
      </c>
      <c r="LZS103" s="13">
        <v>0.1</v>
      </c>
      <c r="LZT103" s="13">
        <v>0.1</v>
      </c>
      <c r="LZU103" s="13">
        <v>0.1</v>
      </c>
      <c r="LZV103" s="13">
        <v>0.1</v>
      </c>
      <c r="LZW103" s="13">
        <v>0.1</v>
      </c>
      <c r="LZX103" s="13">
        <v>0.1</v>
      </c>
      <c r="LZY103" s="13">
        <v>0.1</v>
      </c>
      <c r="LZZ103" s="13">
        <v>0.1</v>
      </c>
      <c r="MAA103" s="13">
        <v>0.1</v>
      </c>
      <c r="MAB103" s="13">
        <v>0.1</v>
      </c>
      <c r="MAC103" s="13">
        <v>0.1</v>
      </c>
      <c r="MAD103" s="13">
        <v>0.1</v>
      </c>
      <c r="MAE103" s="13">
        <v>0.1</v>
      </c>
      <c r="MAF103" s="13">
        <v>0.1</v>
      </c>
      <c r="MAG103" s="13">
        <v>0.1</v>
      </c>
      <c r="MAH103" s="13">
        <v>0.1</v>
      </c>
      <c r="MAI103" s="13">
        <v>0.1</v>
      </c>
      <c r="MAJ103" s="13">
        <v>0.1</v>
      </c>
      <c r="MAK103" s="13">
        <v>0.1</v>
      </c>
      <c r="MAL103" s="13">
        <v>0.1</v>
      </c>
      <c r="MAM103" s="13">
        <v>0.1</v>
      </c>
      <c r="MAN103" s="13">
        <v>0.1</v>
      </c>
      <c r="MAO103" s="13">
        <v>0.1</v>
      </c>
      <c r="MAP103" s="13">
        <v>0.1</v>
      </c>
      <c r="MAQ103" s="13">
        <v>0.1</v>
      </c>
      <c r="MAR103" s="13">
        <v>0.1</v>
      </c>
      <c r="MAS103" s="13">
        <v>0.1</v>
      </c>
      <c r="MAT103" s="13">
        <v>0.1</v>
      </c>
      <c r="MAU103" s="13">
        <v>0.1</v>
      </c>
      <c r="MAV103" s="13">
        <v>0.1</v>
      </c>
      <c r="MAW103" s="13">
        <v>0.1</v>
      </c>
      <c r="MAX103" s="13">
        <v>0.1</v>
      </c>
      <c r="MAY103" s="13">
        <v>0.1</v>
      </c>
      <c r="MAZ103" s="13">
        <v>0.1</v>
      </c>
      <c r="MBA103" s="13">
        <v>0.1</v>
      </c>
      <c r="MBB103" s="13">
        <v>0.1</v>
      </c>
      <c r="MBC103" s="13">
        <v>0.1</v>
      </c>
      <c r="MBD103" s="13">
        <v>0.1</v>
      </c>
      <c r="MBE103" s="13">
        <v>0.1</v>
      </c>
      <c r="MBF103" s="13">
        <v>0.1</v>
      </c>
      <c r="MBG103" s="13">
        <v>0.1</v>
      </c>
      <c r="MBH103" s="13">
        <v>0.1</v>
      </c>
      <c r="MBI103" s="13">
        <v>0.1</v>
      </c>
      <c r="MBJ103" s="13">
        <v>0.1</v>
      </c>
      <c r="MBK103" s="13">
        <v>0.1</v>
      </c>
      <c r="MBL103" s="13">
        <v>0.1</v>
      </c>
      <c r="MBM103" s="13">
        <v>0.1</v>
      </c>
      <c r="MBN103" s="13">
        <v>0.1</v>
      </c>
      <c r="MBO103" s="13">
        <v>0.1</v>
      </c>
      <c r="MBP103" s="13">
        <v>0.1</v>
      </c>
      <c r="MBQ103" s="13">
        <v>0.1</v>
      </c>
      <c r="MBR103" s="13">
        <v>0.1</v>
      </c>
      <c r="MBS103" s="13">
        <v>0.1</v>
      </c>
      <c r="MBT103" s="13">
        <v>0.1</v>
      </c>
      <c r="MBU103" s="13">
        <v>0.1</v>
      </c>
      <c r="MBV103" s="13">
        <v>0.1</v>
      </c>
      <c r="MBW103" s="13">
        <v>0.1</v>
      </c>
      <c r="MBX103" s="13">
        <v>0.1</v>
      </c>
      <c r="MBY103" s="13">
        <v>0.1</v>
      </c>
      <c r="MBZ103" s="13">
        <v>0.1</v>
      </c>
      <c r="MCA103" s="13">
        <v>0.1</v>
      </c>
      <c r="MCB103" s="13">
        <v>0.1</v>
      </c>
      <c r="MCC103" s="13">
        <v>0.1</v>
      </c>
      <c r="MCD103" s="13">
        <v>0.1</v>
      </c>
      <c r="MCE103" s="13">
        <v>0.1</v>
      </c>
      <c r="MCF103" s="13">
        <v>0.1</v>
      </c>
      <c r="MCG103" s="13">
        <v>0.1</v>
      </c>
      <c r="MCH103" s="13">
        <v>0.1</v>
      </c>
      <c r="MCI103" s="13">
        <v>0.1</v>
      </c>
      <c r="MCJ103" s="13">
        <v>0.1</v>
      </c>
      <c r="MCK103" s="13">
        <v>0.1</v>
      </c>
      <c r="MCL103" s="13">
        <v>0.1</v>
      </c>
      <c r="MCM103" s="13">
        <v>0.1</v>
      </c>
      <c r="MCN103" s="13">
        <v>0.1</v>
      </c>
      <c r="MCO103" s="13">
        <v>0.1</v>
      </c>
      <c r="MCP103" s="13">
        <v>0.1</v>
      </c>
      <c r="MCQ103" s="13">
        <v>0.1</v>
      </c>
      <c r="MCR103" s="13">
        <v>0.1</v>
      </c>
      <c r="MCS103" s="13">
        <v>0.1</v>
      </c>
      <c r="MCT103" s="13">
        <v>0.1</v>
      </c>
      <c r="MCU103" s="13">
        <v>0.1</v>
      </c>
      <c r="MCV103" s="13">
        <v>0.1</v>
      </c>
      <c r="MCW103" s="13">
        <v>0.1</v>
      </c>
      <c r="MCX103" s="13">
        <v>0.1</v>
      </c>
      <c r="MCY103" s="13">
        <v>0.1</v>
      </c>
      <c r="MCZ103" s="13">
        <v>0.1</v>
      </c>
      <c r="MDA103" s="13">
        <v>0.1</v>
      </c>
      <c r="MDB103" s="13">
        <v>0.1</v>
      </c>
      <c r="MDC103" s="13">
        <v>0.1</v>
      </c>
      <c r="MDD103" s="13">
        <v>0.1</v>
      </c>
      <c r="MDE103" s="13">
        <v>0.1</v>
      </c>
      <c r="MDF103" s="13">
        <v>0.1</v>
      </c>
      <c r="MDG103" s="13">
        <v>0.1</v>
      </c>
      <c r="MDH103" s="13">
        <v>0.1</v>
      </c>
      <c r="MDI103" s="13">
        <v>0.1</v>
      </c>
      <c r="MDJ103" s="13">
        <v>0.1</v>
      </c>
      <c r="MDK103" s="13">
        <v>0.1</v>
      </c>
      <c r="MDL103" s="13">
        <v>0.1</v>
      </c>
      <c r="MDM103" s="13">
        <v>0.1</v>
      </c>
      <c r="MDN103" s="13">
        <v>0.1</v>
      </c>
      <c r="MDO103" s="13">
        <v>0.1</v>
      </c>
      <c r="MDP103" s="13">
        <v>0.1</v>
      </c>
      <c r="MDQ103" s="13">
        <v>0.1</v>
      </c>
      <c r="MDR103" s="13">
        <v>0.1</v>
      </c>
      <c r="MDS103" s="13">
        <v>0.1</v>
      </c>
      <c r="MDT103" s="13">
        <v>0.1</v>
      </c>
      <c r="MDU103" s="13">
        <v>0.1</v>
      </c>
      <c r="MDV103" s="13">
        <v>0.1</v>
      </c>
      <c r="MDW103" s="13">
        <v>0.1</v>
      </c>
      <c r="MDX103" s="13">
        <v>0.1</v>
      </c>
      <c r="MDY103" s="13">
        <v>0.1</v>
      </c>
      <c r="MDZ103" s="13">
        <v>0.1</v>
      </c>
      <c r="MEA103" s="13">
        <v>0.1</v>
      </c>
      <c r="MEB103" s="13">
        <v>0.1</v>
      </c>
      <c r="MEC103" s="13">
        <v>0.1</v>
      </c>
      <c r="MED103" s="13">
        <v>0.1</v>
      </c>
      <c r="MEE103" s="13">
        <v>0.1</v>
      </c>
      <c r="MEF103" s="13">
        <v>0.1</v>
      </c>
      <c r="MEG103" s="13">
        <v>0.1</v>
      </c>
      <c r="MEH103" s="13">
        <v>0.1</v>
      </c>
      <c r="MEI103" s="13">
        <v>0.1</v>
      </c>
      <c r="MEJ103" s="13">
        <v>0.1</v>
      </c>
      <c r="MEK103" s="13">
        <v>0.1</v>
      </c>
      <c r="MEL103" s="13">
        <v>0.1</v>
      </c>
      <c r="MEM103" s="13">
        <v>0.1</v>
      </c>
      <c r="MEN103" s="13">
        <v>0.1</v>
      </c>
      <c r="MEO103" s="13">
        <v>0.1</v>
      </c>
      <c r="MEP103" s="13">
        <v>0.1</v>
      </c>
      <c r="MEQ103" s="13">
        <v>0.1</v>
      </c>
      <c r="MER103" s="13">
        <v>0.1</v>
      </c>
      <c r="MES103" s="13">
        <v>0.1</v>
      </c>
      <c r="MET103" s="13">
        <v>0.1</v>
      </c>
      <c r="MEU103" s="13">
        <v>0.1</v>
      </c>
      <c r="MEV103" s="13">
        <v>0.1</v>
      </c>
      <c r="MEW103" s="13">
        <v>0.1</v>
      </c>
      <c r="MEX103" s="13">
        <v>0.1</v>
      </c>
      <c r="MEY103" s="13">
        <v>0.1</v>
      </c>
      <c r="MEZ103" s="13">
        <v>0.1</v>
      </c>
      <c r="MFA103" s="13">
        <v>0.1</v>
      </c>
      <c r="MFB103" s="13">
        <v>0.1</v>
      </c>
      <c r="MFC103" s="13">
        <v>0.1</v>
      </c>
      <c r="MFD103" s="13">
        <v>0.1</v>
      </c>
      <c r="MFE103" s="13">
        <v>0.1</v>
      </c>
      <c r="MFF103" s="13">
        <v>0.1</v>
      </c>
      <c r="MFG103" s="13">
        <v>0.1</v>
      </c>
      <c r="MFH103" s="13">
        <v>0.1</v>
      </c>
      <c r="MFI103" s="13">
        <v>0.1</v>
      </c>
      <c r="MFJ103" s="13">
        <v>0.1</v>
      </c>
      <c r="MFK103" s="13">
        <v>0.1</v>
      </c>
      <c r="MFL103" s="13">
        <v>0.1</v>
      </c>
      <c r="MFM103" s="13">
        <v>0.1</v>
      </c>
      <c r="MFN103" s="13">
        <v>0.1</v>
      </c>
      <c r="MFO103" s="13">
        <v>0.1</v>
      </c>
      <c r="MFP103" s="13">
        <v>0.1</v>
      </c>
      <c r="MFQ103" s="13">
        <v>0.1</v>
      </c>
      <c r="MFR103" s="13">
        <v>0.1</v>
      </c>
      <c r="MFS103" s="13">
        <v>0.1</v>
      </c>
      <c r="MFT103" s="13">
        <v>0.1</v>
      </c>
      <c r="MFU103" s="13">
        <v>0.1</v>
      </c>
      <c r="MFV103" s="13">
        <v>0.1</v>
      </c>
      <c r="MFW103" s="13">
        <v>0.1</v>
      </c>
      <c r="MFX103" s="13">
        <v>0.1</v>
      </c>
      <c r="MFY103" s="13">
        <v>0.1</v>
      </c>
      <c r="MFZ103" s="13">
        <v>0.1</v>
      </c>
      <c r="MGA103" s="13">
        <v>0.1</v>
      </c>
      <c r="MGB103" s="13">
        <v>0.1</v>
      </c>
      <c r="MGC103" s="13">
        <v>0.1</v>
      </c>
      <c r="MGD103" s="13">
        <v>0.1</v>
      </c>
      <c r="MGE103" s="13">
        <v>0.1</v>
      </c>
      <c r="MGF103" s="13">
        <v>0.1</v>
      </c>
      <c r="MGG103" s="13">
        <v>0.1</v>
      </c>
      <c r="MGH103" s="13">
        <v>0.1</v>
      </c>
      <c r="MGI103" s="13">
        <v>0.1</v>
      </c>
      <c r="MGJ103" s="13">
        <v>0.1</v>
      </c>
      <c r="MGK103" s="13">
        <v>0.1</v>
      </c>
      <c r="MGL103" s="13">
        <v>0.1</v>
      </c>
      <c r="MGM103" s="13">
        <v>0.1</v>
      </c>
      <c r="MGN103" s="13">
        <v>0.1</v>
      </c>
      <c r="MGO103" s="13">
        <v>0.1</v>
      </c>
      <c r="MGP103" s="13">
        <v>0.1</v>
      </c>
      <c r="MGQ103" s="13">
        <v>0.1</v>
      </c>
      <c r="MGR103" s="13">
        <v>0.1</v>
      </c>
      <c r="MGS103" s="13">
        <v>0.1</v>
      </c>
      <c r="MGT103" s="13">
        <v>0.1</v>
      </c>
      <c r="MGU103" s="13">
        <v>0.1</v>
      </c>
      <c r="MGV103" s="13">
        <v>0.1</v>
      </c>
      <c r="MGW103" s="13">
        <v>0.1</v>
      </c>
      <c r="MGX103" s="13">
        <v>0.1</v>
      </c>
      <c r="MGY103" s="13">
        <v>0.1</v>
      </c>
      <c r="MGZ103" s="13">
        <v>0.1</v>
      </c>
      <c r="MHA103" s="13">
        <v>0.1</v>
      </c>
      <c r="MHB103" s="13">
        <v>0.1</v>
      </c>
      <c r="MHC103" s="13">
        <v>0.1</v>
      </c>
      <c r="MHD103" s="13">
        <v>0.1</v>
      </c>
      <c r="MHE103" s="13">
        <v>0.1</v>
      </c>
      <c r="MHF103" s="13">
        <v>0.1</v>
      </c>
      <c r="MHG103" s="13">
        <v>0.1</v>
      </c>
      <c r="MHH103" s="13">
        <v>0.1</v>
      </c>
      <c r="MHI103" s="13">
        <v>0.1</v>
      </c>
      <c r="MHJ103" s="13">
        <v>0.1</v>
      </c>
      <c r="MHK103" s="13">
        <v>0.1</v>
      </c>
      <c r="MHL103" s="13">
        <v>0.1</v>
      </c>
      <c r="MHM103" s="13">
        <v>0.1</v>
      </c>
      <c r="MHN103" s="13">
        <v>0.1</v>
      </c>
      <c r="MHO103" s="13">
        <v>0.1</v>
      </c>
      <c r="MHP103" s="13">
        <v>0.1</v>
      </c>
      <c r="MHQ103" s="13">
        <v>0.1</v>
      </c>
      <c r="MHR103" s="13">
        <v>0.1</v>
      </c>
      <c r="MHS103" s="13">
        <v>0.1</v>
      </c>
      <c r="MHT103" s="13">
        <v>0.1</v>
      </c>
      <c r="MHU103" s="13">
        <v>0.1</v>
      </c>
      <c r="MHV103" s="13">
        <v>0.1</v>
      </c>
      <c r="MHW103" s="13">
        <v>0.1</v>
      </c>
      <c r="MHX103" s="13">
        <v>0.1</v>
      </c>
      <c r="MHY103" s="13">
        <v>0.1</v>
      </c>
      <c r="MHZ103" s="13">
        <v>0.1</v>
      </c>
      <c r="MIA103" s="13">
        <v>0.1</v>
      </c>
      <c r="MIB103" s="13">
        <v>0.1</v>
      </c>
      <c r="MIC103" s="13">
        <v>0.1</v>
      </c>
      <c r="MID103" s="13">
        <v>0.1</v>
      </c>
      <c r="MIE103" s="13">
        <v>0.1</v>
      </c>
      <c r="MIF103" s="13">
        <v>0.1</v>
      </c>
      <c r="MIG103" s="13">
        <v>0.1</v>
      </c>
      <c r="MIH103" s="13">
        <v>0.1</v>
      </c>
      <c r="MII103" s="13">
        <v>0.1</v>
      </c>
      <c r="MIJ103" s="13">
        <v>0.1</v>
      </c>
      <c r="MIK103" s="13">
        <v>0.1</v>
      </c>
      <c r="MIL103" s="13">
        <v>0.1</v>
      </c>
      <c r="MIM103" s="13">
        <v>0.1</v>
      </c>
      <c r="MIN103" s="13">
        <v>0.1</v>
      </c>
      <c r="MIO103" s="13">
        <v>0.1</v>
      </c>
      <c r="MIP103" s="13">
        <v>0.1</v>
      </c>
      <c r="MIQ103" s="13">
        <v>0.1</v>
      </c>
      <c r="MIR103" s="13">
        <v>0.1</v>
      </c>
      <c r="MIS103" s="13">
        <v>0.1</v>
      </c>
      <c r="MIT103" s="13">
        <v>0.1</v>
      </c>
      <c r="MIU103" s="13">
        <v>0.1</v>
      </c>
      <c r="MIV103" s="13">
        <v>0.1</v>
      </c>
      <c r="MIW103" s="13">
        <v>0.1</v>
      </c>
      <c r="MIX103" s="13">
        <v>0.1</v>
      </c>
      <c r="MIY103" s="13">
        <v>0.1</v>
      </c>
      <c r="MIZ103" s="13">
        <v>0.1</v>
      </c>
      <c r="MJA103" s="13">
        <v>0.1</v>
      </c>
      <c r="MJB103" s="13">
        <v>0.1</v>
      </c>
      <c r="MJC103" s="13">
        <v>0.1</v>
      </c>
      <c r="MJD103" s="13">
        <v>0.1</v>
      </c>
      <c r="MJE103" s="13">
        <v>0.1</v>
      </c>
      <c r="MJF103" s="13">
        <v>0.1</v>
      </c>
      <c r="MJG103" s="13">
        <v>0.1</v>
      </c>
      <c r="MJH103" s="13">
        <v>0.1</v>
      </c>
      <c r="MJI103" s="13">
        <v>0.1</v>
      </c>
      <c r="MJJ103" s="13">
        <v>0.1</v>
      </c>
      <c r="MJK103" s="13">
        <v>0.1</v>
      </c>
      <c r="MJL103" s="13">
        <v>0.1</v>
      </c>
      <c r="MJM103" s="13">
        <v>0.1</v>
      </c>
      <c r="MJN103" s="13">
        <v>0.1</v>
      </c>
      <c r="MJO103" s="13">
        <v>0.1</v>
      </c>
      <c r="MJP103" s="13">
        <v>0.1</v>
      </c>
      <c r="MJQ103" s="13">
        <v>0.1</v>
      </c>
      <c r="MJR103" s="13">
        <v>0.1</v>
      </c>
      <c r="MJS103" s="13">
        <v>0.1</v>
      </c>
      <c r="MJT103" s="13">
        <v>0.1</v>
      </c>
      <c r="MJU103" s="13">
        <v>0.1</v>
      </c>
      <c r="MJV103" s="13">
        <v>0.1</v>
      </c>
      <c r="MJW103" s="13">
        <v>0.1</v>
      </c>
      <c r="MJX103" s="13">
        <v>0.1</v>
      </c>
      <c r="MJY103" s="13">
        <v>0.1</v>
      </c>
      <c r="MJZ103" s="13">
        <v>0.1</v>
      </c>
      <c r="MKA103" s="13">
        <v>0.1</v>
      </c>
      <c r="MKB103" s="13">
        <v>0.1</v>
      </c>
      <c r="MKC103" s="13">
        <v>0.1</v>
      </c>
      <c r="MKD103" s="13">
        <v>0.1</v>
      </c>
      <c r="MKE103" s="13">
        <v>0.1</v>
      </c>
      <c r="MKF103" s="13">
        <v>0.1</v>
      </c>
      <c r="MKG103" s="13">
        <v>0.1</v>
      </c>
      <c r="MKH103" s="13">
        <v>0.1</v>
      </c>
      <c r="MKI103" s="13">
        <v>0.1</v>
      </c>
      <c r="MKJ103" s="13">
        <v>0.1</v>
      </c>
      <c r="MKK103" s="13">
        <v>0.1</v>
      </c>
      <c r="MKL103" s="13">
        <v>0.1</v>
      </c>
      <c r="MKM103" s="13">
        <v>0.1</v>
      </c>
      <c r="MKN103" s="13">
        <v>0.1</v>
      </c>
      <c r="MKO103" s="13">
        <v>0.1</v>
      </c>
      <c r="MKP103" s="13">
        <v>0.1</v>
      </c>
      <c r="MKQ103" s="13">
        <v>0.1</v>
      </c>
      <c r="MKR103" s="13">
        <v>0.1</v>
      </c>
      <c r="MKS103" s="13">
        <v>0.1</v>
      </c>
      <c r="MKT103" s="13">
        <v>0.1</v>
      </c>
      <c r="MKU103" s="13">
        <v>0.1</v>
      </c>
      <c r="MKV103" s="13">
        <v>0.1</v>
      </c>
      <c r="MKW103" s="13">
        <v>0.1</v>
      </c>
      <c r="MKX103" s="13">
        <v>0.1</v>
      </c>
      <c r="MKY103" s="13">
        <v>0.1</v>
      </c>
      <c r="MKZ103" s="13">
        <v>0.1</v>
      </c>
      <c r="MLA103" s="13">
        <v>0.1</v>
      </c>
      <c r="MLB103" s="13">
        <v>0.1</v>
      </c>
      <c r="MLC103" s="13">
        <v>0.1</v>
      </c>
      <c r="MLD103" s="13">
        <v>0.1</v>
      </c>
      <c r="MLE103" s="13">
        <v>0.1</v>
      </c>
      <c r="MLF103" s="13">
        <v>0.1</v>
      </c>
      <c r="MLG103" s="13">
        <v>0.1</v>
      </c>
      <c r="MLH103" s="13">
        <v>0.1</v>
      </c>
      <c r="MLI103" s="13">
        <v>0.1</v>
      </c>
      <c r="MLJ103" s="13">
        <v>0.1</v>
      </c>
      <c r="MLK103" s="13">
        <v>0.1</v>
      </c>
      <c r="MLL103" s="13">
        <v>0.1</v>
      </c>
      <c r="MLM103" s="13">
        <v>0.1</v>
      </c>
      <c r="MLN103" s="13">
        <v>0.1</v>
      </c>
      <c r="MLO103" s="13">
        <v>0.1</v>
      </c>
      <c r="MLP103" s="13">
        <v>0.1</v>
      </c>
      <c r="MLQ103" s="13">
        <v>0.1</v>
      </c>
      <c r="MLR103" s="13">
        <v>0.1</v>
      </c>
      <c r="MLS103" s="13">
        <v>0.1</v>
      </c>
      <c r="MLT103" s="13">
        <v>0.1</v>
      </c>
      <c r="MLU103" s="13">
        <v>0.1</v>
      </c>
      <c r="MLV103" s="13">
        <v>0.1</v>
      </c>
      <c r="MLW103" s="13">
        <v>0.1</v>
      </c>
      <c r="MLX103" s="13">
        <v>0.1</v>
      </c>
      <c r="MLY103" s="13">
        <v>0.1</v>
      </c>
      <c r="MLZ103" s="13">
        <v>0.1</v>
      </c>
      <c r="MMA103" s="13">
        <v>0.1</v>
      </c>
      <c r="MMB103" s="13">
        <v>0.1</v>
      </c>
      <c r="MMC103" s="13">
        <v>0.1</v>
      </c>
      <c r="MMD103" s="13">
        <v>0.1</v>
      </c>
      <c r="MME103" s="13">
        <v>0.1</v>
      </c>
      <c r="MMF103" s="13">
        <v>0.1</v>
      </c>
      <c r="MMG103" s="13">
        <v>0.1</v>
      </c>
      <c r="MMH103" s="13">
        <v>0.1</v>
      </c>
      <c r="MMI103" s="13">
        <v>0.1</v>
      </c>
      <c r="MMJ103" s="13">
        <v>0.1</v>
      </c>
      <c r="MMK103" s="13">
        <v>0.1</v>
      </c>
      <c r="MML103" s="13">
        <v>0.1</v>
      </c>
      <c r="MMM103" s="13">
        <v>0.1</v>
      </c>
      <c r="MMN103" s="13">
        <v>0.1</v>
      </c>
      <c r="MMO103" s="13">
        <v>0.1</v>
      </c>
      <c r="MMP103" s="13">
        <v>0.1</v>
      </c>
      <c r="MMQ103" s="13">
        <v>0.1</v>
      </c>
      <c r="MMR103" s="13">
        <v>0.1</v>
      </c>
      <c r="MMS103" s="13">
        <v>0.1</v>
      </c>
      <c r="MMT103" s="13">
        <v>0.1</v>
      </c>
      <c r="MMU103" s="13">
        <v>0.1</v>
      </c>
      <c r="MMV103" s="13">
        <v>0.1</v>
      </c>
      <c r="MMW103" s="13">
        <v>0.1</v>
      </c>
      <c r="MMX103" s="13">
        <v>0.1</v>
      </c>
      <c r="MMY103" s="13">
        <v>0.1</v>
      </c>
      <c r="MMZ103" s="13">
        <v>0.1</v>
      </c>
      <c r="MNA103" s="13">
        <v>0.1</v>
      </c>
      <c r="MNB103" s="13">
        <v>0.1</v>
      </c>
      <c r="MNC103" s="13">
        <v>0.1</v>
      </c>
      <c r="MND103" s="13">
        <v>0.1</v>
      </c>
      <c r="MNE103" s="13">
        <v>0.1</v>
      </c>
      <c r="MNF103" s="13">
        <v>0.1</v>
      </c>
      <c r="MNG103" s="13">
        <v>0.1</v>
      </c>
      <c r="MNH103" s="13">
        <v>0.1</v>
      </c>
      <c r="MNI103" s="13">
        <v>0.1</v>
      </c>
      <c r="MNJ103" s="13">
        <v>0.1</v>
      </c>
      <c r="MNK103" s="13">
        <v>0.1</v>
      </c>
      <c r="MNL103" s="13">
        <v>0.1</v>
      </c>
      <c r="MNM103" s="13">
        <v>0.1</v>
      </c>
      <c r="MNN103" s="13">
        <v>0.1</v>
      </c>
      <c r="MNO103" s="13">
        <v>0.1</v>
      </c>
      <c r="MNP103" s="13">
        <v>0.1</v>
      </c>
      <c r="MNQ103" s="13">
        <v>0.1</v>
      </c>
      <c r="MNR103" s="13">
        <v>0.1</v>
      </c>
      <c r="MNS103" s="13">
        <v>0.1</v>
      </c>
      <c r="MNT103" s="13">
        <v>0.1</v>
      </c>
      <c r="MNU103" s="13">
        <v>0.1</v>
      </c>
      <c r="MNV103" s="13">
        <v>0.1</v>
      </c>
      <c r="MNW103" s="13">
        <v>0.1</v>
      </c>
      <c r="MNX103" s="13">
        <v>0.1</v>
      </c>
      <c r="MNY103" s="13">
        <v>0.1</v>
      </c>
      <c r="MNZ103" s="13">
        <v>0.1</v>
      </c>
      <c r="MOA103" s="13">
        <v>0.1</v>
      </c>
      <c r="MOB103" s="13">
        <v>0.1</v>
      </c>
      <c r="MOC103" s="13">
        <v>0.1</v>
      </c>
      <c r="MOD103" s="13">
        <v>0.1</v>
      </c>
      <c r="MOE103" s="13">
        <v>0.1</v>
      </c>
      <c r="MOF103" s="13">
        <v>0.1</v>
      </c>
      <c r="MOG103" s="13">
        <v>0.1</v>
      </c>
      <c r="MOH103" s="13">
        <v>0.1</v>
      </c>
      <c r="MOI103" s="13">
        <v>0.1</v>
      </c>
      <c r="MOJ103" s="13">
        <v>0.1</v>
      </c>
      <c r="MOK103" s="13">
        <v>0.1</v>
      </c>
      <c r="MOL103" s="13">
        <v>0.1</v>
      </c>
      <c r="MOM103" s="13">
        <v>0.1</v>
      </c>
      <c r="MON103" s="13">
        <v>0.1</v>
      </c>
      <c r="MOO103" s="13">
        <v>0.1</v>
      </c>
      <c r="MOP103" s="13">
        <v>0.1</v>
      </c>
      <c r="MOQ103" s="13">
        <v>0.1</v>
      </c>
      <c r="MOR103" s="13">
        <v>0.1</v>
      </c>
      <c r="MOS103" s="13">
        <v>0.1</v>
      </c>
      <c r="MOT103" s="13">
        <v>0.1</v>
      </c>
      <c r="MOU103" s="13">
        <v>0.1</v>
      </c>
      <c r="MOV103" s="13">
        <v>0.1</v>
      </c>
      <c r="MOW103" s="13">
        <v>0.1</v>
      </c>
      <c r="MOX103" s="13">
        <v>0.1</v>
      </c>
      <c r="MOY103" s="13">
        <v>0.1</v>
      </c>
      <c r="MOZ103" s="13">
        <v>0.1</v>
      </c>
      <c r="MPA103" s="13">
        <v>0.1</v>
      </c>
      <c r="MPB103" s="13">
        <v>0.1</v>
      </c>
      <c r="MPC103" s="13">
        <v>0.1</v>
      </c>
      <c r="MPD103" s="13">
        <v>0.1</v>
      </c>
      <c r="MPE103" s="13">
        <v>0.1</v>
      </c>
      <c r="MPF103" s="13">
        <v>0.1</v>
      </c>
      <c r="MPG103" s="13">
        <v>0.1</v>
      </c>
      <c r="MPH103" s="13">
        <v>0.1</v>
      </c>
      <c r="MPI103" s="13">
        <v>0.1</v>
      </c>
      <c r="MPJ103" s="13">
        <v>0.1</v>
      </c>
      <c r="MPK103" s="13">
        <v>0.1</v>
      </c>
      <c r="MPL103" s="13">
        <v>0.1</v>
      </c>
      <c r="MPM103" s="13">
        <v>0.1</v>
      </c>
      <c r="MPN103" s="13">
        <v>0.1</v>
      </c>
      <c r="MPO103" s="13">
        <v>0.1</v>
      </c>
      <c r="MPP103" s="13">
        <v>0.1</v>
      </c>
      <c r="MPQ103" s="13">
        <v>0.1</v>
      </c>
      <c r="MPR103" s="13">
        <v>0.1</v>
      </c>
      <c r="MPS103" s="13">
        <v>0.1</v>
      </c>
      <c r="MPT103" s="13">
        <v>0.1</v>
      </c>
      <c r="MPU103" s="13">
        <v>0.1</v>
      </c>
      <c r="MPV103" s="13">
        <v>0.1</v>
      </c>
      <c r="MPW103" s="13">
        <v>0.1</v>
      </c>
      <c r="MPX103" s="13">
        <v>0.1</v>
      </c>
      <c r="MPY103" s="13">
        <v>0.1</v>
      </c>
      <c r="MPZ103" s="13">
        <v>0.1</v>
      </c>
      <c r="MQA103" s="13">
        <v>0.1</v>
      </c>
      <c r="MQB103" s="13">
        <v>0.1</v>
      </c>
      <c r="MQC103" s="13">
        <v>0.1</v>
      </c>
      <c r="MQD103" s="13">
        <v>0.1</v>
      </c>
      <c r="MQE103" s="13">
        <v>0.1</v>
      </c>
      <c r="MQF103" s="13">
        <v>0.1</v>
      </c>
      <c r="MQG103" s="13">
        <v>0.1</v>
      </c>
      <c r="MQH103" s="13">
        <v>0.1</v>
      </c>
      <c r="MQI103" s="13">
        <v>0.1</v>
      </c>
      <c r="MQJ103" s="13">
        <v>0.1</v>
      </c>
      <c r="MQK103" s="13">
        <v>0.1</v>
      </c>
      <c r="MQL103" s="13">
        <v>0.1</v>
      </c>
      <c r="MQM103" s="13">
        <v>0.1</v>
      </c>
      <c r="MQN103" s="13">
        <v>0.1</v>
      </c>
      <c r="MQO103" s="13">
        <v>0.1</v>
      </c>
      <c r="MQP103" s="13">
        <v>0.1</v>
      </c>
      <c r="MQQ103" s="13">
        <v>0.1</v>
      </c>
      <c r="MQR103" s="13">
        <v>0.1</v>
      </c>
      <c r="MQS103" s="13">
        <v>0.1</v>
      </c>
      <c r="MQT103" s="13">
        <v>0.1</v>
      </c>
      <c r="MQU103" s="13">
        <v>0.1</v>
      </c>
      <c r="MQV103" s="13">
        <v>0.1</v>
      </c>
      <c r="MQW103" s="13">
        <v>0.1</v>
      </c>
      <c r="MQX103" s="13">
        <v>0.1</v>
      </c>
      <c r="MQY103" s="13">
        <v>0.1</v>
      </c>
      <c r="MQZ103" s="13">
        <v>0.1</v>
      </c>
      <c r="MRA103" s="13">
        <v>0.1</v>
      </c>
      <c r="MRB103" s="13">
        <v>0.1</v>
      </c>
      <c r="MRC103" s="13">
        <v>0.1</v>
      </c>
      <c r="MRD103" s="13">
        <v>0.1</v>
      </c>
      <c r="MRE103" s="13">
        <v>0.1</v>
      </c>
      <c r="MRF103" s="13">
        <v>0.1</v>
      </c>
      <c r="MRG103" s="13">
        <v>0.1</v>
      </c>
      <c r="MRH103" s="13">
        <v>0.1</v>
      </c>
      <c r="MRI103" s="13">
        <v>0.1</v>
      </c>
      <c r="MRJ103" s="13">
        <v>0.1</v>
      </c>
      <c r="MRK103" s="13">
        <v>0.1</v>
      </c>
      <c r="MRL103" s="13">
        <v>0.1</v>
      </c>
      <c r="MRM103" s="13">
        <v>0.1</v>
      </c>
      <c r="MRN103" s="13">
        <v>0.1</v>
      </c>
      <c r="MRO103" s="13">
        <v>0.1</v>
      </c>
      <c r="MRP103" s="13">
        <v>0.1</v>
      </c>
      <c r="MRQ103" s="13">
        <v>0.1</v>
      </c>
      <c r="MRR103" s="13">
        <v>0.1</v>
      </c>
      <c r="MRS103" s="13">
        <v>0.1</v>
      </c>
      <c r="MRT103" s="13">
        <v>0.1</v>
      </c>
      <c r="MRU103" s="13">
        <v>0.1</v>
      </c>
      <c r="MRV103" s="13">
        <v>0.1</v>
      </c>
      <c r="MRW103" s="13">
        <v>0.1</v>
      </c>
      <c r="MRX103" s="13">
        <v>0.1</v>
      </c>
      <c r="MRY103" s="13">
        <v>0.1</v>
      </c>
      <c r="MRZ103" s="13">
        <v>0.1</v>
      </c>
      <c r="MSA103" s="13">
        <v>0.1</v>
      </c>
      <c r="MSB103" s="13">
        <v>0.1</v>
      </c>
      <c r="MSC103" s="13">
        <v>0.1</v>
      </c>
      <c r="MSD103" s="13">
        <v>0.1</v>
      </c>
      <c r="MSE103" s="13">
        <v>0.1</v>
      </c>
      <c r="MSF103" s="13">
        <v>0.1</v>
      </c>
      <c r="MSG103" s="13">
        <v>0.1</v>
      </c>
      <c r="MSH103" s="13">
        <v>0.1</v>
      </c>
      <c r="MSI103" s="13">
        <v>0.1</v>
      </c>
      <c r="MSJ103" s="13">
        <v>0.1</v>
      </c>
      <c r="MSK103" s="13">
        <v>0.1</v>
      </c>
      <c r="MSL103" s="13">
        <v>0.1</v>
      </c>
      <c r="MSM103" s="13">
        <v>0.1</v>
      </c>
      <c r="MSN103" s="13">
        <v>0.1</v>
      </c>
      <c r="MSO103" s="13">
        <v>0.1</v>
      </c>
      <c r="MSP103" s="13">
        <v>0.1</v>
      </c>
      <c r="MSQ103" s="13">
        <v>0.1</v>
      </c>
      <c r="MSR103" s="13">
        <v>0.1</v>
      </c>
      <c r="MSS103" s="13">
        <v>0.1</v>
      </c>
      <c r="MST103" s="13">
        <v>0.1</v>
      </c>
      <c r="MSU103" s="13">
        <v>0.1</v>
      </c>
      <c r="MSV103" s="13">
        <v>0.1</v>
      </c>
      <c r="MSW103" s="13">
        <v>0.1</v>
      </c>
      <c r="MSX103" s="13">
        <v>0.1</v>
      </c>
      <c r="MSY103" s="13">
        <v>0.1</v>
      </c>
      <c r="MSZ103" s="13">
        <v>0.1</v>
      </c>
      <c r="MTA103" s="13">
        <v>0.1</v>
      </c>
      <c r="MTB103" s="13">
        <v>0.1</v>
      </c>
      <c r="MTC103" s="13">
        <v>0.1</v>
      </c>
      <c r="MTD103" s="13">
        <v>0.1</v>
      </c>
      <c r="MTE103" s="13">
        <v>0.1</v>
      </c>
      <c r="MTF103" s="13">
        <v>0.1</v>
      </c>
      <c r="MTG103" s="13">
        <v>0.1</v>
      </c>
      <c r="MTH103" s="13">
        <v>0.1</v>
      </c>
      <c r="MTI103" s="13">
        <v>0.1</v>
      </c>
      <c r="MTJ103" s="13">
        <v>0.1</v>
      </c>
      <c r="MTK103" s="13">
        <v>0.1</v>
      </c>
      <c r="MTL103" s="13">
        <v>0.1</v>
      </c>
      <c r="MTM103" s="13">
        <v>0.1</v>
      </c>
      <c r="MTN103" s="13">
        <v>0.1</v>
      </c>
      <c r="MTO103" s="13">
        <v>0.1</v>
      </c>
      <c r="MTP103" s="13">
        <v>0.1</v>
      </c>
      <c r="MTQ103" s="13">
        <v>0.1</v>
      </c>
      <c r="MTR103" s="13">
        <v>0.1</v>
      </c>
      <c r="MTS103" s="13">
        <v>0.1</v>
      </c>
      <c r="MTT103" s="13">
        <v>0.1</v>
      </c>
      <c r="MTU103" s="13">
        <v>0.1</v>
      </c>
      <c r="MTV103" s="13">
        <v>0.1</v>
      </c>
      <c r="MTW103" s="13">
        <v>0.1</v>
      </c>
      <c r="MTX103" s="13">
        <v>0.1</v>
      </c>
      <c r="MTY103" s="13">
        <v>0.1</v>
      </c>
      <c r="MTZ103" s="13">
        <v>0.1</v>
      </c>
      <c r="MUA103" s="13">
        <v>0.1</v>
      </c>
      <c r="MUB103" s="13">
        <v>0.1</v>
      </c>
      <c r="MUC103" s="13">
        <v>0.1</v>
      </c>
      <c r="MUD103" s="13">
        <v>0.1</v>
      </c>
      <c r="MUE103" s="13">
        <v>0.1</v>
      </c>
      <c r="MUF103" s="13">
        <v>0.1</v>
      </c>
      <c r="MUG103" s="13">
        <v>0.1</v>
      </c>
      <c r="MUH103" s="13">
        <v>0.1</v>
      </c>
      <c r="MUI103" s="13">
        <v>0.1</v>
      </c>
      <c r="MUJ103" s="13">
        <v>0.1</v>
      </c>
      <c r="MUK103" s="13">
        <v>0.1</v>
      </c>
      <c r="MUL103" s="13">
        <v>0.1</v>
      </c>
      <c r="MUM103" s="13">
        <v>0.1</v>
      </c>
      <c r="MUN103" s="13">
        <v>0.1</v>
      </c>
      <c r="MUO103" s="13">
        <v>0.1</v>
      </c>
      <c r="MUP103" s="13">
        <v>0.1</v>
      </c>
      <c r="MUQ103" s="13">
        <v>0.1</v>
      </c>
      <c r="MUR103" s="13">
        <v>0.1</v>
      </c>
      <c r="MUS103" s="13">
        <v>0.1</v>
      </c>
      <c r="MUT103" s="13">
        <v>0.1</v>
      </c>
      <c r="MUU103" s="13">
        <v>0.1</v>
      </c>
      <c r="MUV103" s="13">
        <v>0.1</v>
      </c>
      <c r="MUW103" s="13">
        <v>0.1</v>
      </c>
      <c r="MUX103" s="13">
        <v>0.1</v>
      </c>
      <c r="MUY103" s="13">
        <v>0.1</v>
      </c>
      <c r="MUZ103" s="13">
        <v>0.1</v>
      </c>
      <c r="MVA103" s="13">
        <v>0.1</v>
      </c>
      <c r="MVB103" s="13">
        <v>0.1</v>
      </c>
      <c r="MVC103" s="13">
        <v>0.1</v>
      </c>
      <c r="MVD103" s="13">
        <v>0.1</v>
      </c>
      <c r="MVE103" s="13">
        <v>0.1</v>
      </c>
      <c r="MVF103" s="13">
        <v>0.1</v>
      </c>
      <c r="MVG103" s="13">
        <v>0.1</v>
      </c>
      <c r="MVH103" s="13">
        <v>0.1</v>
      </c>
      <c r="MVI103" s="13">
        <v>0.1</v>
      </c>
      <c r="MVJ103" s="13">
        <v>0.1</v>
      </c>
      <c r="MVK103" s="13">
        <v>0.1</v>
      </c>
      <c r="MVL103" s="13">
        <v>0.1</v>
      </c>
      <c r="MVM103" s="13">
        <v>0.1</v>
      </c>
      <c r="MVN103" s="13">
        <v>0.1</v>
      </c>
      <c r="MVO103" s="13">
        <v>0.1</v>
      </c>
      <c r="MVP103" s="13">
        <v>0.1</v>
      </c>
      <c r="MVQ103" s="13">
        <v>0.1</v>
      </c>
      <c r="MVR103" s="13">
        <v>0.1</v>
      </c>
      <c r="MVS103" s="13">
        <v>0.1</v>
      </c>
      <c r="MVT103" s="13">
        <v>0.1</v>
      </c>
      <c r="MVU103" s="13">
        <v>0.1</v>
      </c>
      <c r="MVV103" s="13">
        <v>0.1</v>
      </c>
      <c r="MVW103" s="13">
        <v>0.1</v>
      </c>
      <c r="MVX103" s="13">
        <v>0.1</v>
      </c>
      <c r="MVY103" s="13">
        <v>0.1</v>
      </c>
      <c r="MVZ103" s="13">
        <v>0.1</v>
      </c>
      <c r="MWA103" s="13">
        <v>0.1</v>
      </c>
      <c r="MWB103" s="13">
        <v>0.1</v>
      </c>
      <c r="MWC103" s="13">
        <v>0.1</v>
      </c>
      <c r="MWD103" s="13">
        <v>0.1</v>
      </c>
      <c r="MWE103" s="13">
        <v>0.1</v>
      </c>
      <c r="MWF103" s="13">
        <v>0.1</v>
      </c>
      <c r="MWG103" s="13">
        <v>0.1</v>
      </c>
      <c r="MWH103" s="13">
        <v>0.1</v>
      </c>
      <c r="MWI103" s="13">
        <v>0.1</v>
      </c>
      <c r="MWJ103" s="13">
        <v>0.1</v>
      </c>
      <c r="MWK103" s="13">
        <v>0.1</v>
      </c>
      <c r="MWL103" s="13">
        <v>0.1</v>
      </c>
      <c r="MWM103" s="13">
        <v>0.1</v>
      </c>
      <c r="MWN103" s="13">
        <v>0.1</v>
      </c>
      <c r="MWO103" s="13">
        <v>0.1</v>
      </c>
      <c r="MWP103" s="13">
        <v>0.1</v>
      </c>
      <c r="MWQ103" s="13">
        <v>0.1</v>
      </c>
      <c r="MWR103" s="13">
        <v>0.1</v>
      </c>
      <c r="MWS103" s="13">
        <v>0.1</v>
      </c>
      <c r="MWT103" s="13">
        <v>0.1</v>
      </c>
      <c r="MWU103" s="13">
        <v>0.1</v>
      </c>
      <c r="MWV103" s="13">
        <v>0.1</v>
      </c>
      <c r="MWW103" s="13">
        <v>0.1</v>
      </c>
      <c r="MWX103" s="13">
        <v>0.1</v>
      </c>
      <c r="MWY103" s="13">
        <v>0.1</v>
      </c>
      <c r="MWZ103" s="13">
        <v>0.1</v>
      </c>
      <c r="MXA103" s="13">
        <v>0.1</v>
      </c>
      <c r="MXB103" s="13">
        <v>0.1</v>
      </c>
      <c r="MXC103" s="13">
        <v>0.1</v>
      </c>
      <c r="MXD103" s="13">
        <v>0.1</v>
      </c>
      <c r="MXE103" s="13">
        <v>0.1</v>
      </c>
      <c r="MXF103" s="13">
        <v>0.1</v>
      </c>
      <c r="MXG103" s="13">
        <v>0.1</v>
      </c>
      <c r="MXH103" s="13">
        <v>0.1</v>
      </c>
      <c r="MXI103" s="13">
        <v>0.1</v>
      </c>
      <c r="MXJ103" s="13">
        <v>0.1</v>
      </c>
      <c r="MXK103" s="13">
        <v>0.1</v>
      </c>
      <c r="MXL103" s="13">
        <v>0.1</v>
      </c>
      <c r="MXM103" s="13">
        <v>0.1</v>
      </c>
      <c r="MXN103" s="13">
        <v>0.1</v>
      </c>
      <c r="MXO103" s="13">
        <v>0.1</v>
      </c>
      <c r="MXP103" s="13">
        <v>0.1</v>
      </c>
      <c r="MXQ103" s="13">
        <v>0.1</v>
      </c>
      <c r="MXR103" s="13">
        <v>0.1</v>
      </c>
      <c r="MXS103" s="13">
        <v>0.1</v>
      </c>
      <c r="MXT103" s="13">
        <v>0.1</v>
      </c>
      <c r="MXU103" s="13">
        <v>0.1</v>
      </c>
      <c r="MXV103" s="13">
        <v>0.1</v>
      </c>
      <c r="MXW103" s="13">
        <v>0.1</v>
      </c>
      <c r="MXX103" s="13">
        <v>0.1</v>
      </c>
      <c r="MXY103" s="13">
        <v>0.1</v>
      </c>
      <c r="MXZ103" s="13">
        <v>0.1</v>
      </c>
      <c r="MYA103" s="13">
        <v>0.1</v>
      </c>
      <c r="MYB103" s="13">
        <v>0.1</v>
      </c>
      <c r="MYC103" s="13">
        <v>0.1</v>
      </c>
      <c r="MYD103" s="13">
        <v>0.1</v>
      </c>
      <c r="MYE103" s="13">
        <v>0.1</v>
      </c>
      <c r="MYF103" s="13">
        <v>0.1</v>
      </c>
      <c r="MYG103" s="13">
        <v>0.1</v>
      </c>
      <c r="MYH103" s="13">
        <v>0.1</v>
      </c>
      <c r="MYI103" s="13">
        <v>0.1</v>
      </c>
      <c r="MYJ103" s="13">
        <v>0.1</v>
      </c>
      <c r="MYK103" s="13">
        <v>0.1</v>
      </c>
      <c r="MYL103" s="13">
        <v>0.1</v>
      </c>
      <c r="MYM103" s="13">
        <v>0.1</v>
      </c>
      <c r="MYN103" s="13">
        <v>0.1</v>
      </c>
      <c r="MYO103" s="13">
        <v>0.1</v>
      </c>
      <c r="MYP103" s="13">
        <v>0.1</v>
      </c>
      <c r="MYQ103" s="13">
        <v>0.1</v>
      </c>
      <c r="MYR103" s="13">
        <v>0.1</v>
      </c>
      <c r="MYS103" s="13">
        <v>0.1</v>
      </c>
      <c r="MYT103" s="13">
        <v>0.1</v>
      </c>
      <c r="MYU103" s="13">
        <v>0.1</v>
      </c>
      <c r="MYV103" s="13">
        <v>0.1</v>
      </c>
      <c r="MYW103" s="13">
        <v>0.1</v>
      </c>
      <c r="MYX103" s="13">
        <v>0.1</v>
      </c>
      <c r="MYY103" s="13">
        <v>0.1</v>
      </c>
      <c r="MYZ103" s="13">
        <v>0.1</v>
      </c>
      <c r="MZA103" s="13">
        <v>0.1</v>
      </c>
      <c r="MZB103" s="13">
        <v>0.1</v>
      </c>
      <c r="MZC103" s="13">
        <v>0.1</v>
      </c>
      <c r="MZD103" s="13">
        <v>0.1</v>
      </c>
      <c r="MZE103" s="13">
        <v>0.1</v>
      </c>
      <c r="MZF103" s="13">
        <v>0.1</v>
      </c>
      <c r="MZG103" s="13">
        <v>0.1</v>
      </c>
      <c r="MZH103" s="13">
        <v>0.1</v>
      </c>
      <c r="MZI103" s="13">
        <v>0.1</v>
      </c>
      <c r="MZJ103" s="13">
        <v>0.1</v>
      </c>
      <c r="MZK103" s="13">
        <v>0.1</v>
      </c>
      <c r="MZL103" s="13">
        <v>0.1</v>
      </c>
      <c r="MZM103" s="13">
        <v>0.1</v>
      </c>
      <c r="MZN103" s="13">
        <v>0.1</v>
      </c>
      <c r="MZO103" s="13">
        <v>0.1</v>
      </c>
      <c r="MZP103" s="13">
        <v>0.1</v>
      </c>
      <c r="MZQ103" s="13">
        <v>0.1</v>
      </c>
      <c r="MZR103" s="13">
        <v>0.1</v>
      </c>
      <c r="MZS103" s="13">
        <v>0.1</v>
      </c>
      <c r="MZT103" s="13">
        <v>0.1</v>
      </c>
      <c r="MZU103" s="13">
        <v>0.1</v>
      </c>
      <c r="MZV103" s="13">
        <v>0.1</v>
      </c>
      <c r="MZW103" s="13">
        <v>0.1</v>
      </c>
      <c r="MZX103" s="13">
        <v>0.1</v>
      </c>
      <c r="MZY103" s="13">
        <v>0.1</v>
      </c>
      <c r="MZZ103" s="13">
        <v>0.1</v>
      </c>
      <c r="NAA103" s="13">
        <v>0.1</v>
      </c>
      <c r="NAB103" s="13">
        <v>0.1</v>
      </c>
      <c r="NAC103" s="13">
        <v>0.1</v>
      </c>
      <c r="NAD103" s="13">
        <v>0.1</v>
      </c>
      <c r="NAE103" s="13">
        <v>0.1</v>
      </c>
      <c r="NAF103" s="13">
        <v>0.1</v>
      </c>
      <c r="NAG103" s="13">
        <v>0.1</v>
      </c>
      <c r="NAH103" s="13">
        <v>0.1</v>
      </c>
      <c r="NAI103" s="13">
        <v>0.1</v>
      </c>
      <c r="NAJ103" s="13">
        <v>0.1</v>
      </c>
      <c r="NAK103" s="13">
        <v>0.1</v>
      </c>
      <c r="NAL103" s="13">
        <v>0.1</v>
      </c>
      <c r="NAM103" s="13">
        <v>0.1</v>
      </c>
      <c r="NAN103" s="13">
        <v>0.1</v>
      </c>
      <c r="NAO103" s="13">
        <v>0.1</v>
      </c>
      <c r="NAP103" s="13">
        <v>0.1</v>
      </c>
      <c r="NAQ103" s="13">
        <v>0.1</v>
      </c>
      <c r="NAR103" s="13">
        <v>0.1</v>
      </c>
      <c r="NAS103" s="13">
        <v>0.1</v>
      </c>
      <c r="NAT103" s="13">
        <v>0.1</v>
      </c>
      <c r="NAU103" s="13">
        <v>0.1</v>
      </c>
      <c r="NAV103" s="13">
        <v>0.1</v>
      </c>
      <c r="NAW103" s="13">
        <v>0.1</v>
      </c>
      <c r="NAX103" s="13">
        <v>0.1</v>
      </c>
      <c r="NAY103" s="13">
        <v>0.1</v>
      </c>
      <c r="NAZ103" s="13">
        <v>0.1</v>
      </c>
      <c r="NBA103" s="13">
        <v>0.1</v>
      </c>
      <c r="NBB103" s="13">
        <v>0.1</v>
      </c>
      <c r="NBC103" s="13">
        <v>0.1</v>
      </c>
      <c r="NBD103" s="13">
        <v>0.1</v>
      </c>
      <c r="NBE103" s="13">
        <v>0.1</v>
      </c>
      <c r="NBF103" s="13">
        <v>0.1</v>
      </c>
      <c r="NBG103" s="13">
        <v>0.1</v>
      </c>
      <c r="NBH103" s="13">
        <v>0.1</v>
      </c>
      <c r="NBI103" s="13">
        <v>0.1</v>
      </c>
      <c r="NBJ103" s="13">
        <v>0.1</v>
      </c>
      <c r="NBK103" s="13">
        <v>0.1</v>
      </c>
      <c r="NBL103" s="13">
        <v>0.1</v>
      </c>
      <c r="NBM103" s="13">
        <v>0.1</v>
      </c>
      <c r="NBN103" s="13">
        <v>0.1</v>
      </c>
      <c r="NBO103" s="13">
        <v>0.1</v>
      </c>
      <c r="NBP103" s="13">
        <v>0.1</v>
      </c>
      <c r="NBQ103" s="13">
        <v>0.1</v>
      </c>
      <c r="NBR103" s="13">
        <v>0.1</v>
      </c>
      <c r="NBS103" s="13">
        <v>0.1</v>
      </c>
      <c r="NBT103" s="13">
        <v>0.1</v>
      </c>
      <c r="NBU103" s="13">
        <v>0.1</v>
      </c>
      <c r="NBV103" s="13">
        <v>0.1</v>
      </c>
      <c r="NBW103" s="13">
        <v>0.1</v>
      </c>
      <c r="NBX103" s="13">
        <v>0.1</v>
      </c>
      <c r="NBY103" s="13">
        <v>0.1</v>
      </c>
      <c r="NBZ103" s="13">
        <v>0.1</v>
      </c>
      <c r="NCA103" s="13">
        <v>0.1</v>
      </c>
      <c r="NCB103" s="13">
        <v>0.1</v>
      </c>
      <c r="NCC103" s="13">
        <v>0.1</v>
      </c>
      <c r="NCD103" s="13">
        <v>0.1</v>
      </c>
      <c r="NCE103" s="13">
        <v>0.1</v>
      </c>
      <c r="NCF103" s="13">
        <v>0.1</v>
      </c>
      <c r="NCG103" s="13">
        <v>0.1</v>
      </c>
      <c r="NCH103" s="13">
        <v>0.1</v>
      </c>
      <c r="NCI103" s="13">
        <v>0.1</v>
      </c>
      <c r="NCJ103" s="13">
        <v>0.1</v>
      </c>
      <c r="NCK103" s="13">
        <v>0.1</v>
      </c>
      <c r="NCL103" s="13">
        <v>0.1</v>
      </c>
      <c r="NCM103" s="13">
        <v>0.1</v>
      </c>
      <c r="NCN103" s="13">
        <v>0.1</v>
      </c>
      <c r="NCO103" s="13">
        <v>0.1</v>
      </c>
      <c r="NCP103" s="13">
        <v>0.1</v>
      </c>
      <c r="NCQ103" s="13">
        <v>0.1</v>
      </c>
      <c r="NCR103" s="13">
        <v>0.1</v>
      </c>
      <c r="NCS103" s="13">
        <v>0.1</v>
      </c>
      <c r="NCT103" s="13">
        <v>0.1</v>
      </c>
      <c r="NCU103" s="13">
        <v>0.1</v>
      </c>
      <c r="NCV103" s="13">
        <v>0.1</v>
      </c>
      <c r="NCW103" s="13">
        <v>0.1</v>
      </c>
      <c r="NCX103" s="13">
        <v>0.1</v>
      </c>
      <c r="NCY103" s="13">
        <v>0.1</v>
      </c>
      <c r="NCZ103" s="13">
        <v>0.1</v>
      </c>
      <c r="NDA103" s="13">
        <v>0.1</v>
      </c>
      <c r="NDB103" s="13">
        <v>0.1</v>
      </c>
      <c r="NDC103" s="13">
        <v>0.1</v>
      </c>
      <c r="NDD103" s="13">
        <v>0.1</v>
      </c>
      <c r="NDE103" s="13">
        <v>0.1</v>
      </c>
      <c r="NDF103" s="13">
        <v>0.1</v>
      </c>
      <c r="NDG103" s="13">
        <v>0.1</v>
      </c>
      <c r="NDH103" s="13">
        <v>0.1</v>
      </c>
      <c r="NDI103" s="13">
        <v>0.1</v>
      </c>
      <c r="NDJ103" s="13">
        <v>0.1</v>
      </c>
      <c r="NDK103" s="13">
        <v>0.1</v>
      </c>
      <c r="NDL103" s="13">
        <v>0.1</v>
      </c>
      <c r="NDM103" s="13">
        <v>0.1</v>
      </c>
      <c r="NDN103" s="13">
        <v>0.1</v>
      </c>
      <c r="NDO103" s="13">
        <v>0.1</v>
      </c>
      <c r="NDP103" s="13">
        <v>0.1</v>
      </c>
      <c r="NDQ103" s="13">
        <v>0.1</v>
      </c>
      <c r="NDR103" s="13">
        <v>0.1</v>
      </c>
      <c r="NDS103" s="13">
        <v>0.1</v>
      </c>
      <c r="NDT103" s="13">
        <v>0.1</v>
      </c>
      <c r="NDU103" s="13">
        <v>0.1</v>
      </c>
      <c r="NDV103" s="13">
        <v>0.1</v>
      </c>
      <c r="NDW103" s="13">
        <v>0.1</v>
      </c>
      <c r="NDX103" s="13">
        <v>0.1</v>
      </c>
      <c r="NDY103" s="13">
        <v>0.1</v>
      </c>
      <c r="NDZ103" s="13">
        <v>0.1</v>
      </c>
      <c r="NEA103" s="13">
        <v>0.1</v>
      </c>
      <c r="NEB103" s="13">
        <v>0.1</v>
      </c>
      <c r="NEC103" s="13">
        <v>0.1</v>
      </c>
      <c r="NED103" s="13">
        <v>0.1</v>
      </c>
      <c r="NEE103" s="13">
        <v>0.1</v>
      </c>
      <c r="NEF103" s="13">
        <v>0.1</v>
      </c>
      <c r="NEG103" s="13">
        <v>0.1</v>
      </c>
      <c r="NEH103" s="13">
        <v>0.1</v>
      </c>
      <c r="NEI103" s="13">
        <v>0.1</v>
      </c>
      <c r="NEJ103" s="13">
        <v>0.1</v>
      </c>
      <c r="NEK103" s="13">
        <v>0.1</v>
      </c>
      <c r="NEL103" s="13">
        <v>0.1</v>
      </c>
      <c r="NEM103" s="13">
        <v>0.1</v>
      </c>
      <c r="NEN103" s="13">
        <v>0.1</v>
      </c>
      <c r="NEO103" s="13">
        <v>0.1</v>
      </c>
      <c r="NEP103" s="13">
        <v>0.1</v>
      </c>
      <c r="NEQ103" s="13">
        <v>0.1</v>
      </c>
      <c r="NER103" s="13">
        <v>0.1</v>
      </c>
      <c r="NES103" s="13">
        <v>0.1</v>
      </c>
      <c r="NET103" s="13">
        <v>0.1</v>
      </c>
      <c r="NEU103" s="13">
        <v>0.1</v>
      </c>
      <c r="NEV103" s="13">
        <v>0.1</v>
      </c>
      <c r="NEW103" s="13">
        <v>0.1</v>
      </c>
      <c r="NEX103" s="13">
        <v>0.1</v>
      </c>
      <c r="NEY103" s="13">
        <v>0.1</v>
      </c>
      <c r="NEZ103" s="13">
        <v>0.1</v>
      </c>
      <c r="NFA103" s="13">
        <v>0.1</v>
      </c>
      <c r="NFB103" s="13">
        <v>0.1</v>
      </c>
      <c r="NFC103" s="13">
        <v>0.1</v>
      </c>
      <c r="NFD103" s="13">
        <v>0.1</v>
      </c>
      <c r="NFE103" s="13">
        <v>0.1</v>
      </c>
      <c r="NFF103" s="13">
        <v>0.1</v>
      </c>
      <c r="NFG103" s="13">
        <v>0.1</v>
      </c>
      <c r="NFH103" s="13">
        <v>0.1</v>
      </c>
      <c r="NFI103" s="13">
        <v>0.1</v>
      </c>
      <c r="NFJ103" s="13">
        <v>0.1</v>
      </c>
      <c r="NFK103" s="13">
        <v>0.1</v>
      </c>
      <c r="NFL103" s="13">
        <v>0.1</v>
      </c>
      <c r="NFM103" s="13">
        <v>0.1</v>
      </c>
      <c r="NFN103" s="13">
        <v>0.1</v>
      </c>
      <c r="NFO103" s="13">
        <v>0.1</v>
      </c>
      <c r="NFP103" s="13">
        <v>0.1</v>
      </c>
      <c r="NFQ103" s="13">
        <v>0.1</v>
      </c>
      <c r="NFR103" s="13">
        <v>0.1</v>
      </c>
      <c r="NFS103" s="13">
        <v>0.1</v>
      </c>
      <c r="NFT103" s="13">
        <v>0.1</v>
      </c>
      <c r="NFU103" s="13">
        <v>0.1</v>
      </c>
      <c r="NFV103" s="13">
        <v>0.1</v>
      </c>
      <c r="NFW103" s="13">
        <v>0.1</v>
      </c>
      <c r="NFX103" s="13">
        <v>0.1</v>
      </c>
      <c r="NFY103" s="13">
        <v>0.1</v>
      </c>
      <c r="NFZ103" s="13">
        <v>0.1</v>
      </c>
      <c r="NGA103" s="13">
        <v>0.1</v>
      </c>
      <c r="NGB103" s="13">
        <v>0.1</v>
      </c>
      <c r="NGC103" s="13">
        <v>0.1</v>
      </c>
      <c r="NGD103" s="13">
        <v>0.1</v>
      </c>
      <c r="NGE103" s="13">
        <v>0.1</v>
      </c>
      <c r="NGF103" s="13">
        <v>0.1</v>
      </c>
      <c r="NGG103" s="13">
        <v>0.1</v>
      </c>
      <c r="NGH103" s="13">
        <v>0.1</v>
      </c>
      <c r="NGI103" s="13">
        <v>0.1</v>
      </c>
      <c r="NGJ103" s="13">
        <v>0.1</v>
      </c>
      <c r="NGK103" s="13">
        <v>0.1</v>
      </c>
      <c r="NGL103" s="13">
        <v>0.1</v>
      </c>
      <c r="NGM103" s="13">
        <v>0.1</v>
      </c>
      <c r="NGN103" s="13">
        <v>0.1</v>
      </c>
      <c r="NGO103" s="13">
        <v>0.1</v>
      </c>
      <c r="NGP103" s="13">
        <v>0.1</v>
      </c>
      <c r="NGQ103" s="13">
        <v>0.1</v>
      </c>
      <c r="NGR103" s="13">
        <v>0.1</v>
      </c>
      <c r="NGS103" s="13">
        <v>0.1</v>
      </c>
      <c r="NGT103" s="13">
        <v>0.1</v>
      </c>
      <c r="NGU103" s="13">
        <v>0.1</v>
      </c>
      <c r="NGV103" s="13">
        <v>0.1</v>
      </c>
      <c r="NGW103" s="13">
        <v>0.1</v>
      </c>
      <c r="NGX103" s="13">
        <v>0.1</v>
      </c>
      <c r="NGY103" s="13">
        <v>0.1</v>
      </c>
      <c r="NGZ103" s="13">
        <v>0.1</v>
      </c>
      <c r="NHA103" s="13">
        <v>0.1</v>
      </c>
      <c r="NHB103" s="13">
        <v>0.1</v>
      </c>
      <c r="NHC103" s="13">
        <v>0.1</v>
      </c>
      <c r="NHD103" s="13">
        <v>0.1</v>
      </c>
      <c r="NHE103" s="13">
        <v>0.1</v>
      </c>
      <c r="NHF103" s="13">
        <v>0.1</v>
      </c>
      <c r="NHG103" s="13">
        <v>0.1</v>
      </c>
      <c r="NHH103" s="13">
        <v>0.1</v>
      </c>
      <c r="NHI103" s="13">
        <v>0.1</v>
      </c>
      <c r="NHJ103" s="13">
        <v>0.1</v>
      </c>
      <c r="NHK103" s="13">
        <v>0.1</v>
      </c>
      <c r="NHL103" s="13">
        <v>0.1</v>
      </c>
      <c r="NHM103" s="13">
        <v>0.1</v>
      </c>
      <c r="NHN103" s="13">
        <v>0.1</v>
      </c>
      <c r="NHO103" s="13">
        <v>0.1</v>
      </c>
      <c r="NHP103" s="13">
        <v>0.1</v>
      </c>
      <c r="NHQ103" s="13">
        <v>0.1</v>
      </c>
      <c r="NHR103" s="13">
        <v>0.1</v>
      </c>
      <c r="NHS103" s="13">
        <v>0.1</v>
      </c>
      <c r="NHT103" s="13">
        <v>0.1</v>
      </c>
      <c r="NHU103" s="13">
        <v>0.1</v>
      </c>
      <c r="NHV103" s="13">
        <v>0.1</v>
      </c>
      <c r="NHW103" s="13">
        <v>0.1</v>
      </c>
      <c r="NHX103" s="13">
        <v>0.1</v>
      </c>
      <c r="NHY103" s="13">
        <v>0.1</v>
      </c>
      <c r="NHZ103" s="13">
        <v>0.1</v>
      </c>
      <c r="NIA103" s="13">
        <v>0.1</v>
      </c>
      <c r="NIB103" s="13">
        <v>0.1</v>
      </c>
      <c r="NIC103" s="13">
        <v>0.1</v>
      </c>
      <c r="NID103" s="13">
        <v>0.1</v>
      </c>
      <c r="NIE103" s="13">
        <v>0.1</v>
      </c>
      <c r="NIF103" s="13">
        <v>0.1</v>
      </c>
      <c r="NIG103" s="13">
        <v>0.1</v>
      </c>
      <c r="NIH103" s="13">
        <v>0.1</v>
      </c>
      <c r="NII103" s="13">
        <v>0.1</v>
      </c>
      <c r="NIJ103" s="13">
        <v>0.1</v>
      </c>
      <c r="NIK103" s="13">
        <v>0.1</v>
      </c>
      <c r="NIL103" s="13">
        <v>0.1</v>
      </c>
      <c r="NIM103" s="13">
        <v>0.1</v>
      </c>
      <c r="NIN103" s="13">
        <v>0.1</v>
      </c>
      <c r="NIO103" s="13">
        <v>0.1</v>
      </c>
      <c r="NIP103" s="13">
        <v>0.1</v>
      </c>
      <c r="NIQ103" s="13">
        <v>0.1</v>
      </c>
      <c r="NIR103" s="13">
        <v>0.1</v>
      </c>
      <c r="NIS103" s="13">
        <v>0.1</v>
      </c>
      <c r="NIT103" s="13">
        <v>0.1</v>
      </c>
      <c r="NIU103" s="13">
        <v>0.1</v>
      </c>
      <c r="NIV103" s="13">
        <v>0.1</v>
      </c>
      <c r="NIW103" s="13">
        <v>0.1</v>
      </c>
      <c r="NIX103" s="13">
        <v>0.1</v>
      </c>
      <c r="NIY103" s="13">
        <v>0.1</v>
      </c>
      <c r="NIZ103" s="13">
        <v>0.1</v>
      </c>
      <c r="NJA103" s="13">
        <v>0.1</v>
      </c>
      <c r="NJB103" s="13">
        <v>0.1</v>
      </c>
      <c r="NJC103" s="13">
        <v>0.1</v>
      </c>
      <c r="NJD103" s="13">
        <v>0.1</v>
      </c>
      <c r="NJE103" s="13">
        <v>0.1</v>
      </c>
      <c r="NJF103" s="13">
        <v>0.1</v>
      </c>
      <c r="NJG103" s="13">
        <v>0.1</v>
      </c>
      <c r="NJH103" s="13">
        <v>0.1</v>
      </c>
      <c r="NJI103" s="13">
        <v>0.1</v>
      </c>
      <c r="NJJ103" s="13">
        <v>0.1</v>
      </c>
      <c r="NJK103" s="13">
        <v>0.1</v>
      </c>
      <c r="NJL103" s="13">
        <v>0.1</v>
      </c>
      <c r="NJM103" s="13">
        <v>0.1</v>
      </c>
      <c r="NJN103" s="13">
        <v>0.1</v>
      </c>
      <c r="NJO103" s="13">
        <v>0.1</v>
      </c>
      <c r="NJP103" s="13">
        <v>0.1</v>
      </c>
      <c r="NJQ103" s="13">
        <v>0.1</v>
      </c>
      <c r="NJR103" s="13">
        <v>0.1</v>
      </c>
      <c r="NJS103" s="13">
        <v>0.1</v>
      </c>
      <c r="NJT103" s="13">
        <v>0.1</v>
      </c>
      <c r="NJU103" s="13">
        <v>0.1</v>
      </c>
      <c r="NJV103" s="13">
        <v>0.1</v>
      </c>
      <c r="NJW103" s="13">
        <v>0.1</v>
      </c>
      <c r="NJX103" s="13">
        <v>0.1</v>
      </c>
      <c r="NJY103" s="13">
        <v>0.1</v>
      </c>
      <c r="NJZ103" s="13">
        <v>0.1</v>
      </c>
      <c r="NKA103" s="13">
        <v>0.1</v>
      </c>
      <c r="NKB103" s="13">
        <v>0.1</v>
      </c>
      <c r="NKC103" s="13">
        <v>0.1</v>
      </c>
      <c r="NKD103" s="13">
        <v>0.1</v>
      </c>
      <c r="NKE103" s="13">
        <v>0.1</v>
      </c>
      <c r="NKF103" s="13">
        <v>0.1</v>
      </c>
      <c r="NKG103" s="13">
        <v>0.1</v>
      </c>
      <c r="NKH103" s="13">
        <v>0.1</v>
      </c>
      <c r="NKI103" s="13">
        <v>0.1</v>
      </c>
      <c r="NKJ103" s="13">
        <v>0.1</v>
      </c>
      <c r="NKK103" s="13">
        <v>0.1</v>
      </c>
      <c r="NKL103" s="13">
        <v>0.1</v>
      </c>
      <c r="NKM103" s="13">
        <v>0.1</v>
      </c>
      <c r="NKN103" s="13">
        <v>0.1</v>
      </c>
      <c r="NKO103" s="13">
        <v>0.1</v>
      </c>
      <c r="NKP103" s="13">
        <v>0.1</v>
      </c>
      <c r="NKQ103" s="13">
        <v>0.1</v>
      </c>
      <c r="NKR103" s="13">
        <v>0.1</v>
      </c>
      <c r="NKS103" s="13">
        <v>0.1</v>
      </c>
      <c r="NKT103" s="13">
        <v>0.1</v>
      </c>
      <c r="NKU103" s="13">
        <v>0.1</v>
      </c>
      <c r="NKV103" s="13">
        <v>0.1</v>
      </c>
      <c r="NKW103" s="13">
        <v>0.1</v>
      </c>
      <c r="NKX103" s="13">
        <v>0.1</v>
      </c>
      <c r="NKY103" s="13">
        <v>0.1</v>
      </c>
      <c r="NKZ103" s="13">
        <v>0.1</v>
      </c>
      <c r="NLA103" s="13">
        <v>0.1</v>
      </c>
      <c r="NLB103" s="13">
        <v>0.1</v>
      </c>
      <c r="NLC103" s="13">
        <v>0.1</v>
      </c>
      <c r="NLD103" s="13">
        <v>0.1</v>
      </c>
      <c r="NLE103" s="13">
        <v>0.1</v>
      </c>
      <c r="NLF103" s="13">
        <v>0.1</v>
      </c>
      <c r="NLG103" s="13">
        <v>0.1</v>
      </c>
      <c r="NLH103" s="13">
        <v>0.1</v>
      </c>
      <c r="NLI103" s="13">
        <v>0.1</v>
      </c>
      <c r="NLJ103" s="13">
        <v>0.1</v>
      </c>
      <c r="NLK103" s="13">
        <v>0.1</v>
      </c>
      <c r="NLL103" s="13">
        <v>0.1</v>
      </c>
      <c r="NLM103" s="13">
        <v>0.1</v>
      </c>
      <c r="NLN103" s="13">
        <v>0.1</v>
      </c>
      <c r="NLO103" s="13">
        <v>0.1</v>
      </c>
      <c r="NLP103" s="13">
        <v>0.1</v>
      </c>
      <c r="NLQ103" s="13">
        <v>0.1</v>
      </c>
      <c r="NLR103" s="13">
        <v>0.1</v>
      </c>
      <c r="NLS103" s="13">
        <v>0.1</v>
      </c>
      <c r="NLT103" s="13">
        <v>0.1</v>
      </c>
      <c r="NLU103" s="13">
        <v>0.1</v>
      </c>
      <c r="NLV103" s="13">
        <v>0.1</v>
      </c>
      <c r="NLW103" s="13">
        <v>0.1</v>
      </c>
      <c r="NLX103" s="13">
        <v>0.1</v>
      </c>
      <c r="NLY103" s="13">
        <v>0.1</v>
      </c>
      <c r="NLZ103" s="13">
        <v>0.1</v>
      </c>
      <c r="NMA103" s="13">
        <v>0.1</v>
      </c>
      <c r="NMB103" s="13">
        <v>0.1</v>
      </c>
      <c r="NMC103" s="13">
        <v>0.1</v>
      </c>
      <c r="NMD103" s="13">
        <v>0.1</v>
      </c>
      <c r="NME103" s="13">
        <v>0.1</v>
      </c>
      <c r="NMF103" s="13">
        <v>0.1</v>
      </c>
      <c r="NMG103" s="13">
        <v>0.1</v>
      </c>
      <c r="NMH103" s="13">
        <v>0.1</v>
      </c>
      <c r="NMI103" s="13">
        <v>0.1</v>
      </c>
      <c r="NMJ103" s="13">
        <v>0.1</v>
      </c>
      <c r="NMK103" s="13">
        <v>0.1</v>
      </c>
      <c r="NML103" s="13">
        <v>0.1</v>
      </c>
      <c r="NMM103" s="13">
        <v>0.1</v>
      </c>
      <c r="NMN103" s="13">
        <v>0.1</v>
      </c>
      <c r="NMO103" s="13">
        <v>0.1</v>
      </c>
      <c r="NMP103" s="13">
        <v>0.1</v>
      </c>
      <c r="NMQ103" s="13">
        <v>0.1</v>
      </c>
      <c r="NMR103" s="13">
        <v>0.1</v>
      </c>
      <c r="NMS103" s="13">
        <v>0.1</v>
      </c>
      <c r="NMT103" s="13">
        <v>0.1</v>
      </c>
      <c r="NMU103" s="13">
        <v>0.1</v>
      </c>
      <c r="NMV103" s="13">
        <v>0.1</v>
      </c>
      <c r="NMW103" s="13">
        <v>0.1</v>
      </c>
      <c r="NMX103" s="13">
        <v>0.1</v>
      </c>
      <c r="NMY103" s="13">
        <v>0.1</v>
      </c>
      <c r="NMZ103" s="13">
        <v>0.1</v>
      </c>
      <c r="NNA103" s="13">
        <v>0.1</v>
      </c>
      <c r="NNB103" s="13">
        <v>0.1</v>
      </c>
      <c r="NNC103" s="13">
        <v>0.1</v>
      </c>
      <c r="NND103" s="13">
        <v>0.1</v>
      </c>
      <c r="NNE103" s="13">
        <v>0.1</v>
      </c>
      <c r="NNF103" s="13">
        <v>0.1</v>
      </c>
      <c r="NNG103" s="13">
        <v>0.1</v>
      </c>
      <c r="NNH103" s="13">
        <v>0.1</v>
      </c>
      <c r="NNI103" s="13">
        <v>0.1</v>
      </c>
      <c r="NNJ103" s="13">
        <v>0.1</v>
      </c>
      <c r="NNK103" s="13">
        <v>0.1</v>
      </c>
      <c r="NNL103" s="13">
        <v>0.1</v>
      </c>
      <c r="NNM103" s="13">
        <v>0.1</v>
      </c>
      <c r="NNN103" s="13">
        <v>0.1</v>
      </c>
      <c r="NNO103" s="13">
        <v>0.1</v>
      </c>
      <c r="NNP103" s="13">
        <v>0.1</v>
      </c>
      <c r="NNQ103" s="13">
        <v>0.1</v>
      </c>
      <c r="NNR103" s="13">
        <v>0.1</v>
      </c>
      <c r="NNS103" s="13">
        <v>0.1</v>
      </c>
      <c r="NNT103" s="13">
        <v>0.1</v>
      </c>
      <c r="NNU103" s="13">
        <v>0.1</v>
      </c>
      <c r="NNV103" s="13">
        <v>0.1</v>
      </c>
      <c r="NNW103" s="13">
        <v>0.1</v>
      </c>
      <c r="NNX103" s="13">
        <v>0.1</v>
      </c>
      <c r="NNY103" s="13">
        <v>0.1</v>
      </c>
      <c r="NNZ103" s="13">
        <v>0.1</v>
      </c>
      <c r="NOA103" s="13">
        <v>0.1</v>
      </c>
      <c r="NOB103" s="13">
        <v>0.1</v>
      </c>
      <c r="NOC103" s="13">
        <v>0.1</v>
      </c>
      <c r="NOD103" s="13">
        <v>0.1</v>
      </c>
      <c r="NOE103" s="13">
        <v>0.1</v>
      </c>
      <c r="NOF103" s="13">
        <v>0.1</v>
      </c>
      <c r="NOG103" s="13">
        <v>0.1</v>
      </c>
      <c r="NOH103" s="13">
        <v>0.1</v>
      </c>
      <c r="NOI103" s="13">
        <v>0.1</v>
      </c>
      <c r="NOJ103" s="13">
        <v>0.1</v>
      </c>
      <c r="NOK103" s="13">
        <v>0.1</v>
      </c>
      <c r="NOL103" s="13">
        <v>0.1</v>
      </c>
      <c r="NOM103" s="13">
        <v>0.1</v>
      </c>
      <c r="NON103" s="13">
        <v>0.1</v>
      </c>
      <c r="NOO103" s="13">
        <v>0.1</v>
      </c>
      <c r="NOP103" s="13">
        <v>0.1</v>
      </c>
      <c r="NOQ103" s="13">
        <v>0.1</v>
      </c>
      <c r="NOR103" s="13">
        <v>0.1</v>
      </c>
      <c r="NOS103" s="13">
        <v>0.1</v>
      </c>
      <c r="NOT103" s="13">
        <v>0.1</v>
      </c>
      <c r="NOU103" s="13">
        <v>0.1</v>
      </c>
      <c r="NOV103" s="13">
        <v>0.1</v>
      </c>
      <c r="NOW103" s="13">
        <v>0.1</v>
      </c>
      <c r="NOX103" s="13">
        <v>0.1</v>
      </c>
      <c r="NOY103" s="13">
        <v>0.1</v>
      </c>
      <c r="NOZ103" s="13">
        <v>0.1</v>
      </c>
      <c r="NPA103" s="13">
        <v>0.1</v>
      </c>
      <c r="NPB103" s="13">
        <v>0.1</v>
      </c>
      <c r="NPC103" s="13">
        <v>0.1</v>
      </c>
      <c r="NPD103" s="13">
        <v>0.1</v>
      </c>
      <c r="NPE103" s="13">
        <v>0.1</v>
      </c>
      <c r="NPF103" s="13">
        <v>0.1</v>
      </c>
      <c r="NPG103" s="13">
        <v>0.1</v>
      </c>
      <c r="NPH103" s="13">
        <v>0.1</v>
      </c>
      <c r="NPI103" s="13">
        <v>0.1</v>
      </c>
      <c r="NPJ103" s="13">
        <v>0.1</v>
      </c>
      <c r="NPK103" s="13">
        <v>0.1</v>
      </c>
      <c r="NPL103" s="13">
        <v>0.1</v>
      </c>
      <c r="NPM103" s="13">
        <v>0.1</v>
      </c>
      <c r="NPN103" s="13">
        <v>0.1</v>
      </c>
      <c r="NPO103" s="13">
        <v>0.1</v>
      </c>
      <c r="NPP103" s="13">
        <v>0.1</v>
      </c>
      <c r="NPQ103" s="13">
        <v>0.1</v>
      </c>
      <c r="NPR103" s="13">
        <v>0.1</v>
      </c>
      <c r="NPS103" s="13">
        <v>0.1</v>
      </c>
      <c r="NPT103" s="13">
        <v>0.1</v>
      </c>
      <c r="NPU103" s="13">
        <v>0.1</v>
      </c>
      <c r="NPV103" s="13">
        <v>0.1</v>
      </c>
      <c r="NPW103" s="13">
        <v>0.1</v>
      </c>
      <c r="NPX103" s="13">
        <v>0.1</v>
      </c>
      <c r="NPY103" s="13">
        <v>0.1</v>
      </c>
      <c r="NPZ103" s="13">
        <v>0.1</v>
      </c>
      <c r="NQA103" s="13">
        <v>0.1</v>
      </c>
      <c r="NQB103" s="13">
        <v>0.1</v>
      </c>
      <c r="NQC103" s="13">
        <v>0.1</v>
      </c>
      <c r="NQD103" s="13">
        <v>0.1</v>
      </c>
      <c r="NQE103" s="13">
        <v>0.1</v>
      </c>
      <c r="NQF103" s="13">
        <v>0.1</v>
      </c>
      <c r="NQG103" s="13">
        <v>0.1</v>
      </c>
      <c r="NQH103" s="13">
        <v>0.1</v>
      </c>
      <c r="NQI103" s="13">
        <v>0.1</v>
      </c>
      <c r="NQJ103" s="13">
        <v>0.1</v>
      </c>
      <c r="NQK103" s="13">
        <v>0.1</v>
      </c>
      <c r="NQL103" s="13">
        <v>0.1</v>
      </c>
      <c r="NQM103" s="13">
        <v>0.1</v>
      </c>
      <c r="NQN103" s="13">
        <v>0.1</v>
      </c>
      <c r="NQO103" s="13">
        <v>0.1</v>
      </c>
      <c r="NQP103" s="13">
        <v>0.1</v>
      </c>
      <c r="NQQ103" s="13">
        <v>0.1</v>
      </c>
      <c r="NQR103" s="13">
        <v>0.1</v>
      </c>
      <c r="NQS103" s="13">
        <v>0.1</v>
      </c>
      <c r="NQT103" s="13">
        <v>0.1</v>
      </c>
      <c r="NQU103" s="13">
        <v>0.1</v>
      </c>
      <c r="NQV103" s="13">
        <v>0.1</v>
      </c>
      <c r="NQW103" s="13">
        <v>0.1</v>
      </c>
      <c r="NQX103" s="13">
        <v>0.1</v>
      </c>
      <c r="NQY103" s="13">
        <v>0.1</v>
      </c>
      <c r="NQZ103" s="13">
        <v>0.1</v>
      </c>
      <c r="NRA103" s="13">
        <v>0.1</v>
      </c>
      <c r="NRB103" s="13">
        <v>0.1</v>
      </c>
      <c r="NRC103" s="13">
        <v>0.1</v>
      </c>
      <c r="NRD103" s="13">
        <v>0.1</v>
      </c>
      <c r="NRE103" s="13">
        <v>0.1</v>
      </c>
      <c r="NRF103" s="13">
        <v>0.1</v>
      </c>
      <c r="NRG103" s="13">
        <v>0.1</v>
      </c>
      <c r="NRH103" s="13">
        <v>0.1</v>
      </c>
      <c r="NRI103" s="13">
        <v>0.1</v>
      </c>
      <c r="NRJ103" s="13">
        <v>0.1</v>
      </c>
      <c r="NRK103" s="13">
        <v>0.1</v>
      </c>
      <c r="NRL103" s="13">
        <v>0.1</v>
      </c>
      <c r="NRM103" s="13">
        <v>0.1</v>
      </c>
      <c r="NRN103" s="13">
        <v>0.1</v>
      </c>
      <c r="NRO103" s="13">
        <v>0.1</v>
      </c>
      <c r="NRP103" s="13">
        <v>0.1</v>
      </c>
      <c r="NRQ103" s="13">
        <v>0.1</v>
      </c>
      <c r="NRR103" s="13">
        <v>0.1</v>
      </c>
      <c r="NRS103" s="13">
        <v>0.1</v>
      </c>
      <c r="NRT103" s="13">
        <v>0.1</v>
      </c>
      <c r="NRU103" s="13">
        <v>0.1</v>
      </c>
      <c r="NRV103" s="13">
        <v>0.1</v>
      </c>
      <c r="NRW103" s="13">
        <v>0.1</v>
      </c>
      <c r="NRX103" s="13">
        <v>0.1</v>
      </c>
      <c r="NRY103" s="13">
        <v>0.1</v>
      </c>
      <c r="NRZ103" s="13">
        <v>0.1</v>
      </c>
      <c r="NSA103" s="13">
        <v>0.1</v>
      </c>
      <c r="NSB103" s="13">
        <v>0.1</v>
      </c>
      <c r="NSC103" s="13">
        <v>0.1</v>
      </c>
      <c r="NSD103" s="13">
        <v>0.1</v>
      </c>
      <c r="NSE103" s="13">
        <v>0.1</v>
      </c>
      <c r="NSF103" s="13">
        <v>0.1</v>
      </c>
      <c r="NSG103" s="13">
        <v>0.1</v>
      </c>
      <c r="NSH103" s="13">
        <v>0.1</v>
      </c>
      <c r="NSI103" s="13">
        <v>0.1</v>
      </c>
      <c r="NSJ103" s="13">
        <v>0.1</v>
      </c>
      <c r="NSK103" s="13">
        <v>0.1</v>
      </c>
      <c r="NSL103" s="13">
        <v>0.1</v>
      </c>
      <c r="NSM103" s="13">
        <v>0.1</v>
      </c>
      <c r="NSN103" s="13">
        <v>0.1</v>
      </c>
      <c r="NSO103" s="13">
        <v>0.1</v>
      </c>
      <c r="NSP103" s="13">
        <v>0.1</v>
      </c>
      <c r="NSQ103" s="13">
        <v>0.1</v>
      </c>
      <c r="NSR103" s="13">
        <v>0.1</v>
      </c>
      <c r="NSS103" s="13">
        <v>0.1</v>
      </c>
      <c r="NST103" s="13">
        <v>0.1</v>
      </c>
      <c r="NSU103" s="13">
        <v>0.1</v>
      </c>
      <c r="NSV103" s="13">
        <v>0.1</v>
      </c>
      <c r="NSW103" s="13">
        <v>0.1</v>
      </c>
      <c r="NSX103" s="13">
        <v>0.1</v>
      </c>
      <c r="NSY103" s="13">
        <v>0.1</v>
      </c>
      <c r="NSZ103" s="13">
        <v>0.1</v>
      </c>
      <c r="NTA103" s="13">
        <v>0.1</v>
      </c>
      <c r="NTB103" s="13">
        <v>0.1</v>
      </c>
      <c r="NTC103" s="13">
        <v>0.1</v>
      </c>
      <c r="NTD103" s="13">
        <v>0.1</v>
      </c>
      <c r="NTE103" s="13">
        <v>0.1</v>
      </c>
      <c r="NTF103" s="13">
        <v>0.1</v>
      </c>
      <c r="NTG103" s="13">
        <v>0.1</v>
      </c>
      <c r="NTH103" s="13">
        <v>0.1</v>
      </c>
      <c r="NTI103" s="13">
        <v>0.1</v>
      </c>
      <c r="NTJ103" s="13">
        <v>0.1</v>
      </c>
      <c r="NTK103" s="13">
        <v>0.1</v>
      </c>
      <c r="NTL103" s="13">
        <v>0.1</v>
      </c>
      <c r="NTM103" s="13">
        <v>0.1</v>
      </c>
      <c r="NTN103" s="13">
        <v>0.1</v>
      </c>
      <c r="NTO103" s="13">
        <v>0.1</v>
      </c>
      <c r="NTP103" s="13">
        <v>0.1</v>
      </c>
      <c r="NTQ103" s="13">
        <v>0.1</v>
      </c>
      <c r="NTR103" s="13">
        <v>0.1</v>
      </c>
      <c r="NTS103" s="13">
        <v>0.1</v>
      </c>
      <c r="NTT103" s="13">
        <v>0.1</v>
      </c>
      <c r="NTU103" s="13">
        <v>0.1</v>
      </c>
      <c r="NTV103" s="13">
        <v>0.1</v>
      </c>
      <c r="NTW103" s="13">
        <v>0.1</v>
      </c>
      <c r="NTX103" s="13">
        <v>0.1</v>
      </c>
      <c r="NTY103" s="13">
        <v>0.1</v>
      </c>
      <c r="NTZ103" s="13">
        <v>0.1</v>
      </c>
      <c r="NUA103" s="13">
        <v>0.1</v>
      </c>
      <c r="NUB103" s="13">
        <v>0.1</v>
      </c>
      <c r="NUC103" s="13">
        <v>0.1</v>
      </c>
      <c r="NUD103" s="13">
        <v>0.1</v>
      </c>
      <c r="NUE103" s="13">
        <v>0.1</v>
      </c>
      <c r="NUF103" s="13">
        <v>0.1</v>
      </c>
      <c r="NUG103" s="13">
        <v>0.1</v>
      </c>
      <c r="NUH103" s="13">
        <v>0.1</v>
      </c>
      <c r="NUI103" s="13">
        <v>0.1</v>
      </c>
      <c r="NUJ103" s="13">
        <v>0.1</v>
      </c>
      <c r="NUK103" s="13">
        <v>0.1</v>
      </c>
      <c r="NUL103" s="13">
        <v>0.1</v>
      </c>
      <c r="NUM103" s="13">
        <v>0.1</v>
      </c>
      <c r="NUN103" s="13">
        <v>0.1</v>
      </c>
      <c r="NUO103" s="13">
        <v>0.1</v>
      </c>
      <c r="NUP103" s="13">
        <v>0.1</v>
      </c>
      <c r="NUQ103" s="13">
        <v>0.1</v>
      </c>
      <c r="NUR103" s="13">
        <v>0.1</v>
      </c>
      <c r="NUS103" s="13">
        <v>0.1</v>
      </c>
      <c r="NUT103" s="13">
        <v>0.1</v>
      </c>
      <c r="NUU103" s="13">
        <v>0.1</v>
      </c>
      <c r="NUV103" s="13">
        <v>0.1</v>
      </c>
      <c r="NUW103" s="13">
        <v>0.1</v>
      </c>
      <c r="NUX103" s="13">
        <v>0.1</v>
      </c>
      <c r="NUY103" s="13">
        <v>0.1</v>
      </c>
      <c r="NUZ103" s="13">
        <v>0.1</v>
      </c>
      <c r="NVA103" s="13">
        <v>0.1</v>
      </c>
      <c r="NVB103" s="13">
        <v>0.1</v>
      </c>
      <c r="NVC103" s="13">
        <v>0.1</v>
      </c>
      <c r="NVD103" s="13">
        <v>0.1</v>
      </c>
      <c r="NVE103" s="13">
        <v>0.1</v>
      </c>
      <c r="NVF103" s="13">
        <v>0.1</v>
      </c>
      <c r="NVG103" s="13">
        <v>0.1</v>
      </c>
      <c r="NVH103" s="13">
        <v>0.1</v>
      </c>
      <c r="NVI103" s="13">
        <v>0.1</v>
      </c>
      <c r="NVJ103" s="13">
        <v>0.1</v>
      </c>
      <c r="NVK103" s="13">
        <v>0.1</v>
      </c>
      <c r="NVL103" s="13">
        <v>0.1</v>
      </c>
      <c r="NVM103" s="13">
        <v>0.1</v>
      </c>
      <c r="NVN103" s="13">
        <v>0.1</v>
      </c>
      <c r="NVO103" s="13">
        <v>0.1</v>
      </c>
      <c r="NVP103" s="13">
        <v>0.1</v>
      </c>
      <c r="NVQ103" s="13">
        <v>0.1</v>
      </c>
      <c r="NVR103" s="13">
        <v>0.1</v>
      </c>
      <c r="NVS103" s="13">
        <v>0.1</v>
      </c>
      <c r="NVT103" s="13">
        <v>0.1</v>
      </c>
      <c r="NVU103" s="13">
        <v>0.1</v>
      </c>
      <c r="NVV103" s="13">
        <v>0.1</v>
      </c>
      <c r="NVW103" s="13">
        <v>0.1</v>
      </c>
      <c r="NVX103" s="13">
        <v>0.1</v>
      </c>
      <c r="NVY103" s="13">
        <v>0.1</v>
      </c>
      <c r="NVZ103" s="13">
        <v>0.1</v>
      </c>
      <c r="NWA103" s="13">
        <v>0.1</v>
      </c>
      <c r="NWB103" s="13">
        <v>0.1</v>
      </c>
      <c r="NWC103" s="13">
        <v>0.1</v>
      </c>
      <c r="NWD103" s="13">
        <v>0.1</v>
      </c>
      <c r="NWE103" s="13">
        <v>0.1</v>
      </c>
      <c r="NWF103" s="13">
        <v>0.1</v>
      </c>
      <c r="NWG103" s="13">
        <v>0.1</v>
      </c>
      <c r="NWH103" s="13">
        <v>0.1</v>
      </c>
      <c r="NWI103" s="13">
        <v>0.1</v>
      </c>
      <c r="NWJ103" s="13">
        <v>0.1</v>
      </c>
      <c r="NWK103" s="13">
        <v>0.1</v>
      </c>
      <c r="NWL103" s="13">
        <v>0.1</v>
      </c>
      <c r="NWM103" s="13">
        <v>0.1</v>
      </c>
      <c r="NWN103" s="13">
        <v>0.1</v>
      </c>
      <c r="NWO103" s="13">
        <v>0.1</v>
      </c>
      <c r="NWP103" s="13">
        <v>0.1</v>
      </c>
      <c r="NWQ103" s="13">
        <v>0.1</v>
      </c>
      <c r="NWR103" s="13">
        <v>0.1</v>
      </c>
      <c r="NWS103" s="13">
        <v>0.1</v>
      </c>
      <c r="NWT103" s="13">
        <v>0.1</v>
      </c>
      <c r="NWU103" s="13">
        <v>0.1</v>
      </c>
      <c r="NWV103" s="13">
        <v>0.1</v>
      </c>
      <c r="NWW103" s="13">
        <v>0.1</v>
      </c>
      <c r="NWX103" s="13">
        <v>0.1</v>
      </c>
      <c r="NWY103" s="13">
        <v>0.1</v>
      </c>
      <c r="NWZ103" s="13">
        <v>0.1</v>
      </c>
      <c r="NXA103" s="13">
        <v>0.1</v>
      </c>
      <c r="NXB103" s="13">
        <v>0.1</v>
      </c>
      <c r="NXC103" s="13">
        <v>0.1</v>
      </c>
      <c r="NXD103" s="13">
        <v>0.1</v>
      </c>
      <c r="NXE103" s="13">
        <v>0.1</v>
      </c>
      <c r="NXF103" s="13">
        <v>0.1</v>
      </c>
      <c r="NXG103" s="13">
        <v>0.1</v>
      </c>
      <c r="NXH103" s="13">
        <v>0.1</v>
      </c>
      <c r="NXI103" s="13">
        <v>0.1</v>
      </c>
      <c r="NXJ103" s="13">
        <v>0.1</v>
      </c>
      <c r="NXK103" s="13">
        <v>0.1</v>
      </c>
      <c r="NXL103" s="13">
        <v>0.1</v>
      </c>
      <c r="NXM103" s="13">
        <v>0.1</v>
      </c>
      <c r="NXN103" s="13">
        <v>0.1</v>
      </c>
      <c r="NXO103" s="13">
        <v>0.1</v>
      </c>
      <c r="NXP103" s="13">
        <v>0.1</v>
      </c>
      <c r="NXQ103" s="13">
        <v>0.1</v>
      </c>
      <c r="NXR103" s="13">
        <v>0.1</v>
      </c>
      <c r="NXS103" s="13">
        <v>0.1</v>
      </c>
      <c r="NXT103" s="13">
        <v>0.1</v>
      </c>
      <c r="NXU103" s="13">
        <v>0.1</v>
      </c>
      <c r="NXV103" s="13">
        <v>0.1</v>
      </c>
      <c r="NXW103" s="13">
        <v>0.1</v>
      </c>
      <c r="NXX103" s="13">
        <v>0.1</v>
      </c>
      <c r="NXY103" s="13">
        <v>0.1</v>
      </c>
      <c r="NXZ103" s="13">
        <v>0.1</v>
      </c>
      <c r="NYA103" s="13">
        <v>0.1</v>
      </c>
      <c r="NYB103" s="13">
        <v>0.1</v>
      </c>
      <c r="NYC103" s="13">
        <v>0.1</v>
      </c>
      <c r="NYD103" s="13">
        <v>0.1</v>
      </c>
      <c r="NYE103" s="13">
        <v>0.1</v>
      </c>
      <c r="NYF103" s="13">
        <v>0.1</v>
      </c>
      <c r="NYG103" s="13">
        <v>0.1</v>
      </c>
      <c r="NYH103" s="13">
        <v>0.1</v>
      </c>
      <c r="NYI103" s="13">
        <v>0.1</v>
      </c>
      <c r="NYJ103" s="13">
        <v>0.1</v>
      </c>
      <c r="NYK103" s="13">
        <v>0.1</v>
      </c>
      <c r="NYL103" s="13">
        <v>0.1</v>
      </c>
      <c r="NYM103" s="13">
        <v>0.1</v>
      </c>
      <c r="NYN103" s="13">
        <v>0.1</v>
      </c>
      <c r="NYO103" s="13">
        <v>0.1</v>
      </c>
      <c r="NYP103" s="13">
        <v>0.1</v>
      </c>
      <c r="NYQ103" s="13">
        <v>0.1</v>
      </c>
      <c r="NYR103" s="13">
        <v>0.1</v>
      </c>
      <c r="NYS103" s="13">
        <v>0.1</v>
      </c>
      <c r="NYT103" s="13">
        <v>0.1</v>
      </c>
      <c r="NYU103" s="13">
        <v>0.1</v>
      </c>
      <c r="NYV103" s="13">
        <v>0.1</v>
      </c>
      <c r="NYW103" s="13">
        <v>0.1</v>
      </c>
      <c r="NYX103" s="13">
        <v>0.1</v>
      </c>
      <c r="NYY103" s="13">
        <v>0.1</v>
      </c>
      <c r="NYZ103" s="13">
        <v>0.1</v>
      </c>
      <c r="NZA103" s="13">
        <v>0.1</v>
      </c>
      <c r="NZB103" s="13">
        <v>0.1</v>
      </c>
      <c r="NZC103" s="13">
        <v>0.1</v>
      </c>
      <c r="NZD103" s="13">
        <v>0.1</v>
      </c>
      <c r="NZE103" s="13">
        <v>0.1</v>
      </c>
      <c r="NZF103" s="13">
        <v>0.1</v>
      </c>
      <c r="NZG103" s="13">
        <v>0.1</v>
      </c>
      <c r="NZH103" s="13">
        <v>0.1</v>
      </c>
      <c r="NZI103" s="13">
        <v>0.1</v>
      </c>
      <c r="NZJ103" s="13">
        <v>0.1</v>
      </c>
      <c r="NZK103" s="13">
        <v>0.1</v>
      </c>
      <c r="NZL103" s="13">
        <v>0.1</v>
      </c>
      <c r="NZM103" s="13">
        <v>0.1</v>
      </c>
      <c r="NZN103" s="13">
        <v>0.1</v>
      </c>
      <c r="NZO103" s="13">
        <v>0.1</v>
      </c>
      <c r="NZP103" s="13">
        <v>0.1</v>
      </c>
      <c r="NZQ103" s="13">
        <v>0.1</v>
      </c>
      <c r="NZR103" s="13">
        <v>0.1</v>
      </c>
      <c r="NZS103" s="13">
        <v>0.1</v>
      </c>
      <c r="NZT103" s="13">
        <v>0.1</v>
      </c>
      <c r="NZU103" s="13">
        <v>0.1</v>
      </c>
      <c r="NZV103" s="13">
        <v>0.1</v>
      </c>
      <c r="NZW103" s="13">
        <v>0.1</v>
      </c>
      <c r="NZX103" s="13">
        <v>0.1</v>
      </c>
      <c r="NZY103" s="13">
        <v>0.1</v>
      </c>
      <c r="NZZ103" s="13">
        <v>0.1</v>
      </c>
      <c r="OAA103" s="13">
        <v>0.1</v>
      </c>
      <c r="OAB103" s="13">
        <v>0.1</v>
      </c>
      <c r="OAC103" s="13">
        <v>0.1</v>
      </c>
      <c r="OAD103" s="13">
        <v>0.1</v>
      </c>
      <c r="OAE103" s="13">
        <v>0.1</v>
      </c>
      <c r="OAF103" s="13">
        <v>0.1</v>
      </c>
      <c r="OAG103" s="13">
        <v>0.1</v>
      </c>
      <c r="OAH103" s="13">
        <v>0.1</v>
      </c>
      <c r="OAI103" s="13">
        <v>0.1</v>
      </c>
      <c r="OAJ103" s="13">
        <v>0.1</v>
      </c>
      <c r="OAK103" s="13">
        <v>0.1</v>
      </c>
      <c r="OAL103" s="13">
        <v>0.1</v>
      </c>
      <c r="OAM103" s="13">
        <v>0.1</v>
      </c>
      <c r="OAN103" s="13">
        <v>0.1</v>
      </c>
      <c r="OAO103" s="13">
        <v>0.1</v>
      </c>
      <c r="OAP103" s="13">
        <v>0.1</v>
      </c>
      <c r="OAQ103" s="13">
        <v>0.1</v>
      </c>
      <c r="OAR103" s="13">
        <v>0.1</v>
      </c>
      <c r="OAS103" s="13">
        <v>0.1</v>
      </c>
      <c r="OAT103" s="13">
        <v>0.1</v>
      </c>
      <c r="OAU103" s="13">
        <v>0.1</v>
      </c>
      <c r="OAV103" s="13">
        <v>0.1</v>
      </c>
      <c r="OAW103" s="13">
        <v>0.1</v>
      </c>
      <c r="OAX103" s="13">
        <v>0.1</v>
      </c>
      <c r="OAY103" s="13">
        <v>0.1</v>
      </c>
      <c r="OAZ103" s="13">
        <v>0.1</v>
      </c>
      <c r="OBA103" s="13">
        <v>0.1</v>
      </c>
      <c r="OBB103" s="13">
        <v>0.1</v>
      </c>
      <c r="OBC103" s="13">
        <v>0.1</v>
      </c>
      <c r="OBD103" s="13">
        <v>0.1</v>
      </c>
      <c r="OBE103" s="13">
        <v>0.1</v>
      </c>
      <c r="OBF103" s="13">
        <v>0.1</v>
      </c>
      <c r="OBG103" s="13">
        <v>0.1</v>
      </c>
      <c r="OBH103" s="13">
        <v>0.1</v>
      </c>
      <c r="OBI103" s="13">
        <v>0.1</v>
      </c>
      <c r="OBJ103" s="13">
        <v>0.1</v>
      </c>
      <c r="OBK103" s="13">
        <v>0.1</v>
      </c>
      <c r="OBL103" s="13">
        <v>0.1</v>
      </c>
      <c r="OBM103" s="13">
        <v>0.1</v>
      </c>
      <c r="OBN103" s="13">
        <v>0.1</v>
      </c>
      <c r="OBO103" s="13">
        <v>0.1</v>
      </c>
      <c r="OBP103" s="13">
        <v>0.1</v>
      </c>
      <c r="OBQ103" s="13">
        <v>0.1</v>
      </c>
      <c r="OBR103" s="13">
        <v>0.1</v>
      </c>
      <c r="OBS103" s="13">
        <v>0.1</v>
      </c>
      <c r="OBT103" s="13">
        <v>0.1</v>
      </c>
      <c r="OBU103" s="13">
        <v>0.1</v>
      </c>
      <c r="OBV103" s="13">
        <v>0.1</v>
      </c>
      <c r="OBW103" s="13">
        <v>0.1</v>
      </c>
      <c r="OBX103" s="13">
        <v>0.1</v>
      </c>
      <c r="OBY103" s="13">
        <v>0.1</v>
      </c>
      <c r="OBZ103" s="13">
        <v>0.1</v>
      </c>
      <c r="OCA103" s="13">
        <v>0.1</v>
      </c>
      <c r="OCB103" s="13">
        <v>0.1</v>
      </c>
      <c r="OCC103" s="13">
        <v>0.1</v>
      </c>
      <c r="OCD103" s="13">
        <v>0.1</v>
      </c>
      <c r="OCE103" s="13">
        <v>0.1</v>
      </c>
      <c r="OCF103" s="13">
        <v>0.1</v>
      </c>
      <c r="OCG103" s="13">
        <v>0.1</v>
      </c>
      <c r="OCH103" s="13">
        <v>0.1</v>
      </c>
      <c r="OCI103" s="13">
        <v>0.1</v>
      </c>
      <c r="OCJ103" s="13">
        <v>0.1</v>
      </c>
      <c r="OCK103" s="13">
        <v>0.1</v>
      </c>
      <c r="OCL103" s="13">
        <v>0.1</v>
      </c>
      <c r="OCM103" s="13">
        <v>0.1</v>
      </c>
      <c r="OCN103" s="13">
        <v>0.1</v>
      </c>
      <c r="OCO103" s="13">
        <v>0.1</v>
      </c>
      <c r="OCP103" s="13">
        <v>0.1</v>
      </c>
      <c r="OCQ103" s="13">
        <v>0.1</v>
      </c>
      <c r="OCR103" s="13">
        <v>0.1</v>
      </c>
      <c r="OCS103" s="13">
        <v>0.1</v>
      </c>
      <c r="OCT103" s="13">
        <v>0.1</v>
      </c>
      <c r="OCU103" s="13">
        <v>0.1</v>
      </c>
      <c r="OCV103" s="13">
        <v>0.1</v>
      </c>
      <c r="OCW103" s="13">
        <v>0.1</v>
      </c>
      <c r="OCX103" s="13">
        <v>0.1</v>
      </c>
      <c r="OCY103" s="13">
        <v>0.1</v>
      </c>
      <c r="OCZ103" s="13">
        <v>0.1</v>
      </c>
      <c r="ODA103" s="13">
        <v>0.1</v>
      </c>
      <c r="ODB103" s="13">
        <v>0.1</v>
      </c>
      <c r="ODC103" s="13">
        <v>0.1</v>
      </c>
      <c r="ODD103" s="13">
        <v>0.1</v>
      </c>
      <c r="ODE103" s="13">
        <v>0.1</v>
      </c>
      <c r="ODF103" s="13">
        <v>0.1</v>
      </c>
      <c r="ODG103" s="13">
        <v>0.1</v>
      </c>
      <c r="ODH103" s="13">
        <v>0.1</v>
      </c>
      <c r="ODI103" s="13">
        <v>0.1</v>
      </c>
      <c r="ODJ103" s="13">
        <v>0.1</v>
      </c>
      <c r="ODK103" s="13">
        <v>0.1</v>
      </c>
      <c r="ODL103" s="13">
        <v>0.1</v>
      </c>
      <c r="ODM103" s="13">
        <v>0.1</v>
      </c>
      <c r="ODN103" s="13">
        <v>0.1</v>
      </c>
      <c r="ODO103" s="13">
        <v>0.1</v>
      </c>
      <c r="ODP103" s="13">
        <v>0.1</v>
      </c>
      <c r="ODQ103" s="13">
        <v>0.1</v>
      </c>
      <c r="ODR103" s="13">
        <v>0.1</v>
      </c>
      <c r="ODS103" s="13">
        <v>0.1</v>
      </c>
      <c r="ODT103" s="13">
        <v>0.1</v>
      </c>
      <c r="ODU103" s="13">
        <v>0.1</v>
      </c>
      <c r="ODV103" s="13">
        <v>0.1</v>
      </c>
      <c r="ODW103" s="13">
        <v>0.1</v>
      </c>
      <c r="ODX103" s="13">
        <v>0.1</v>
      </c>
      <c r="ODY103" s="13">
        <v>0.1</v>
      </c>
      <c r="ODZ103" s="13">
        <v>0.1</v>
      </c>
      <c r="OEA103" s="13">
        <v>0.1</v>
      </c>
      <c r="OEB103" s="13">
        <v>0.1</v>
      </c>
      <c r="OEC103" s="13">
        <v>0.1</v>
      </c>
      <c r="OED103" s="13">
        <v>0.1</v>
      </c>
      <c r="OEE103" s="13">
        <v>0.1</v>
      </c>
      <c r="OEF103" s="13">
        <v>0.1</v>
      </c>
      <c r="OEG103" s="13">
        <v>0.1</v>
      </c>
      <c r="OEH103" s="13">
        <v>0.1</v>
      </c>
      <c r="OEI103" s="13">
        <v>0.1</v>
      </c>
      <c r="OEJ103" s="13">
        <v>0.1</v>
      </c>
      <c r="OEK103" s="13">
        <v>0.1</v>
      </c>
      <c r="OEL103" s="13">
        <v>0.1</v>
      </c>
      <c r="OEM103" s="13">
        <v>0.1</v>
      </c>
      <c r="OEN103" s="13">
        <v>0.1</v>
      </c>
      <c r="OEO103" s="13">
        <v>0.1</v>
      </c>
      <c r="OEP103" s="13">
        <v>0.1</v>
      </c>
      <c r="OEQ103" s="13">
        <v>0.1</v>
      </c>
      <c r="OER103" s="13">
        <v>0.1</v>
      </c>
      <c r="OES103" s="13">
        <v>0.1</v>
      </c>
      <c r="OET103" s="13">
        <v>0.1</v>
      </c>
      <c r="OEU103" s="13">
        <v>0.1</v>
      </c>
      <c r="OEV103" s="13">
        <v>0.1</v>
      </c>
      <c r="OEW103" s="13">
        <v>0.1</v>
      </c>
      <c r="OEX103" s="13">
        <v>0.1</v>
      </c>
      <c r="OEY103" s="13">
        <v>0.1</v>
      </c>
      <c r="OEZ103" s="13">
        <v>0.1</v>
      </c>
      <c r="OFA103" s="13">
        <v>0.1</v>
      </c>
      <c r="OFB103" s="13">
        <v>0.1</v>
      </c>
      <c r="OFC103" s="13">
        <v>0.1</v>
      </c>
      <c r="OFD103" s="13">
        <v>0.1</v>
      </c>
      <c r="OFE103" s="13">
        <v>0.1</v>
      </c>
      <c r="OFF103" s="13">
        <v>0.1</v>
      </c>
      <c r="OFG103" s="13">
        <v>0.1</v>
      </c>
      <c r="OFH103" s="13">
        <v>0.1</v>
      </c>
      <c r="OFI103" s="13">
        <v>0.1</v>
      </c>
      <c r="OFJ103" s="13">
        <v>0.1</v>
      </c>
      <c r="OFK103" s="13">
        <v>0.1</v>
      </c>
      <c r="OFL103" s="13">
        <v>0.1</v>
      </c>
      <c r="OFM103" s="13">
        <v>0.1</v>
      </c>
      <c r="OFN103" s="13">
        <v>0.1</v>
      </c>
      <c r="OFO103" s="13">
        <v>0.1</v>
      </c>
      <c r="OFP103" s="13">
        <v>0.1</v>
      </c>
      <c r="OFQ103" s="13">
        <v>0.1</v>
      </c>
      <c r="OFR103" s="13">
        <v>0.1</v>
      </c>
      <c r="OFS103" s="13">
        <v>0.1</v>
      </c>
      <c r="OFT103" s="13">
        <v>0.1</v>
      </c>
      <c r="OFU103" s="13">
        <v>0.1</v>
      </c>
      <c r="OFV103" s="13">
        <v>0.1</v>
      </c>
      <c r="OFW103" s="13">
        <v>0.1</v>
      </c>
      <c r="OFX103" s="13">
        <v>0.1</v>
      </c>
      <c r="OFY103" s="13">
        <v>0.1</v>
      </c>
      <c r="OFZ103" s="13">
        <v>0.1</v>
      </c>
      <c r="OGA103" s="13">
        <v>0.1</v>
      </c>
      <c r="OGB103" s="13">
        <v>0.1</v>
      </c>
      <c r="OGC103" s="13">
        <v>0.1</v>
      </c>
      <c r="OGD103" s="13">
        <v>0.1</v>
      </c>
      <c r="OGE103" s="13">
        <v>0.1</v>
      </c>
      <c r="OGF103" s="13">
        <v>0.1</v>
      </c>
      <c r="OGG103" s="13">
        <v>0.1</v>
      </c>
      <c r="OGH103" s="13">
        <v>0.1</v>
      </c>
      <c r="OGI103" s="13">
        <v>0.1</v>
      </c>
      <c r="OGJ103" s="13">
        <v>0.1</v>
      </c>
      <c r="OGK103" s="13">
        <v>0.1</v>
      </c>
      <c r="OGL103" s="13">
        <v>0.1</v>
      </c>
      <c r="OGM103" s="13">
        <v>0.1</v>
      </c>
      <c r="OGN103" s="13">
        <v>0.1</v>
      </c>
      <c r="OGO103" s="13">
        <v>0.1</v>
      </c>
      <c r="OGP103" s="13">
        <v>0.1</v>
      </c>
      <c r="OGQ103" s="13">
        <v>0.1</v>
      </c>
      <c r="OGR103" s="13">
        <v>0.1</v>
      </c>
      <c r="OGS103" s="13">
        <v>0.1</v>
      </c>
      <c r="OGT103" s="13">
        <v>0.1</v>
      </c>
      <c r="OGU103" s="13">
        <v>0.1</v>
      </c>
      <c r="OGV103" s="13">
        <v>0.1</v>
      </c>
      <c r="OGW103" s="13">
        <v>0.1</v>
      </c>
      <c r="OGX103" s="13">
        <v>0.1</v>
      </c>
      <c r="OGY103" s="13">
        <v>0.1</v>
      </c>
      <c r="OGZ103" s="13">
        <v>0.1</v>
      </c>
      <c r="OHA103" s="13">
        <v>0.1</v>
      </c>
      <c r="OHB103" s="13">
        <v>0.1</v>
      </c>
      <c r="OHC103" s="13">
        <v>0.1</v>
      </c>
      <c r="OHD103" s="13">
        <v>0.1</v>
      </c>
      <c r="OHE103" s="13">
        <v>0.1</v>
      </c>
      <c r="OHF103" s="13">
        <v>0.1</v>
      </c>
      <c r="OHG103" s="13">
        <v>0.1</v>
      </c>
      <c r="OHH103" s="13">
        <v>0.1</v>
      </c>
      <c r="OHI103" s="13">
        <v>0.1</v>
      </c>
      <c r="OHJ103" s="13">
        <v>0.1</v>
      </c>
      <c r="OHK103" s="13">
        <v>0.1</v>
      </c>
      <c r="OHL103" s="13">
        <v>0.1</v>
      </c>
      <c r="OHM103" s="13">
        <v>0.1</v>
      </c>
      <c r="OHN103" s="13">
        <v>0.1</v>
      </c>
      <c r="OHO103" s="13">
        <v>0.1</v>
      </c>
      <c r="OHP103" s="13">
        <v>0.1</v>
      </c>
      <c r="OHQ103" s="13">
        <v>0.1</v>
      </c>
      <c r="OHR103" s="13">
        <v>0.1</v>
      </c>
      <c r="OHS103" s="13">
        <v>0.1</v>
      </c>
      <c r="OHT103" s="13">
        <v>0.1</v>
      </c>
      <c r="OHU103" s="13">
        <v>0.1</v>
      </c>
      <c r="OHV103" s="13">
        <v>0.1</v>
      </c>
      <c r="OHW103" s="13">
        <v>0.1</v>
      </c>
      <c r="OHX103" s="13">
        <v>0.1</v>
      </c>
      <c r="OHY103" s="13">
        <v>0.1</v>
      </c>
      <c r="OHZ103" s="13">
        <v>0.1</v>
      </c>
      <c r="OIA103" s="13">
        <v>0.1</v>
      </c>
      <c r="OIB103" s="13">
        <v>0.1</v>
      </c>
      <c r="OIC103" s="13">
        <v>0.1</v>
      </c>
      <c r="OID103" s="13">
        <v>0.1</v>
      </c>
      <c r="OIE103" s="13">
        <v>0.1</v>
      </c>
      <c r="OIF103" s="13">
        <v>0.1</v>
      </c>
      <c r="OIG103" s="13">
        <v>0.1</v>
      </c>
      <c r="OIH103" s="13">
        <v>0.1</v>
      </c>
      <c r="OII103" s="13">
        <v>0.1</v>
      </c>
      <c r="OIJ103" s="13">
        <v>0.1</v>
      </c>
      <c r="OIK103" s="13">
        <v>0.1</v>
      </c>
      <c r="OIL103" s="13">
        <v>0.1</v>
      </c>
      <c r="OIM103" s="13">
        <v>0.1</v>
      </c>
      <c r="OIN103" s="13">
        <v>0.1</v>
      </c>
      <c r="OIO103" s="13">
        <v>0.1</v>
      </c>
      <c r="OIP103" s="13">
        <v>0.1</v>
      </c>
      <c r="OIQ103" s="13">
        <v>0.1</v>
      </c>
      <c r="OIR103" s="13">
        <v>0.1</v>
      </c>
      <c r="OIS103" s="13">
        <v>0.1</v>
      </c>
      <c r="OIT103" s="13">
        <v>0.1</v>
      </c>
      <c r="OIU103" s="13">
        <v>0.1</v>
      </c>
      <c r="OIV103" s="13">
        <v>0.1</v>
      </c>
      <c r="OIW103" s="13">
        <v>0.1</v>
      </c>
      <c r="OIX103" s="13">
        <v>0.1</v>
      </c>
      <c r="OIY103" s="13">
        <v>0.1</v>
      </c>
      <c r="OIZ103" s="13">
        <v>0.1</v>
      </c>
      <c r="OJA103" s="13">
        <v>0.1</v>
      </c>
      <c r="OJB103" s="13">
        <v>0.1</v>
      </c>
      <c r="OJC103" s="13">
        <v>0.1</v>
      </c>
      <c r="OJD103" s="13">
        <v>0.1</v>
      </c>
      <c r="OJE103" s="13">
        <v>0.1</v>
      </c>
      <c r="OJF103" s="13">
        <v>0.1</v>
      </c>
      <c r="OJG103" s="13">
        <v>0.1</v>
      </c>
      <c r="OJH103" s="13">
        <v>0.1</v>
      </c>
      <c r="OJI103" s="13">
        <v>0.1</v>
      </c>
      <c r="OJJ103" s="13">
        <v>0.1</v>
      </c>
      <c r="OJK103" s="13">
        <v>0.1</v>
      </c>
      <c r="OJL103" s="13">
        <v>0.1</v>
      </c>
      <c r="OJM103" s="13">
        <v>0.1</v>
      </c>
      <c r="OJN103" s="13">
        <v>0.1</v>
      </c>
      <c r="OJO103" s="13">
        <v>0.1</v>
      </c>
      <c r="OJP103" s="13">
        <v>0.1</v>
      </c>
      <c r="OJQ103" s="13">
        <v>0.1</v>
      </c>
      <c r="OJR103" s="13">
        <v>0.1</v>
      </c>
      <c r="OJS103" s="13">
        <v>0.1</v>
      </c>
      <c r="OJT103" s="13">
        <v>0.1</v>
      </c>
      <c r="OJU103" s="13">
        <v>0.1</v>
      </c>
      <c r="OJV103" s="13">
        <v>0.1</v>
      </c>
      <c r="OJW103" s="13">
        <v>0.1</v>
      </c>
      <c r="OJX103" s="13">
        <v>0.1</v>
      </c>
      <c r="OJY103" s="13">
        <v>0.1</v>
      </c>
      <c r="OJZ103" s="13">
        <v>0.1</v>
      </c>
      <c r="OKA103" s="13">
        <v>0.1</v>
      </c>
      <c r="OKB103" s="13">
        <v>0.1</v>
      </c>
      <c r="OKC103" s="13">
        <v>0.1</v>
      </c>
      <c r="OKD103" s="13">
        <v>0.1</v>
      </c>
      <c r="OKE103" s="13">
        <v>0.1</v>
      </c>
      <c r="OKF103" s="13">
        <v>0.1</v>
      </c>
      <c r="OKG103" s="13">
        <v>0.1</v>
      </c>
      <c r="OKH103" s="13">
        <v>0.1</v>
      </c>
      <c r="OKI103" s="13">
        <v>0.1</v>
      </c>
      <c r="OKJ103" s="13">
        <v>0.1</v>
      </c>
      <c r="OKK103" s="13">
        <v>0.1</v>
      </c>
      <c r="OKL103" s="13">
        <v>0.1</v>
      </c>
      <c r="OKM103" s="13">
        <v>0.1</v>
      </c>
      <c r="OKN103" s="13">
        <v>0.1</v>
      </c>
      <c r="OKO103" s="13">
        <v>0.1</v>
      </c>
      <c r="OKP103" s="13">
        <v>0.1</v>
      </c>
      <c r="OKQ103" s="13">
        <v>0.1</v>
      </c>
      <c r="OKR103" s="13">
        <v>0.1</v>
      </c>
      <c r="OKS103" s="13">
        <v>0.1</v>
      </c>
      <c r="OKT103" s="13">
        <v>0.1</v>
      </c>
      <c r="OKU103" s="13">
        <v>0.1</v>
      </c>
      <c r="OKV103" s="13">
        <v>0.1</v>
      </c>
      <c r="OKW103" s="13">
        <v>0.1</v>
      </c>
      <c r="OKX103" s="13">
        <v>0.1</v>
      </c>
      <c r="OKY103" s="13">
        <v>0.1</v>
      </c>
      <c r="OKZ103" s="13">
        <v>0.1</v>
      </c>
      <c r="OLA103" s="13">
        <v>0.1</v>
      </c>
      <c r="OLB103" s="13">
        <v>0.1</v>
      </c>
      <c r="OLC103" s="13">
        <v>0.1</v>
      </c>
      <c r="OLD103" s="13">
        <v>0.1</v>
      </c>
      <c r="OLE103" s="13">
        <v>0.1</v>
      </c>
      <c r="OLF103" s="13">
        <v>0.1</v>
      </c>
      <c r="OLG103" s="13">
        <v>0.1</v>
      </c>
      <c r="OLH103" s="13">
        <v>0.1</v>
      </c>
      <c r="OLI103" s="13">
        <v>0.1</v>
      </c>
      <c r="OLJ103" s="13">
        <v>0.1</v>
      </c>
      <c r="OLK103" s="13">
        <v>0.1</v>
      </c>
      <c r="OLL103" s="13">
        <v>0.1</v>
      </c>
      <c r="OLM103" s="13">
        <v>0.1</v>
      </c>
      <c r="OLN103" s="13">
        <v>0.1</v>
      </c>
      <c r="OLO103" s="13">
        <v>0.1</v>
      </c>
      <c r="OLP103" s="13">
        <v>0.1</v>
      </c>
      <c r="OLQ103" s="13">
        <v>0.1</v>
      </c>
      <c r="OLR103" s="13">
        <v>0.1</v>
      </c>
      <c r="OLS103" s="13">
        <v>0.1</v>
      </c>
      <c r="OLT103" s="13">
        <v>0.1</v>
      </c>
      <c r="OLU103" s="13">
        <v>0.1</v>
      </c>
      <c r="OLV103" s="13">
        <v>0.1</v>
      </c>
      <c r="OLW103" s="13">
        <v>0.1</v>
      </c>
      <c r="OLX103" s="13">
        <v>0.1</v>
      </c>
      <c r="OLY103" s="13">
        <v>0.1</v>
      </c>
      <c r="OLZ103" s="13">
        <v>0.1</v>
      </c>
      <c r="OMA103" s="13">
        <v>0.1</v>
      </c>
      <c r="OMB103" s="13">
        <v>0.1</v>
      </c>
      <c r="OMC103" s="13">
        <v>0.1</v>
      </c>
      <c r="OMD103" s="13">
        <v>0.1</v>
      </c>
      <c r="OME103" s="13">
        <v>0.1</v>
      </c>
      <c r="OMF103" s="13">
        <v>0.1</v>
      </c>
      <c r="OMG103" s="13">
        <v>0.1</v>
      </c>
      <c r="OMH103" s="13">
        <v>0.1</v>
      </c>
      <c r="OMI103" s="13">
        <v>0.1</v>
      </c>
      <c r="OMJ103" s="13">
        <v>0.1</v>
      </c>
      <c r="OMK103" s="13">
        <v>0.1</v>
      </c>
      <c r="OML103" s="13">
        <v>0.1</v>
      </c>
      <c r="OMM103" s="13">
        <v>0.1</v>
      </c>
      <c r="OMN103" s="13">
        <v>0.1</v>
      </c>
      <c r="OMO103" s="13">
        <v>0.1</v>
      </c>
      <c r="OMP103" s="13">
        <v>0.1</v>
      </c>
      <c r="OMQ103" s="13">
        <v>0.1</v>
      </c>
      <c r="OMR103" s="13">
        <v>0.1</v>
      </c>
      <c r="OMS103" s="13">
        <v>0.1</v>
      </c>
      <c r="OMT103" s="13">
        <v>0.1</v>
      </c>
      <c r="OMU103" s="13">
        <v>0.1</v>
      </c>
      <c r="OMV103" s="13">
        <v>0.1</v>
      </c>
      <c r="OMW103" s="13">
        <v>0.1</v>
      </c>
      <c r="OMX103" s="13">
        <v>0.1</v>
      </c>
      <c r="OMY103" s="13">
        <v>0.1</v>
      </c>
      <c r="OMZ103" s="13">
        <v>0.1</v>
      </c>
      <c r="ONA103" s="13">
        <v>0.1</v>
      </c>
      <c r="ONB103" s="13">
        <v>0.1</v>
      </c>
      <c r="ONC103" s="13">
        <v>0.1</v>
      </c>
      <c r="OND103" s="13">
        <v>0.1</v>
      </c>
      <c r="ONE103" s="13">
        <v>0.1</v>
      </c>
      <c r="ONF103" s="13">
        <v>0.1</v>
      </c>
      <c r="ONG103" s="13">
        <v>0.1</v>
      </c>
      <c r="ONH103" s="13">
        <v>0.1</v>
      </c>
      <c r="ONI103" s="13">
        <v>0.1</v>
      </c>
      <c r="ONJ103" s="13">
        <v>0.1</v>
      </c>
      <c r="ONK103" s="13">
        <v>0.1</v>
      </c>
      <c r="ONL103" s="13">
        <v>0.1</v>
      </c>
      <c r="ONM103" s="13">
        <v>0.1</v>
      </c>
      <c r="ONN103" s="13">
        <v>0.1</v>
      </c>
      <c r="ONO103" s="13">
        <v>0.1</v>
      </c>
      <c r="ONP103" s="13">
        <v>0.1</v>
      </c>
      <c r="ONQ103" s="13">
        <v>0.1</v>
      </c>
      <c r="ONR103" s="13">
        <v>0.1</v>
      </c>
      <c r="ONS103" s="13">
        <v>0.1</v>
      </c>
      <c r="ONT103" s="13">
        <v>0.1</v>
      </c>
      <c r="ONU103" s="13">
        <v>0.1</v>
      </c>
      <c r="ONV103" s="13">
        <v>0.1</v>
      </c>
      <c r="ONW103" s="13">
        <v>0.1</v>
      </c>
      <c r="ONX103" s="13">
        <v>0.1</v>
      </c>
      <c r="ONY103" s="13">
        <v>0.1</v>
      </c>
      <c r="ONZ103" s="13">
        <v>0.1</v>
      </c>
      <c r="OOA103" s="13">
        <v>0.1</v>
      </c>
      <c r="OOB103" s="13">
        <v>0.1</v>
      </c>
      <c r="OOC103" s="13">
        <v>0.1</v>
      </c>
      <c r="OOD103" s="13">
        <v>0.1</v>
      </c>
      <c r="OOE103" s="13">
        <v>0.1</v>
      </c>
      <c r="OOF103" s="13">
        <v>0.1</v>
      </c>
      <c r="OOG103" s="13">
        <v>0.1</v>
      </c>
      <c r="OOH103" s="13">
        <v>0.1</v>
      </c>
      <c r="OOI103" s="13">
        <v>0.1</v>
      </c>
      <c r="OOJ103" s="13">
        <v>0.1</v>
      </c>
      <c r="OOK103" s="13">
        <v>0.1</v>
      </c>
      <c r="OOL103" s="13">
        <v>0.1</v>
      </c>
      <c r="OOM103" s="13">
        <v>0.1</v>
      </c>
      <c r="OON103" s="13">
        <v>0.1</v>
      </c>
      <c r="OOO103" s="13">
        <v>0.1</v>
      </c>
      <c r="OOP103" s="13">
        <v>0.1</v>
      </c>
      <c r="OOQ103" s="13">
        <v>0.1</v>
      </c>
      <c r="OOR103" s="13">
        <v>0.1</v>
      </c>
      <c r="OOS103" s="13">
        <v>0.1</v>
      </c>
      <c r="OOT103" s="13">
        <v>0.1</v>
      </c>
      <c r="OOU103" s="13">
        <v>0.1</v>
      </c>
      <c r="OOV103" s="13">
        <v>0.1</v>
      </c>
      <c r="OOW103" s="13">
        <v>0.1</v>
      </c>
      <c r="OOX103" s="13">
        <v>0.1</v>
      </c>
      <c r="OOY103" s="13">
        <v>0.1</v>
      </c>
      <c r="OOZ103" s="13">
        <v>0.1</v>
      </c>
      <c r="OPA103" s="13">
        <v>0.1</v>
      </c>
      <c r="OPB103" s="13">
        <v>0.1</v>
      </c>
      <c r="OPC103" s="13">
        <v>0.1</v>
      </c>
      <c r="OPD103" s="13">
        <v>0.1</v>
      </c>
      <c r="OPE103" s="13">
        <v>0.1</v>
      </c>
      <c r="OPF103" s="13">
        <v>0.1</v>
      </c>
      <c r="OPG103" s="13">
        <v>0.1</v>
      </c>
      <c r="OPH103" s="13">
        <v>0.1</v>
      </c>
      <c r="OPI103" s="13">
        <v>0.1</v>
      </c>
      <c r="OPJ103" s="13">
        <v>0.1</v>
      </c>
      <c r="OPK103" s="13">
        <v>0.1</v>
      </c>
      <c r="OPL103" s="13">
        <v>0.1</v>
      </c>
      <c r="OPM103" s="13">
        <v>0.1</v>
      </c>
      <c r="OPN103" s="13">
        <v>0.1</v>
      </c>
      <c r="OPO103" s="13">
        <v>0.1</v>
      </c>
      <c r="OPP103" s="13">
        <v>0.1</v>
      </c>
      <c r="OPQ103" s="13">
        <v>0.1</v>
      </c>
      <c r="OPR103" s="13">
        <v>0.1</v>
      </c>
      <c r="OPS103" s="13">
        <v>0.1</v>
      </c>
      <c r="OPT103" s="13">
        <v>0.1</v>
      </c>
      <c r="OPU103" s="13">
        <v>0.1</v>
      </c>
      <c r="OPV103" s="13">
        <v>0.1</v>
      </c>
      <c r="OPW103" s="13">
        <v>0.1</v>
      </c>
      <c r="OPX103" s="13">
        <v>0.1</v>
      </c>
      <c r="OPY103" s="13">
        <v>0.1</v>
      </c>
      <c r="OPZ103" s="13">
        <v>0.1</v>
      </c>
      <c r="OQA103" s="13">
        <v>0.1</v>
      </c>
      <c r="OQB103" s="13">
        <v>0.1</v>
      </c>
      <c r="OQC103" s="13">
        <v>0.1</v>
      </c>
      <c r="OQD103" s="13">
        <v>0.1</v>
      </c>
      <c r="OQE103" s="13">
        <v>0.1</v>
      </c>
      <c r="OQF103" s="13">
        <v>0.1</v>
      </c>
      <c r="OQG103" s="13">
        <v>0.1</v>
      </c>
      <c r="OQH103" s="13">
        <v>0.1</v>
      </c>
      <c r="OQI103" s="13">
        <v>0.1</v>
      </c>
      <c r="OQJ103" s="13">
        <v>0.1</v>
      </c>
      <c r="OQK103" s="13">
        <v>0.1</v>
      </c>
      <c r="OQL103" s="13">
        <v>0.1</v>
      </c>
      <c r="OQM103" s="13">
        <v>0.1</v>
      </c>
      <c r="OQN103" s="13">
        <v>0.1</v>
      </c>
      <c r="OQO103" s="13">
        <v>0.1</v>
      </c>
      <c r="OQP103" s="13">
        <v>0.1</v>
      </c>
      <c r="OQQ103" s="13">
        <v>0.1</v>
      </c>
      <c r="OQR103" s="13">
        <v>0.1</v>
      </c>
      <c r="OQS103" s="13">
        <v>0.1</v>
      </c>
      <c r="OQT103" s="13">
        <v>0.1</v>
      </c>
      <c r="OQU103" s="13">
        <v>0.1</v>
      </c>
      <c r="OQV103" s="13">
        <v>0.1</v>
      </c>
      <c r="OQW103" s="13">
        <v>0.1</v>
      </c>
      <c r="OQX103" s="13">
        <v>0.1</v>
      </c>
      <c r="OQY103" s="13">
        <v>0.1</v>
      </c>
      <c r="OQZ103" s="13">
        <v>0.1</v>
      </c>
      <c r="ORA103" s="13">
        <v>0.1</v>
      </c>
      <c r="ORB103" s="13">
        <v>0.1</v>
      </c>
      <c r="ORC103" s="13">
        <v>0.1</v>
      </c>
      <c r="ORD103" s="13">
        <v>0.1</v>
      </c>
      <c r="ORE103" s="13">
        <v>0.1</v>
      </c>
      <c r="ORF103" s="13">
        <v>0.1</v>
      </c>
      <c r="ORG103" s="13">
        <v>0.1</v>
      </c>
      <c r="ORH103" s="13">
        <v>0.1</v>
      </c>
      <c r="ORI103" s="13">
        <v>0.1</v>
      </c>
      <c r="ORJ103" s="13">
        <v>0.1</v>
      </c>
      <c r="ORK103" s="13">
        <v>0.1</v>
      </c>
      <c r="ORL103" s="13">
        <v>0.1</v>
      </c>
      <c r="ORM103" s="13">
        <v>0.1</v>
      </c>
      <c r="ORN103" s="13">
        <v>0.1</v>
      </c>
      <c r="ORO103" s="13">
        <v>0.1</v>
      </c>
      <c r="ORP103" s="13">
        <v>0.1</v>
      </c>
      <c r="ORQ103" s="13">
        <v>0.1</v>
      </c>
      <c r="ORR103" s="13">
        <v>0.1</v>
      </c>
      <c r="ORS103" s="13">
        <v>0.1</v>
      </c>
      <c r="ORT103" s="13">
        <v>0.1</v>
      </c>
      <c r="ORU103" s="13">
        <v>0.1</v>
      </c>
      <c r="ORV103" s="13">
        <v>0.1</v>
      </c>
      <c r="ORW103" s="13">
        <v>0.1</v>
      </c>
      <c r="ORX103" s="13">
        <v>0.1</v>
      </c>
      <c r="ORY103" s="13">
        <v>0.1</v>
      </c>
      <c r="ORZ103" s="13">
        <v>0.1</v>
      </c>
      <c r="OSA103" s="13">
        <v>0.1</v>
      </c>
      <c r="OSB103" s="13">
        <v>0.1</v>
      </c>
      <c r="OSC103" s="13">
        <v>0.1</v>
      </c>
      <c r="OSD103" s="13">
        <v>0.1</v>
      </c>
      <c r="OSE103" s="13">
        <v>0.1</v>
      </c>
      <c r="OSF103" s="13">
        <v>0.1</v>
      </c>
      <c r="OSG103" s="13">
        <v>0.1</v>
      </c>
      <c r="OSH103" s="13">
        <v>0.1</v>
      </c>
      <c r="OSI103" s="13">
        <v>0.1</v>
      </c>
      <c r="OSJ103" s="13">
        <v>0.1</v>
      </c>
      <c r="OSK103" s="13">
        <v>0.1</v>
      </c>
      <c r="OSL103" s="13">
        <v>0.1</v>
      </c>
      <c r="OSM103" s="13">
        <v>0.1</v>
      </c>
      <c r="OSN103" s="13">
        <v>0.1</v>
      </c>
      <c r="OSO103" s="13">
        <v>0.1</v>
      </c>
      <c r="OSP103" s="13">
        <v>0.1</v>
      </c>
      <c r="OSQ103" s="13">
        <v>0.1</v>
      </c>
      <c r="OSR103" s="13">
        <v>0.1</v>
      </c>
      <c r="OSS103" s="13">
        <v>0.1</v>
      </c>
      <c r="OST103" s="13">
        <v>0.1</v>
      </c>
      <c r="OSU103" s="13">
        <v>0.1</v>
      </c>
      <c r="OSV103" s="13">
        <v>0.1</v>
      </c>
      <c r="OSW103" s="13">
        <v>0.1</v>
      </c>
      <c r="OSX103" s="13">
        <v>0.1</v>
      </c>
      <c r="OSY103" s="13">
        <v>0.1</v>
      </c>
      <c r="OSZ103" s="13">
        <v>0.1</v>
      </c>
      <c r="OTA103" s="13">
        <v>0.1</v>
      </c>
      <c r="OTB103" s="13">
        <v>0.1</v>
      </c>
      <c r="OTC103" s="13">
        <v>0.1</v>
      </c>
      <c r="OTD103" s="13">
        <v>0.1</v>
      </c>
      <c r="OTE103" s="13">
        <v>0.1</v>
      </c>
      <c r="OTF103" s="13">
        <v>0.1</v>
      </c>
      <c r="OTG103" s="13">
        <v>0.1</v>
      </c>
      <c r="OTH103" s="13">
        <v>0.1</v>
      </c>
      <c r="OTI103" s="13">
        <v>0.1</v>
      </c>
      <c r="OTJ103" s="13">
        <v>0.1</v>
      </c>
      <c r="OTK103" s="13">
        <v>0.1</v>
      </c>
      <c r="OTL103" s="13">
        <v>0.1</v>
      </c>
      <c r="OTM103" s="13">
        <v>0.1</v>
      </c>
      <c r="OTN103" s="13">
        <v>0.1</v>
      </c>
      <c r="OTO103" s="13">
        <v>0.1</v>
      </c>
      <c r="OTP103" s="13">
        <v>0.1</v>
      </c>
      <c r="OTQ103" s="13">
        <v>0.1</v>
      </c>
      <c r="OTR103" s="13">
        <v>0.1</v>
      </c>
      <c r="OTS103" s="13">
        <v>0.1</v>
      </c>
      <c r="OTT103" s="13">
        <v>0.1</v>
      </c>
      <c r="OTU103" s="13">
        <v>0.1</v>
      </c>
      <c r="OTV103" s="13">
        <v>0.1</v>
      </c>
      <c r="OTW103" s="13">
        <v>0.1</v>
      </c>
      <c r="OTX103" s="13">
        <v>0.1</v>
      </c>
      <c r="OTY103" s="13">
        <v>0.1</v>
      </c>
      <c r="OTZ103" s="13">
        <v>0.1</v>
      </c>
      <c r="OUA103" s="13">
        <v>0.1</v>
      </c>
      <c r="OUB103" s="13">
        <v>0.1</v>
      </c>
      <c r="OUC103" s="13">
        <v>0.1</v>
      </c>
      <c r="OUD103" s="13">
        <v>0.1</v>
      </c>
      <c r="OUE103" s="13">
        <v>0.1</v>
      </c>
      <c r="OUF103" s="13">
        <v>0.1</v>
      </c>
      <c r="OUG103" s="13">
        <v>0.1</v>
      </c>
      <c r="OUH103" s="13">
        <v>0.1</v>
      </c>
      <c r="OUI103" s="13">
        <v>0.1</v>
      </c>
      <c r="OUJ103" s="13">
        <v>0.1</v>
      </c>
      <c r="OUK103" s="13">
        <v>0.1</v>
      </c>
      <c r="OUL103" s="13">
        <v>0.1</v>
      </c>
      <c r="OUM103" s="13">
        <v>0.1</v>
      </c>
      <c r="OUN103" s="13">
        <v>0.1</v>
      </c>
      <c r="OUO103" s="13">
        <v>0.1</v>
      </c>
      <c r="OUP103" s="13">
        <v>0.1</v>
      </c>
      <c r="OUQ103" s="13">
        <v>0.1</v>
      </c>
      <c r="OUR103" s="13">
        <v>0.1</v>
      </c>
      <c r="OUS103" s="13">
        <v>0.1</v>
      </c>
      <c r="OUT103" s="13">
        <v>0.1</v>
      </c>
      <c r="OUU103" s="13">
        <v>0.1</v>
      </c>
      <c r="OUV103" s="13">
        <v>0.1</v>
      </c>
      <c r="OUW103" s="13">
        <v>0.1</v>
      </c>
      <c r="OUX103" s="13">
        <v>0.1</v>
      </c>
      <c r="OUY103" s="13">
        <v>0.1</v>
      </c>
      <c r="OUZ103" s="13">
        <v>0.1</v>
      </c>
      <c r="OVA103" s="13">
        <v>0.1</v>
      </c>
      <c r="OVB103" s="13">
        <v>0.1</v>
      </c>
      <c r="OVC103" s="13">
        <v>0.1</v>
      </c>
      <c r="OVD103" s="13">
        <v>0.1</v>
      </c>
      <c r="OVE103" s="13">
        <v>0.1</v>
      </c>
      <c r="OVF103" s="13">
        <v>0.1</v>
      </c>
      <c r="OVG103" s="13">
        <v>0.1</v>
      </c>
      <c r="OVH103" s="13">
        <v>0.1</v>
      </c>
      <c r="OVI103" s="13">
        <v>0.1</v>
      </c>
      <c r="OVJ103" s="13">
        <v>0.1</v>
      </c>
      <c r="OVK103" s="13">
        <v>0.1</v>
      </c>
      <c r="OVL103" s="13">
        <v>0.1</v>
      </c>
      <c r="OVM103" s="13">
        <v>0.1</v>
      </c>
      <c r="OVN103" s="13">
        <v>0.1</v>
      </c>
      <c r="OVO103" s="13">
        <v>0.1</v>
      </c>
      <c r="OVP103" s="13">
        <v>0.1</v>
      </c>
      <c r="OVQ103" s="13">
        <v>0.1</v>
      </c>
      <c r="OVR103" s="13">
        <v>0.1</v>
      </c>
      <c r="OVS103" s="13">
        <v>0.1</v>
      </c>
      <c r="OVT103" s="13">
        <v>0.1</v>
      </c>
      <c r="OVU103" s="13">
        <v>0.1</v>
      </c>
      <c r="OVV103" s="13">
        <v>0.1</v>
      </c>
      <c r="OVW103" s="13">
        <v>0.1</v>
      </c>
      <c r="OVX103" s="13">
        <v>0.1</v>
      </c>
      <c r="OVY103" s="13">
        <v>0.1</v>
      </c>
      <c r="OVZ103" s="13">
        <v>0.1</v>
      </c>
      <c r="OWA103" s="13">
        <v>0.1</v>
      </c>
      <c r="OWB103" s="13">
        <v>0.1</v>
      </c>
      <c r="OWC103" s="13">
        <v>0.1</v>
      </c>
      <c r="OWD103" s="13">
        <v>0.1</v>
      </c>
      <c r="OWE103" s="13">
        <v>0.1</v>
      </c>
      <c r="OWF103" s="13">
        <v>0.1</v>
      </c>
      <c r="OWG103" s="13">
        <v>0.1</v>
      </c>
      <c r="OWH103" s="13">
        <v>0.1</v>
      </c>
      <c r="OWI103" s="13">
        <v>0.1</v>
      </c>
      <c r="OWJ103" s="13">
        <v>0.1</v>
      </c>
      <c r="OWK103" s="13">
        <v>0.1</v>
      </c>
      <c r="OWL103" s="13">
        <v>0.1</v>
      </c>
      <c r="OWM103" s="13">
        <v>0.1</v>
      </c>
      <c r="OWN103" s="13">
        <v>0.1</v>
      </c>
      <c r="OWO103" s="13">
        <v>0.1</v>
      </c>
      <c r="OWP103" s="13">
        <v>0.1</v>
      </c>
      <c r="OWQ103" s="13">
        <v>0.1</v>
      </c>
      <c r="OWR103" s="13">
        <v>0.1</v>
      </c>
      <c r="OWS103" s="13">
        <v>0.1</v>
      </c>
      <c r="OWT103" s="13">
        <v>0.1</v>
      </c>
      <c r="OWU103" s="13">
        <v>0.1</v>
      </c>
      <c r="OWV103" s="13">
        <v>0.1</v>
      </c>
      <c r="OWW103" s="13">
        <v>0.1</v>
      </c>
      <c r="OWX103" s="13">
        <v>0.1</v>
      </c>
      <c r="OWY103" s="13">
        <v>0.1</v>
      </c>
      <c r="OWZ103" s="13">
        <v>0.1</v>
      </c>
      <c r="OXA103" s="13">
        <v>0.1</v>
      </c>
      <c r="OXB103" s="13">
        <v>0.1</v>
      </c>
      <c r="OXC103" s="13">
        <v>0.1</v>
      </c>
      <c r="OXD103" s="13">
        <v>0.1</v>
      </c>
      <c r="OXE103" s="13">
        <v>0.1</v>
      </c>
      <c r="OXF103" s="13">
        <v>0.1</v>
      </c>
      <c r="OXG103" s="13">
        <v>0.1</v>
      </c>
      <c r="OXH103" s="13">
        <v>0.1</v>
      </c>
      <c r="OXI103" s="13">
        <v>0.1</v>
      </c>
      <c r="OXJ103" s="13">
        <v>0.1</v>
      </c>
      <c r="OXK103" s="13">
        <v>0.1</v>
      </c>
      <c r="OXL103" s="13">
        <v>0.1</v>
      </c>
      <c r="OXM103" s="13">
        <v>0.1</v>
      </c>
      <c r="OXN103" s="13">
        <v>0.1</v>
      </c>
      <c r="OXO103" s="13">
        <v>0.1</v>
      </c>
      <c r="OXP103" s="13">
        <v>0.1</v>
      </c>
      <c r="OXQ103" s="13">
        <v>0.1</v>
      </c>
      <c r="OXR103" s="13">
        <v>0.1</v>
      </c>
      <c r="OXS103" s="13">
        <v>0.1</v>
      </c>
      <c r="OXT103" s="13">
        <v>0.1</v>
      </c>
      <c r="OXU103" s="13">
        <v>0.1</v>
      </c>
      <c r="OXV103" s="13">
        <v>0.1</v>
      </c>
      <c r="OXW103" s="13">
        <v>0.1</v>
      </c>
      <c r="OXX103" s="13">
        <v>0.1</v>
      </c>
      <c r="OXY103" s="13">
        <v>0.1</v>
      </c>
      <c r="OXZ103" s="13">
        <v>0.1</v>
      </c>
      <c r="OYA103" s="13">
        <v>0.1</v>
      </c>
      <c r="OYB103" s="13">
        <v>0.1</v>
      </c>
      <c r="OYC103" s="13">
        <v>0.1</v>
      </c>
      <c r="OYD103" s="13">
        <v>0.1</v>
      </c>
      <c r="OYE103" s="13">
        <v>0.1</v>
      </c>
      <c r="OYF103" s="13">
        <v>0.1</v>
      </c>
      <c r="OYG103" s="13">
        <v>0.1</v>
      </c>
      <c r="OYH103" s="13">
        <v>0.1</v>
      </c>
      <c r="OYI103" s="13">
        <v>0.1</v>
      </c>
      <c r="OYJ103" s="13">
        <v>0.1</v>
      </c>
      <c r="OYK103" s="13">
        <v>0.1</v>
      </c>
      <c r="OYL103" s="13">
        <v>0.1</v>
      </c>
      <c r="OYM103" s="13">
        <v>0.1</v>
      </c>
      <c r="OYN103" s="13">
        <v>0.1</v>
      </c>
      <c r="OYO103" s="13">
        <v>0.1</v>
      </c>
      <c r="OYP103" s="13">
        <v>0.1</v>
      </c>
      <c r="OYQ103" s="13">
        <v>0.1</v>
      </c>
      <c r="OYR103" s="13">
        <v>0.1</v>
      </c>
      <c r="OYS103" s="13">
        <v>0.1</v>
      </c>
      <c r="OYT103" s="13">
        <v>0.1</v>
      </c>
      <c r="OYU103" s="13">
        <v>0.1</v>
      </c>
      <c r="OYV103" s="13">
        <v>0.1</v>
      </c>
      <c r="OYW103" s="13">
        <v>0.1</v>
      </c>
      <c r="OYX103" s="13">
        <v>0.1</v>
      </c>
      <c r="OYY103" s="13">
        <v>0.1</v>
      </c>
      <c r="OYZ103" s="13">
        <v>0.1</v>
      </c>
      <c r="OZA103" s="13">
        <v>0.1</v>
      </c>
      <c r="OZB103" s="13">
        <v>0.1</v>
      </c>
      <c r="OZC103" s="13">
        <v>0.1</v>
      </c>
      <c r="OZD103" s="13">
        <v>0.1</v>
      </c>
      <c r="OZE103" s="13">
        <v>0.1</v>
      </c>
      <c r="OZF103" s="13">
        <v>0.1</v>
      </c>
      <c r="OZG103" s="13">
        <v>0.1</v>
      </c>
      <c r="OZH103" s="13">
        <v>0.1</v>
      </c>
      <c r="OZI103" s="13">
        <v>0.1</v>
      </c>
      <c r="OZJ103" s="13">
        <v>0.1</v>
      </c>
      <c r="OZK103" s="13">
        <v>0.1</v>
      </c>
      <c r="OZL103" s="13">
        <v>0.1</v>
      </c>
      <c r="OZM103" s="13">
        <v>0.1</v>
      </c>
      <c r="OZN103" s="13">
        <v>0.1</v>
      </c>
      <c r="OZO103" s="13">
        <v>0.1</v>
      </c>
      <c r="OZP103" s="13">
        <v>0.1</v>
      </c>
      <c r="OZQ103" s="13">
        <v>0.1</v>
      </c>
      <c r="OZR103" s="13">
        <v>0.1</v>
      </c>
      <c r="OZS103" s="13">
        <v>0.1</v>
      </c>
      <c r="OZT103" s="13">
        <v>0.1</v>
      </c>
      <c r="OZU103" s="13">
        <v>0.1</v>
      </c>
      <c r="OZV103" s="13">
        <v>0.1</v>
      </c>
      <c r="OZW103" s="13">
        <v>0.1</v>
      </c>
      <c r="OZX103" s="13">
        <v>0.1</v>
      </c>
      <c r="OZY103" s="13">
        <v>0.1</v>
      </c>
      <c r="OZZ103" s="13">
        <v>0.1</v>
      </c>
      <c r="PAA103" s="13">
        <v>0.1</v>
      </c>
      <c r="PAB103" s="13">
        <v>0.1</v>
      </c>
      <c r="PAC103" s="13">
        <v>0.1</v>
      </c>
      <c r="PAD103" s="13">
        <v>0.1</v>
      </c>
      <c r="PAE103" s="13">
        <v>0.1</v>
      </c>
      <c r="PAF103" s="13">
        <v>0.1</v>
      </c>
      <c r="PAG103" s="13">
        <v>0.1</v>
      </c>
      <c r="PAH103" s="13">
        <v>0.1</v>
      </c>
      <c r="PAI103" s="13">
        <v>0.1</v>
      </c>
      <c r="PAJ103" s="13">
        <v>0.1</v>
      </c>
      <c r="PAK103" s="13">
        <v>0.1</v>
      </c>
      <c r="PAL103" s="13">
        <v>0.1</v>
      </c>
      <c r="PAM103" s="13">
        <v>0.1</v>
      </c>
      <c r="PAN103" s="13">
        <v>0.1</v>
      </c>
      <c r="PAO103" s="13">
        <v>0.1</v>
      </c>
      <c r="PAP103" s="13">
        <v>0.1</v>
      </c>
      <c r="PAQ103" s="13">
        <v>0.1</v>
      </c>
      <c r="PAR103" s="13">
        <v>0.1</v>
      </c>
      <c r="PAS103" s="13">
        <v>0.1</v>
      </c>
      <c r="PAT103" s="13">
        <v>0.1</v>
      </c>
      <c r="PAU103" s="13">
        <v>0.1</v>
      </c>
      <c r="PAV103" s="13">
        <v>0.1</v>
      </c>
      <c r="PAW103" s="13">
        <v>0.1</v>
      </c>
      <c r="PAX103" s="13">
        <v>0.1</v>
      </c>
      <c r="PAY103" s="13">
        <v>0.1</v>
      </c>
      <c r="PAZ103" s="13">
        <v>0.1</v>
      </c>
      <c r="PBA103" s="13">
        <v>0.1</v>
      </c>
      <c r="PBB103" s="13">
        <v>0.1</v>
      </c>
      <c r="PBC103" s="13">
        <v>0.1</v>
      </c>
      <c r="PBD103" s="13">
        <v>0.1</v>
      </c>
      <c r="PBE103" s="13">
        <v>0.1</v>
      </c>
      <c r="PBF103" s="13">
        <v>0.1</v>
      </c>
      <c r="PBG103" s="13">
        <v>0.1</v>
      </c>
      <c r="PBH103" s="13">
        <v>0.1</v>
      </c>
      <c r="PBI103" s="13">
        <v>0.1</v>
      </c>
      <c r="PBJ103" s="13">
        <v>0.1</v>
      </c>
      <c r="PBK103" s="13">
        <v>0.1</v>
      </c>
      <c r="PBL103" s="13">
        <v>0.1</v>
      </c>
      <c r="PBM103" s="13">
        <v>0.1</v>
      </c>
      <c r="PBN103" s="13">
        <v>0.1</v>
      </c>
      <c r="PBO103" s="13">
        <v>0.1</v>
      </c>
      <c r="PBP103" s="13">
        <v>0.1</v>
      </c>
      <c r="PBQ103" s="13">
        <v>0.1</v>
      </c>
      <c r="PBR103" s="13">
        <v>0.1</v>
      </c>
      <c r="PBS103" s="13">
        <v>0.1</v>
      </c>
      <c r="PBT103" s="13">
        <v>0.1</v>
      </c>
      <c r="PBU103" s="13">
        <v>0.1</v>
      </c>
      <c r="PBV103" s="13">
        <v>0.1</v>
      </c>
      <c r="PBW103" s="13">
        <v>0.1</v>
      </c>
      <c r="PBX103" s="13">
        <v>0.1</v>
      </c>
      <c r="PBY103" s="13">
        <v>0.1</v>
      </c>
      <c r="PBZ103" s="13">
        <v>0.1</v>
      </c>
      <c r="PCA103" s="13">
        <v>0.1</v>
      </c>
      <c r="PCB103" s="13">
        <v>0.1</v>
      </c>
      <c r="PCC103" s="13">
        <v>0.1</v>
      </c>
      <c r="PCD103" s="13">
        <v>0.1</v>
      </c>
      <c r="PCE103" s="13">
        <v>0.1</v>
      </c>
      <c r="PCF103" s="13">
        <v>0.1</v>
      </c>
      <c r="PCG103" s="13">
        <v>0.1</v>
      </c>
      <c r="PCH103" s="13">
        <v>0.1</v>
      </c>
      <c r="PCI103" s="13">
        <v>0.1</v>
      </c>
      <c r="PCJ103" s="13">
        <v>0.1</v>
      </c>
      <c r="PCK103" s="13">
        <v>0.1</v>
      </c>
      <c r="PCL103" s="13">
        <v>0.1</v>
      </c>
      <c r="PCM103" s="13">
        <v>0.1</v>
      </c>
      <c r="PCN103" s="13">
        <v>0.1</v>
      </c>
      <c r="PCO103" s="13">
        <v>0.1</v>
      </c>
      <c r="PCP103" s="13">
        <v>0.1</v>
      </c>
      <c r="PCQ103" s="13">
        <v>0.1</v>
      </c>
      <c r="PCR103" s="13">
        <v>0.1</v>
      </c>
      <c r="PCS103" s="13">
        <v>0.1</v>
      </c>
      <c r="PCT103" s="13">
        <v>0.1</v>
      </c>
      <c r="PCU103" s="13">
        <v>0.1</v>
      </c>
      <c r="PCV103" s="13">
        <v>0.1</v>
      </c>
      <c r="PCW103" s="13">
        <v>0.1</v>
      </c>
      <c r="PCX103" s="13">
        <v>0.1</v>
      </c>
      <c r="PCY103" s="13">
        <v>0.1</v>
      </c>
      <c r="PCZ103" s="13">
        <v>0.1</v>
      </c>
      <c r="PDA103" s="13">
        <v>0.1</v>
      </c>
      <c r="PDB103" s="13">
        <v>0.1</v>
      </c>
      <c r="PDC103" s="13">
        <v>0.1</v>
      </c>
      <c r="PDD103" s="13">
        <v>0.1</v>
      </c>
      <c r="PDE103" s="13">
        <v>0.1</v>
      </c>
      <c r="PDF103" s="13">
        <v>0.1</v>
      </c>
      <c r="PDG103" s="13">
        <v>0.1</v>
      </c>
      <c r="PDH103" s="13">
        <v>0.1</v>
      </c>
      <c r="PDI103" s="13">
        <v>0.1</v>
      </c>
      <c r="PDJ103" s="13">
        <v>0.1</v>
      </c>
      <c r="PDK103" s="13">
        <v>0.1</v>
      </c>
      <c r="PDL103" s="13">
        <v>0.1</v>
      </c>
      <c r="PDM103" s="13">
        <v>0.1</v>
      </c>
      <c r="PDN103" s="13">
        <v>0.1</v>
      </c>
      <c r="PDO103" s="13">
        <v>0.1</v>
      </c>
      <c r="PDP103" s="13">
        <v>0.1</v>
      </c>
      <c r="PDQ103" s="13">
        <v>0.1</v>
      </c>
      <c r="PDR103" s="13">
        <v>0.1</v>
      </c>
      <c r="PDS103" s="13">
        <v>0.1</v>
      </c>
      <c r="PDT103" s="13">
        <v>0.1</v>
      </c>
      <c r="PDU103" s="13">
        <v>0.1</v>
      </c>
      <c r="PDV103" s="13">
        <v>0.1</v>
      </c>
      <c r="PDW103" s="13">
        <v>0.1</v>
      </c>
      <c r="PDX103" s="13">
        <v>0.1</v>
      </c>
      <c r="PDY103" s="13">
        <v>0.1</v>
      </c>
      <c r="PDZ103" s="13">
        <v>0.1</v>
      </c>
      <c r="PEA103" s="13">
        <v>0.1</v>
      </c>
      <c r="PEB103" s="13">
        <v>0.1</v>
      </c>
      <c r="PEC103" s="13">
        <v>0.1</v>
      </c>
      <c r="PED103" s="13">
        <v>0.1</v>
      </c>
      <c r="PEE103" s="13">
        <v>0.1</v>
      </c>
      <c r="PEF103" s="13">
        <v>0.1</v>
      </c>
      <c r="PEG103" s="13">
        <v>0.1</v>
      </c>
      <c r="PEH103" s="13">
        <v>0.1</v>
      </c>
      <c r="PEI103" s="13">
        <v>0.1</v>
      </c>
      <c r="PEJ103" s="13">
        <v>0.1</v>
      </c>
      <c r="PEK103" s="13">
        <v>0.1</v>
      </c>
      <c r="PEL103" s="13">
        <v>0.1</v>
      </c>
      <c r="PEM103" s="13">
        <v>0.1</v>
      </c>
      <c r="PEN103" s="13">
        <v>0.1</v>
      </c>
      <c r="PEO103" s="13">
        <v>0.1</v>
      </c>
      <c r="PEP103" s="13">
        <v>0.1</v>
      </c>
      <c r="PEQ103" s="13">
        <v>0.1</v>
      </c>
      <c r="PER103" s="13">
        <v>0.1</v>
      </c>
      <c r="PES103" s="13">
        <v>0.1</v>
      </c>
      <c r="PET103" s="13">
        <v>0.1</v>
      </c>
      <c r="PEU103" s="13">
        <v>0.1</v>
      </c>
      <c r="PEV103" s="13">
        <v>0.1</v>
      </c>
      <c r="PEW103" s="13">
        <v>0.1</v>
      </c>
      <c r="PEX103" s="13">
        <v>0.1</v>
      </c>
      <c r="PEY103" s="13">
        <v>0.1</v>
      </c>
      <c r="PEZ103" s="13">
        <v>0.1</v>
      </c>
      <c r="PFA103" s="13">
        <v>0.1</v>
      </c>
      <c r="PFB103" s="13">
        <v>0.1</v>
      </c>
      <c r="PFC103" s="13">
        <v>0.1</v>
      </c>
      <c r="PFD103" s="13">
        <v>0.1</v>
      </c>
      <c r="PFE103" s="13">
        <v>0.1</v>
      </c>
      <c r="PFF103" s="13">
        <v>0.1</v>
      </c>
      <c r="PFG103" s="13">
        <v>0.1</v>
      </c>
      <c r="PFH103" s="13">
        <v>0.1</v>
      </c>
      <c r="PFI103" s="13">
        <v>0.1</v>
      </c>
      <c r="PFJ103" s="13">
        <v>0.1</v>
      </c>
      <c r="PFK103" s="13">
        <v>0.1</v>
      </c>
      <c r="PFL103" s="13">
        <v>0.1</v>
      </c>
      <c r="PFM103" s="13">
        <v>0.1</v>
      </c>
      <c r="PFN103" s="13">
        <v>0.1</v>
      </c>
      <c r="PFO103" s="13">
        <v>0.1</v>
      </c>
      <c r="PFP103" s="13">
        <v>0.1</v>
      </c>
      <c r="PFQ103" s="13">
        <v>0.1</v>
      </c>
      <c r="PFR103" s="13">
        <v>0.1</v>
      </c>
      <c r="PFS103" s="13">
        <v>0.1</v>
      </c>
      <c r="PFT103" s="13">
        <v>0.1</v>
      </c>
      <c r="PFU103" s="13">
        <v>0.1</v>
      </c>
      <c r="PFV103" s="13">
        <v>0.1</v>
      </c>
      <c r="PFW103" s="13">
        <v>0.1</v>
      </c>
      <c r="PFX103" s="13">
        <v>0.1</v>
      </c>
      <c r="PFY103" s="13">
        <v>0.1</v>
      </c>
      <c r="PFZ103" s="13">
        <v>0.1</v>
      </c>
      <c r="PGA103" s="13">
        <v>0.1</v>
      </c>
      <c r="PGB103" s="13">
        <v>0.1</v>
      </c>
      <c r="PGC103" s="13">
        <v>0.1</v>
      </c>
      <c r="PGD103" s="13">
        <v>0.1</v>
      </c>
      <c r="PGE103" s="13">
        <v>0.1</v>
      </c>
      <c r="PGF103" s="13">
        <v>0.1</v>
      </c>
      <c r="PGG103" s="13">
        <v>0.1</v>
      </c>
      <c r="PGH103" s="13">
        <v>0.1</v>
      </c>
      <c r="PGI103" s="13">
        <v>0.1</v>
      </c>
      <c r="PGJ103" s="13">
        <v>0.1</v>
      </c>
      <c r="PGK103" s="13">
        <v>0.1</v>
      </c>
      <c r="PGL103" s="13">
        <v>0.1</v>
      </c>
      <c r="PGM103" s="13">
        <v>0.1</v>
      </c>
      <c r="PGN103" s="13">
        <v>0.1</v>
      </c>
      <c r="PGO103" s="13">
        <v>0.1</v>
      </c>
      <c r="PGP103" s="13">
        <v>0.1</v>
      </c>
      <c r="PGQ103" s="13">
        <v>0.1</v>
      </c>
      <c r="PGR103" s="13">
        <v>0.1</v>
      </c>
      <c r="PGS103" s="13">
        <v>0.1</v>
      </c>
      <c r="PGT103" s="13">
        <v>0.1</v>
      </c>
      <c r="PGU103" s="13">
        <v>0.1</v>
      </c>
      <c r="PGV103" s="13">
        <v>0.1</v>
      </c>
      <c r="PGW103" s="13">
        <v>0.1</v>
      </c>
      <c r="PGX103" s="13">
        <v>0.1</v>
      </c>
      <c r="PGY103" s="13">
        <v>0.1</v>
      </c>
      <c r="PGZ103" s="13">
        <v>0.1</v>
      </c>
      <c r="PHA103" s="13">
        <v>0.1</v>
      </c>
      <c r="PHB103" s="13">
        <v>0.1</v>
      </c>
      <c r="PHC103" s="13">
        <v>0.1</v>
      </c>
      <c r="PHD103" s="13">
        <v>0.1</v>
      </c>
      <c r="PHE103" s="13">
        <v>0.1</v>
      </c>
      <c r="PHF103" s="13">
        <v>0.1</v>
      </c>
      <c r="PHG103" s="13">
        <v>0.1</v>
      </c>
      <c r="PHH103" s="13">
        <v>0.1</v>
      </c>
      <c r="PHI103" s="13">
        <v>0.1</v>
      </c>
      <c r="PHJ103" s="13">
        <v>0.1</v>
      </c>
      <c r="PHK103" s="13">
        <v>0.1</v>
      </c>
      <c r="PHL103" s="13">
        <v>0.1</v>
      </c>
      <c r="PHM103" s="13">
        <v>0.1</v>
      </c>
      <c r="PHN103" s="13">
        <v>0.1</v>
      </c>
      <c r="PHO103" s="13">
        <v>0.1</v>
      </c>
      <c r="PHP103" s="13">
        <v>0.1</v>
      </c>
      <c r="PHQ103" s="13">
        <v>0.1</v>
      </c>
      <c r="PHR103" s="13">
        <v>0.1</v>
      </c>
      <c r="PHS103" s="13">
        <v>0.1</v>
      </c>
      <c r="PHT103" s="13">
        <v>0.1</v>
      </c>
      <c r="PHU103" s="13">
        <v>0.1</v>
      </c>
      <c r="PHV103" s="13">
        <v>0.1</v>
      </c>
      <c r="PHW103" s="13">
        <v>0.1</v>
      </c>
      <c r="PHX103" s="13">
        <v>0.1</v>
      </c>
      <c r="PHY103" s="13">
        <v>0.1</v>
      </c>
      <c r="PHZ103" s="13">
        <v>0.1</v>
      </c>
      <c r="PIA103" s="13">
        <v>0.1</v>
      </c>
      <c r="PIB103" s="13">
        <v>0.1</v>
      </c>
      <c r="PIC103" s="13">
        <v>0.1</v>
      </c>
      <c r="PID103" s="13">
        <v>0.1</v>
      </c>
      <c r="PIE103" s="13">
        <v>0.1</v>
      </c>
      <c r="PIF103" s="13">
        <v>0.1</v>
      </c>
      <c r="PIG103" s="13">
        <v>0.1</v>
      </c>
      <c r="PIH103" s="13">
        <v>0.1</v>
      </c>
      <c r="PII103" s="13">
        <v>0.1</v>
      </c>
      <c r="PIJ103" s="13">
        <v>0.1</v>
      </c>
      <c r="PIK103" s="13">
        <v>0.1</v>
      </c>
      <c r="PIL103" s="13">
        <v>0.1</v>
      </c>
      <c r="PIM103" s="13">
        <v>0.1</v>
      </c>
      <c r="PIN103" s="13">
        <v>0.1</v>
      </c>
      <c r="PIO103" s="13">
        <v>0.1</v>
      </c>
      <c r="PIP103" s="13">
        <v>0.1</v>
      </c>
      <c r="PIQ103" s="13">
        <v>0.1</v>
      </c>
      <c r="PIR103" s="13">
        <v>0.1</v>
      </c>
      <c r="PIS103" s="13">
        <v>0.1</v>
      </c>
      <c r="PIT103" s="13">
        <v>0.1</v>
      </c>
      <c r="PIU103" s="13">
        <v>0.1</v>
      </c>
      <c r="PIV103" s="13">
        <v>0.1</v>
      </c>
      <c r="PIW103" s="13">
        <v>0.1</v>
      </c>
      <c r="PIX103" s="13">
        <v>0.1</v>
      </c>
      <c r="PIY103" s="13">
        <v>0.1</v>
      </c>
      <c r="PIZ103" s="13">
        <v>0.1</v>
      </c>
      <c r="PJA103" s="13">
        <v>0.1</v>
      </c>
      <c r="PJB103" s="13">
        <v>0.1</v>
      </c>
      <c r="PJC103" s="13">
        <v>0.1</v>
      </c>
      <c r="PJD103" s="13">
        <v>0.1</v>
      </c>
      <c r="PJE103" s="13">
        <v>0.1</v>
      </c>
      <c r="PJF103" s="13">
        <v>0.1</v>
      </c>
      <c r="PJG103" s="13">
        <v>0.1</v>
      </c>
      <c r="PJH103" s="13">
        <v>0.1</v>
      </c>
      <c r="PJI103" s="13">
        <v>0.1</v>
      </c>
      <c r="PJJ103" s="13">
        <v>0.1</v>
      </c>
      <c r="PJK103" s="13">
        <v>0.1</v>
      </c>
      <c r="PJL103" s="13">
        <v>0.1</v>
      </c>
      <c r="PJM103" s="13">
        <v>0.1</v>
      </c>
      <c r="PJN103" s="13">
        <v>0.1</v>
      </c>
      <c r="PJO103" s="13">
        <v>0.1</v>
      </c>
      <c r="PJP103" s="13">
        <v>0.1</v>
      </c>
      <c r="PJQ103" s="13">
        <v>0.1</v>
      </c>
      <c r="PJR103" s="13">
        <v>0.1</v>
      </c>
      <c r="PJS103" s="13">
        <v>0.1</v>
      </c>
      <c r="PJT103" s="13">
        <v>0.1</v>
      </c>
      <c r="PJU103" s="13">
        <v>0.1</v>
      </c>
      <c r="PJV103" s="13">
        <v>0.1</v>
      </c>
      <c r="PJW103" s="13">
        <v>0.1</v>
      </c>
      <c r="PJX103" s="13">
        <v>0.1</v>
      </c>
      <c r="PJY103" s="13">
        <v>0.1</v>
      </c>
      <c r="PJZ103" s="13">
        <v>0.1</v>
      </c>
      <c r="PKA103" s="13">
        <v>0.1</v>
      </c>
      <c r="PKB103" s="13">
        <v>0.1</v>
      </c>
      <c r="PKC103" s="13">
        <v>0.1</v>
      </c>
      <c r="PKD103" s="13">
        <v>0.1</v>
      </c>
      <c r="PKE103" s="13">
        <v>0.1</v>
      </c>
      <c r="PKF103" s="13">
        <v>0.1</v>
      </c>
      <c r="PKG103" s="13">
        <v>0.1</v>
      </c>
      <c r="PKH103" s="13">
        <v>0.1</v>
      </c>
      <c r="PKI103" s="13">
        <v>0.1</v>
      </c>
      <c r="PKJ103" s="13">
        <v>0.1</v>
      </c>
      <c r="PKK103" s="13">
        <v>0.1</v>
      </c>
      <c r="PKL103" s="13">
        <v>0.1</v>
      </c>
      <c r="PKM103" s="13">
        <v>0.1</v>
      </c>
      <c r="PKN103" s="13">
        <v>0.1</v>
      </c>
      <c r="PKO103" s="13">
        <v>0.1</v>
      </c>
      <c r="PKP103" s="13">
        <v>0.1</v>
      </c>
      <c r="PKQ103" s="13">
        <v>0.1</v>
      </c>
      <c r="PKR103" s="13">
        <v>0.1</v>
      </c>
      <c r="PKS103" s="13">
        <v>0.1</v>
      </c>
      <c r="PKT103" s="13">
        <v>0.1</v>
      </c>
      <c r="PKU103" s="13">
        <v>0.1</v>
      </c>
      <c r="PKV103" s="13">
        <v>0.1</v>
      </c>
      <c r="PKW103" s="13">
        <v>0.1</v>
      </c>
      <c r="PKX103" s="13">
        <v>0.1</v>
      </c>
      <c r="PKY103" s="13">
        <v>0.1</v>
      </c>
      <c r="PKZ103" s="13">
        <v>0.1</v>
      </c>
      <c r="PLA103" s="13">
        <v>0.1</v>
      </c>
      <c r="PLB103" s="13">
        <v>0.1</v>
      </c>
      <c r="PLC103" s="13">
        <v>0.1</v>
      </c>
      <c r="PLD103" s="13">
        <v>0.1</v>
      </c>
      <c r="PLE103" s="13">
        <v>0.1</v>
      </c>
      <c r="PLF103" s="13">
        <v>0.1</v>
      </c>
      <c r="PLG103" s="13">
        <v>0.1</v>
      </c>
      <c r="PLH103" s="13">
        <v>0.1</v>
      </c>
      <c r="PLI103" s="13">
        <v>0.1</v>
      </c>
      <c r="PLJ103" s="13">
        <v>0.1</v>
      </c>
      <c r="PLK103" s="13">
        <v>0.1</v>
      </c>
      <c r="PLL103" s="13">
        <v>0.1</v>
      </c>
      <c r="PLM103" s="13">
        <v>0.1</v>
      </c>
      <c r="PLN103" s="13">
        <v>0.1</v>
      </c>
      <c r="PLO103" s="13">
        <v>0.1</v>
      </c>
      <c r="PLP103" s="13">
        <v>0.1</v>
      </c>
      <c r="PLQ103" s="13">
        <v>0.1</v>
      </c>
      <c r="PLR103" s="13">
        <v>0.1</v>
      </c>
      <c r="PLS103" s="13">
        <v>0.1</v>
      </c>
      <c r="PLT103" s="13">
        <v>0.1</v>
      </c>
      <c r="PLU103" s="13">
        <v>0.1</v>
      </c>
      <c r="PLV103" s="13">
        <v>0.1</v>
      </c>
      <c r="PLW103" s="13">
        <v>0.1</v>
      </c>
      <c r="PLX103" s="13">
        <v>0.1</v>
      </c>
      <c r="PLY103" s="13">
        <v>0.1</v>
      </c>
      <c r="PLZ103" s="13">
        <v>0.1</v>
      </c>
      <c r="PMA103" s="13">
        <v>0.1</v>
      </c>
      <c r="PMB103" s="13">
        <v>0.1</v>
      </c>
      <c r="PMC103" s="13">
        <v>0.1</v>
      </c>
      <c r="PMD103" s="13">
        <v>0.1</v>
      </c>
      <c r="PME103" s="13">
        <v>0.1</v>
      </c>
      <c r="PMF103" s="13">
        <v>0.1</v>
      </c>
      <c r="PMG103" s="13">
        <v>0.1</v>
      </c>
      <c r="PMH103" s="13">
        <v>0.1</v>
      </c>
      <c r="PMI103" s="13">
        <v>0.1</v>
      </c>
      <c r="PMJ103" s="13">
        <v>0.1</v>
      </c>
      <c r="PMK103" s="13">
        <v>0.1</v>
      </c>
      <c r="PML103" s="13">
        <v>0.1</v>
      </c>
      <c r="PMM103" s="13">
        <v>0.1</v>
      </c>
      <c r="PMN103" s="13">
        <v>0.1</v>
      </c>
      <c r="PMO103" s="13">
        <v>0.1</v>
      </c>
      <c r="PMP103" s="13">
        <v>0.1</v>
      </c>
      <c r="PMQ103" s="13">
        <v>0.1</v>
      </c>
      <c r="PMR103" s="13">
        <v>0.1</v>
      </c>
      <c r="PMS103" s="13">
        <v>0.1</v>
      </c>
      <c r="PMT103" s="13">
        <v>0.1</v>
      </c>
      <c r="PMU103" s="13">
        <v>0.1</v>
      </c>
      <c r="PMV103" s="13">
        <v>0.1</v>
      </c>
      <c r="PMW103" s="13">
        <v>0.1</v>
      </c>
      <c r="PMX103" s="13">
        <v>0.1</v>
      </c>
      <c r="PMY103" s="13">
        <v>0.1</v>
      </c>
      <c r="PMZ103" s="13">
        <v>0.1</v>
      </c>
      <c r="PNA103" s="13">
        <v>0.1</v>
      </c>
      <c r="PNB103" s="13">
        <v>0.1</v>
      </c>
      <c r="PNC103" s="13">
        <v>0.1</v>
      </c>
      <c r="PND103" s="13">
        <v>0.1</v>
      </c>
      <c r="PNE103" s="13">
        <v>0.1</v>
      </c>
      <c r="PNF103" s="13">
        <v>0.1</v>
      </c>
      <c r="PNG103" s="13">
        <v>0.1</v>
      </c>
      <c r="PNH103" s="13">
        <v>0.1</v>
      </c>
      <c r="PNI103" s="13">
        <v>0.1</v>
      </c>
      <c r="PNJ103" s="13">
        <v>0.1</v>
      </c>
      <c r="PNK103" s="13">
        <v>0.1</v>
      </c>
      <c r="PNL103" s="13">
        <v>0.1</v>
      </c>
      <c r="PNM103" s="13">
        <v>0.1</v>
      </c>
      <c r="PNN103" s="13">
        <v>0.1</v>
      </c>
      <c r="PNO103" s="13">
        <v>0.1</v>
      </c>
      <c r="PNP103" s="13">
        <v>0.1</v>
      </c>
      <c r="PNQ103" s="13">
        <v>0.1</v>
      </c>
      <c r="PNR103" s="13">
        <v>0.1</v>
      </c>
      <c r="PNS103" s="13">
        <v>0.1</v>
      </c>
      <c r="PNT103" s="13">
        <v>0.1</v>
      </c>
      <c r="PNU103" s="13">
        <v>0.1</v>
      </c>
      <c r="PNV103" s="13">
        <v>0.1</v>
      </c>
      <c r="PNW103" s="13">
        <v>0.1</v>
      </c>
      <c r="PNX103" s="13">
        <v>0.1</v>
      </c>
      <c r="PNY103" s="13">
        <v>0.1</v>
      </c>
      <c r="PNZ103" s="13">
        <v>0.1</v>
      </c>
      <c r="POA103" s="13">
        <v>0.1</v>
      </c>
      <c r="POB103" s="13">
        <v>0.1</v>
      </c>
      <c r="POC103" s="13">
        <v>0.1</v>
      </c>
      <c r="POD103" s="13">
        <v>0.1</v>
      </c>
      <c r="POE103" s="13">
        <v>0.1</v>
      </c>
      <c r="POF103" s="13">
        <v>0.1</v>
      </c>
      <c r="POG103" s="13">
        <v>0.1</v>
      </c>
      <c r="POH103" s="13">
        <v>0.1</v>
      </c>
      <c r="POI103" s="13">
        <v>0.1</v>
      </c>
      <c r="POJ103" s="13">
        <v>0.1</v>
      </c>
      <c r="POK103" s="13">
        <v>0.1</v>
      </c>
      <c r="POL103" s="13">
        <v>0.1</v>
      </c>
      <c r="POM103" s="13">
        <v>0.1</v>
      </c>
      <c r="PON103" s="13">
        <v>0.1</v>
      </c>
      <c r="POO103" s="13">
        <v>0.1</v>
      </c>
      <c r="POP103" s="13">
        <v>0.1</v>
      </c>
      <c r="POQ103" s="13">
        <v>0.1</v>
      </c>
      <c r="POR103" s="13">
        <v>0.1</v>
      </c>
      <c r="POS103" s="13">
        <v>0.1</v>
      </c>
      <c r="POT103" s="13">
        <v>0.1</v>
      </c>
      <c r="POU103" s="13">
        <v>0.1</v>
      </c>
      <c r="POV103" s="13">
        <v>0.1</v>
      </c>
      <c r="POW103" s="13">
        <v>0.1</v>
      </c>
      <c r="POX103" s="13">
        <v>0.1</v>
      </c>
      <c r="POY103" s="13">
        <v>0.1</v>
      </c>
      <c r="POZ103" s="13">
        <v>0.1</v>
      </c>
      <c r="PPA103" s="13">
        <v>0.1</v>
      </c>
      <c r="PPB103" s="13">
        <v>0.1</v>
      </c>
      <c r="PPC103" s="13">
        <v>0.1</v>
      </c>
      <c r="PPD103" s="13">
        <v>0.1</v>
      </c>
      <c r="PPE103" s="13">
        <v>0.1</v>
      </c>
      <c r="PPF103" s="13">
        <v>0.1</v>
      </c>
      <c r="PPG103" s="13">
        <v>0.1</v>
      </c>
      <c r="PPH103" s="13">
        <v>0.1</v>
      </c>
      <c r="PPI103" s="13">
        <v>0.1</v>
      </c>
      <c r="PPJ103" s="13">
        <v>0.1</v>
      </c>
      <c r="PPK103" s="13">
        <v>0.1</v>
      </c>
      <c r="PPL103" s="13">
        <v>0.1</v>
      </c>
      <c r="PPM103" s="13">
        <v>0.1</v>
      </c>
      <c r="PPN103" s="13">
        <v>0.1</v>
      </c>
      <c r="PPO103" s="13">
        <v>0.1</v>
      </c>
      <c r="PPP103" s="13">
        <v>0.1</v>
      </c>
      <c r="PPQ103" s="13">
        <v>0.1</v>
      </c>
      <c r="PPR103" s="13">
        <v>0.1</v>
      </c>
      <c r="PPS103" s="13">
        <v>0.1</v>
      </c>
      <c r="PPT103" s="13">
        <v>0.1</v>
      </c>
      <c r="PPU103" s="13">
        <v>0.1</v>
      </c>
      <c r="PPV103" s="13">
        <v>0.1</v>
      </c>
      <c r="PPW103" s="13">
        <v>0.1</v>
      </c>
      <c r="PPX103" s="13">
        <v>0.1</v>
      </c>
      <c r="PPY103" s="13">
        <v>0.1</v>
      </c>
      <c r="PPZ103" s="13">
        <v>0.1</v>
      </c>
      <c r="PQA103" s="13">
        <v>0.1</v>
      </c>
      <c r="PQB103" s="13">
        <v>0.1</v>
      </c>
      <c r="PQC103" s="13">
        <v>0.1</v>
      </c>
      <c r="PQD103" s="13">
        <v>0.1</v>
      </c>
      <c r="PQE103" s="13">
        <v>0.1</v>
      </c>
      <c r="PQF103" s="13">
        <v>0.1</v>
      </c>
      <c r="PQG103" s="13">
        <v>0.1</v>
      </c>
      <c r="PQH103" s="13">
        <v>0.1</v>
      </c>
      <c r="PQI103" s="13">
        <v>0.1</v>
      </c>
      <c r="PQJ103" s="13">
        <v>0.1</v>
      </c>
      <c r="PQK103" s="13">
        <v>0.1</v>
      </c>
      <c r="PQL103" s="13">
        <v>0.1</v>
      </c>
      <c r="PQM103" s="13">
        <v>0.1</v>
      </c>
      <c r="PQN103" s="13">
        <v>0.1</v>
      </c>
      <c r="PQO103" s="13">
        <v>0.1</v>
      </c>
      <c r="PQP103" s="13">
        <v>0.1</v>
      </c>
      <c r="PQQ103" s="13">
        <v>0.1</v>
      </c>
      <c r="PQR103" s="13">
        <v>0.1</v>
      </c>
      <c r="PQS103" s="13">
        <v>0.1</v>
      </c>
      <c r="PQT103" s="13">
        <v>0.1</v>
      </c>
      <c r="PQU103" s="13">
        <v>0.1</v>
      </c>
      <c r="PQV103" s="13">
        <v>0.1</v>
      </c>
      <c r="PQW103" s="13">
        <v>0.1</v>
      </c>
      <c r="PQX103" s="13">
        <v>0.1</v>
      </c>
      <c r="PQY103" s="13">
        <v>0.1</v>
      </c>
      <c r="PQZ103" s="13">
        <v>0.1</v>
      </c>
      <c r="PRA103" s="13">
        <v>0.1</v>
      </c>
      <c r="PRB103" s="13">
        <v>0.1</v>
      </c>
      <c r="PRC103" s="13">
        <v>0.1</v>
      </c>
      <c r="PRD103" s="13">
        <v>0.1</v>
      </c>
      <c r="PRE103" s="13">
        <v>0.1</v>
      </c>
      <c r="PRF103" s="13">
        <v>0.1</v>
      </c>
      <c r="PRG103" s="13">
        <v>0.1</v>
      </c>
      <c r="PRH103" s="13">
        <v>0.1</v>
      </c>
      <c r="PRI103" s="13">
        <v>0.1</v>
      </c>
      <c r="PRJ103" s="13">
        <v>0.1</v>
      </c>
      <c r="PRK103" s="13">
        <v>0.1</v>
      </c>
      <c r="PRL103" s="13">
        <v>0.1</v>
      </c>
      <c r="PRM103" s="13">
        <v>0.1</v>
      </c>
      <c r="PRN103" s="13">
        <v>0.1</v>
      </c>
      <c r="PRO103" s="13">
        <v>0.1</v>
      </c>
      <c r="PRP103" s="13">
        <v>0.1</v>
      </c>
      <c r="PRQ103" s="13">
        <v>0.1</v>
      </c>
      <c r="PRR103" s="13">
        <v>0.1</v>
      </c>
      <c r="PRS103" s="13">
        <v>0.1</v>
      </c>
      <c r="PRT103" s="13">
        <v>0.1</v>
      </c>
      <c r="PRU103" s="13">
        <v>0.1</v>
      </c>
      <c r="PRV103" s="13">
        <v>0.1</v>
      </c>
      <c r="PRW103" s="13">
        <v>0.1</v>
      </c>
      <c r="PRX103" s="13">
        <v>0.1</v>
      </c>
      <c r="PRY103" s="13">
        <v>0.1</v>
      </c>
      <c r="PRZ103" s="13">
        <v>0.1</v>
      </c>
      <c r="PSA103" s="13">
        <v>0.1</v>
      </c>
      <c r="PSB103" s="13">
        <v>0.1</v>
      </c>
      <c r="PSC103" s="13">
        <v>0.1</v>
      </c>
      <c r="PSD103" s="13">
        <v>0.1</v>
      </c>
      <c r="PSE103" s="13">
        <v>0.1</v>
      </c>
      <c r="PSF103" s="13">
        <v>0.1</v>
      </c>
      <c r="PSG103" s="13">
        <v>0.1</v>
      </c>
      <c r="PSH103" s="13">
        <v>0.1</v>
      </c>
      <c r="PSI103" s="13">
        <v>0.1</v>
      </c>
      <c r="PSJ103" s="13">
        <v>0.1</v>
      </c>
      <c r="PSK103" s="13">
        <v>0.1</v>
      </c>
      <c r="PSL103" s="13">
        <v>0.1</v>
      </c>
      <c r="PSM103" s="13">
        <v>0.1</v>
      </c>
      <c r="PSN103" s="13">
        <v>0.1</v>
      </c>
      <c r="PSO103" s="13">
        <v>0.1</v>
      </c>
      <c r="PSP103" s="13">
        <v>0.1</v>
      </c>
      <c r="PSQ103" s="13">
        <v>0.1</v>
      </c>
      <c r="PSR103" s="13">
        <v>0.1</v>
      </c>
      <c r="PSS103" s="13">
        <v>0.1</v>
      </c>
      <c r="PST103" s="13">
        <v>0.1</v>
      </c>
      <c r="PSU103" s="13">
        <v>0.1</v>
      </c>
      <c r="PSV103" s="13">
        <v>0.1</v>
      </c>
      <c r="PSW103" s="13">
        <v>0.1</v>
      </c>
      <c r="PSX103" s="13">
        <v>0.1</v>
      </c>
      <c r="PSY103" s="13">
        <v>0.1</v>
      </c>
      <c r="PSZ103" s="13">
        <v>0.1</v>
      </c>
      <c r="PTA103" s="13">
        <v>0.1</v>
      </c>
      <c r="PTB103" s="13">
        <v>0.1</v>
      </c>
      <c r="PTC103" s="13">
        <v>0.1</v>
      </c>
      <c r="PTD103" s="13">
        <v>0.1</v>
      </c>
      <c r="PTE103" s="13">
        <v>0.1</v>
      </c>
      <c r="PTF103" s="13">
        <v>0.1</v>
      </c>
      <c r="PTG103" s="13">
        <v>0.1</v>
      </c>
      <c r="PTH103" s="13">
        <v>0.1</v>
      </c>
      <c r="PTI103" s="13">
        <v>0.1</v>
      </c>
      <c r="PTJ103" s="13">
        <v>0.1</v>
      </c>
      <c r="PTK103" s="13">
        <v>0.1</v>
      </c>
      <c r="PTL103" s="13">
        <v>0.1</v>
      </c>
      <c r="PTM103" s="13">
        <v>0.1</v>
      </c>
      <c r="PTN103" s="13">
        <v>0.1</v>
      </c>
      <c r="PTO103" s="13">
        <v>0.1</v>
      </c>
      <c r="PTP103" s="13">
        <v>0.1</v>
      </c>
      <c r="PTQ103" s="13">
        <v>0.1</v>
      </c>
      <c r="PTR103" s="13">
        <v>0.1</v>
      </c>
      <c r="PTS103" s="13">
        <v>0.1</v>
      </c>
      <c r="PTT103" s="13">
        <v>0.1</v>
      </c>
      <c r="PTU103" s="13">
        <v>0.1</v>
      </c>
      <c r="PTV103" s="13">
        <v>0.1</v>
      </c>
      <c r="PTW103" s="13">
        <v>0.1</v>
      </c>
      <c r="PTX103" s="13">
        <v>0.1</v>
      </c>
      <c r="PTY103" s="13">
        <v>0.1</v>
      </c>
      <c r="PTZ103" s="13">
        <v>0.1</v>
      </c>
      <c r="PUA103" s="13">
        <v>0.1</v>
      </c>
      <c r="PUB103" s="13">
        <v>0.1</v>
      </c>
      <c r="PUC103" s="13">
        <v>0.1</v>
      </c>
      <c r="PUD103" s="13">
        <v>0.1</v>
      </c>
      <c r="PUE103" s="13">
        <v>0.1</v>
      </c>
      <c r="PUF103" s="13">
        <v>0.1</v>
      </c>
      <c r="PUG103" s="13">
        <v>0.1</v>
      </c>
      <c r="PUH103" s="13">
        <v>0.1</v>
      </c>
      <c r="PUI103" s="13">
        <v>0.1</v>
      </c>
      <c r="PUJ103" s="13">
        <v>0.1</v>
      </c>
      <c r="PUK103" s="13">
        <v>0.1</v>
      </c>
      <c r="PUL103" s="13">
        <v>0.1</v>
      </c>
      <c r="PUM103" s="13">
        <v>0.1</v>
      </c>
      <c r="PUN103" s="13">
        <v>0.1</v>
      </c>
      <c r="PUO103" s="13">
        <v>0.1</v>
      </c>
      <c r="PUP103" s="13">
        <v>0.1</v>
      </c>
      <c r="PUQ103" s="13">
        <v>0.1</v>
      </c>
      <c r="PUR103" s="13">
        <v>0.1</v>
      </c>
      <c r="PUS103" s="13">
        <v>0.1</v>
      </c>
      <c r="PUT103" s="13">
        <v>0.1</v>
      </c>
      <c r="PUU103" s="13">
        <v>0.1</v>
      </c>
      <c r="PUV103" s="13">
        <v>0.1</v>
      </c>
      <c r="PUW103" s="13">
        <v>0.1</v>
      </c>
      <c r="PUX103" s="13">
        <v>0.1</v>
      </c>
      <c r="PUY103" s="13">
        <v>0.1</v>
      </c>
      <c r="PUZ103" s="13">
        <v>0.1</v>
      </c>
      <c r="PVA103" s="13">
        <v>0.1</v>
      </c>
      <c r="PVB103" s="13">
        <v>0.1</v>
      </c>
      <c r="PVC103" s="13">
        <v>0.1</v>
      </c>
      <c r="PVD103" s="13">
        <v>0.1</v>
      </c>
      <c r="PVE103" s="13">
        <v>0.1</v>
      </c>
      <c r="PVF103" s="13">
        <v>0.1</v>
      </c>
      <c r="PVG103" s="13">
        <v>0.1</v>
      </c>
      <c r="PVH103" s="13">
        <v>0.1</v>
      </c>
      <c r="PVI103" s="13">
        <v>0.1</v>
      </c>
      <c r="PVJ103" s="13">
        <v>0.1</v>
      </c>
      <c r="PVK103" s="13">
        <v>0.1</v>
      </c>
      <c r="PVL103" s="13">
        <v>0.1</v>
      </c>
      <c r="PVM103" s="13">
        <v>0.1</v>
      </c>
      <c r="PVN103" s="13">
        <v>0.1</v>
      </c>
      <c r="PVO103" s="13">
        <v>0.1</v>
      </c>
      <c r="PVP103" s="13">
        <v>0.1</v>
      </c>
      <c r="PVQ103" s="13">
        <v>0.1</v>
      </c>
      <c r="PVR103" s="13">
        <v>0.1</v>
      </c>
      <c r="PVS103" s="13">
        <v>0.1</v>
      </c>
      <c r="PVT103" s="13">
        <v>0.1</v>
      </c>
      <c r="PVU103" s="13">
        <v>0.1</v>
      </c>
      <c r="PVV103" s="13">
        <v>0.1</v>
      </c>
      <c r="PVW103" s="13">
        <v>0.1</v>
      </c>
      <c r="PVX103" s="13">
        <v>0.1</v>
      </c>
      <c r="PVY103" s="13">
        <v>0.1</v>
      </c>
      <c r="PVZ103" s="13">
        <v>0.1</v>
      </c>
      <c r="PWA103" s="13">
        <v>0.1</v>
      </c>
      <c r="PWB103" s="13">
        <v>0.1</v>
      </c>
      <c r="PWC103" s="13">
        <v>0.1</v>
      </c>
      <c r="PWD103" s="13">
        <v>0.1</v>
      </c>
      <c r="PWE103" s="13">
        <v>0.1</v>
      </c>
      <c r="PWF103" s="13">
        <v>0.1</v>
      </c>
      <c r="PWG103" s="13">
        <v>0.1</v>
      </c>
      <c r="PWH103" s="13">
        <v>0.1</v>
      </c>
      <c r="PWI103" s="13">
        <v>0.1</v>
      </c>
      <c r="PWJ103" s="13">
        <v>0.1</v>
      </c>
      <c r="PWK103" s="13">
        <v>0.1</v>
      </c>
      <c r="PWL103" s="13">
        <v>0.1</v>
      </c>
      <c r="PWM103" s="13">
        <v>0.1</v>
      </c>
      <c r="PWN103" s="13">
        <v>0.1</v>
      </c>
      <c r="PWO103" s="13">
        <v>0.1</v>
      </c>
      <c r="PWP103" s="13">
        <v>0.1</v>
      </c>
      <c r="PWQ103" s="13">
        <v>0.1</v>
      </c>
      <c r="PWR103" s="13">
        <v>0.1</v>
      </c>
      <c r="PWS103" s="13">
        <v>0.1</v>
      </c>
      <c r="PWT103" s="13">
        <v>0.1</v>
      </c>
      <c r="PWU103" s="13">
        <v>0.1</v>
      </c>
      <c r="PWV103" s="13">
        <v>0.1</v>
      </c>
      <c r="PWW103" s="13">
        <v>0.1</v>
      </c>
      <c r="PWX103" s="13">
        <v>0.1</v>
      </c>
      <c r="PWY103" s="13">
        <v>0.1</v>
      </c>
      <c r="PWZ103" s="13">
        <v>0.1</v>
      </c>
      <c r="PXA103" s="13">
        <v>0.1</v>
      </c>
      <c r="PXB103" s="13">
        <v>0.1</v>
      </c>
      <c r="PXC103" s="13">
        <v>0.1</v>
      </c>
      <c r="PXD103" s="13">
        <v>0.1</v>
      </c>
      <c r="PXE103" s="13">
        <v>0.1</v>
      </c>
      <c r="PXF103" s="13">
        <v>0.1</v>
      </c>
      <c r="PXG103" s="13">
        <v>0.1</v>
      </c>
      <c r="PXH103" s="13">
        <v>0.1</v>
      </c>
      <c r="PXI103" s="13">
        <v>0.1</v>
      </c>
      <c r="PXJ103" s="13">
        <v>0.1</v>
      </c>
      <c r="PXK103" s="13">
        <v>0.1</v>
      </c>
      <c r="PXL103" s="13">
        <v>0.1</v>
      </c>
      <c r="PXM103" s="13">
        <v>0.1</v>
      </c>
      <c r="PXN103" s="13">
        <v>0.1</v>
      </c>
      <c r="PXO103" s="13">
        <v>0.1</v>
      </c>
      <c r="PXP103" s="13">
        <v>0.1</v>
      </c>
      <c r="PXQ103" s="13">
        <v>0.1</v>
      </c>
      <c r="PXR103" s="13">
        <v>0.1</v>
      </c>
      <c r="PXS103" s="13">
        <v>0.1</v>
      </c>
      <c r="PXT103" s="13">
        <v>0.1</v>
      </c>
      <c r="PXU103" s="13">
        <v>0.1</v>
      </c>
      <c r="PXV103" s="13">
        <v>0.1</v>
      </c>
      <c r="PXW103" s="13">
        <v>0.1</v>
      </c>
      <c r="PXX103" s="13">
        <v>0.1</v>
      </c>
      <c r="PXY103" s="13">
        <v>0.1</v>
      </c>
      <c r="PXZ103" s="13">
        <v>0.1</v>
      </c>
      <c r="PYA103" s="13">
        <v>0.1</v>
      </c>
      <c r="PYB103" s="13">
        <v>0.1</v>
      </c>
      <c r="PYC103" s="13">
        <v>0.1</v>
      </c>
      <c r="PYD103" s="13">
        <v>0.1</v>
      </c>
      <c r="PYE103" s="13">
        <v>0.1</v>
      </c>
      <c r="PYF103" s="13">
        <v>0.1</v>
      </c>
      <c r="PYG103" s="13">
        <v>0.1</v>
      </c>
      <c r="PYH103" s="13">
        <v>0.1</v>
      </c>
      <c r="PYI103" s="13">
        <v>0.1</v>
      </c>
      <c r="PYJ103" s="13">
        <v>0.1</v>
      </c>
      <c r="PYK103" s="13">
        <v>0.1</v>
      </c>
      <c r="PYL103" s="13">
        <v>0.1</v>
      </c>
      <c r="PYM103" s="13">
        <v>0.1</v>
      </c>
      <c r="PYN103" s="13">
        <v>0.1</v>
      </c>
      <c r="PYO103" s="13">
        <v>0.1</v>
      </c>
      <c r="PYP103" s="13">
        <v>0.1</v>
      </c>
      <c r="PYQ103" s="13">
        <v>0.1</v>
      </c>
      <c r="PYR103" s="13">
        <v>0.1</v>
      </c>
      <c r="PYS103" s="13">
        <v>0.1</v>
      </c>
      <c r="PYT103" s="13">
        <v>0.1</v>
      </c>
      <c r="PYU103" s="13">
        <v>0.1</v>
      </c>
      <c r="PYV103" s="13">
        <v>0.1</v>
      </c>
      <c r="PYW103" s="13">
        <v>0.1</v>
      </c>
      <c r="PYX103" s="13">
        <v>0.1</v>
      </c>
      <c r="PYY103" s="13">
        <v>0.1</v>
      </c>
      <c r="PYZ103" s="13">
        <v>0.1</v>
      </c>
      <c r="PZA103" s="13">
        <v>0.1</v>
      </c>
      <c r="PZB103" s="13">
        <v>0.1</v>
      </c>
      <c r="PZC103" s="13">
        <v>0.1</v>
      </c>
      <c r="PZD103" s="13">
        <v>0.1</v>
      </c>
      <c r="PZE103" s="13">
        <v>0.1</v>
      </c>
      <c r="PZF103" s="13">
        <v>0.1</v>
      </c>
      <c r="PZG103" s="13">
        <v>0.1</v>
      </c>
      <c r="PZH103" s="13">
        <v>0.1</v>
      </c>
      <c r="PZI103" s="13">
        <v>0.1</v>
      </c>
      <c r="PZJ103" s="13">
        <v>0.1</v>
      </c>
      <c r="PZK103" s="13">
        <v>0.1</v>
      </c>
      <c r="PZL103" s="13">
        <v>0.1</v>
      </c>
      <c r="PZM103" s="13">
        <v>0.1</v>
      </c>
      <c r="PZN103" s="13">
        <v>0.1</v>
      </c>
      <c r="PZO103" s="13">
        <v>0.1</v>
      </c>
      <c r="PZP103" s="13">
        <v>0.1</v>
      </c>
      <c r="PZQ103" s="13">
        <v>0.1</v>
      </c>
      <c r="PZR103" s="13">
        <v>0.1</v>
      </c>
      <c r="PZS103" s="13">
        <v>0.1</v>
      </c>
      <c r="PZT103" s="13">
        <v>0.1</v>
      </c>
      <c r="PZU103" s="13">
        <v>0.1</v>
      </c>
      <c r="PZV103" s="13">
        <v>0.1</v>
      </c>
      <c r="PZW103" s="13">
        <v>0.1</v>
      </c>
      <c r="PZX103" s="13">
        <v>0.1</v>
      </c>
      <c r="PZY103" s="13">
        <v>0.1</v>
      </c>
      <c r="PZZ103" s="13">
        <v>0.1</v>
      </c>
      <c r="QAA103" s="13">
        <v>0.1</v>
      </c>
      <c r="QAB103" s="13">
        <v>0.1</v>
      </c>
      <c r="QAC103" s="13">
        <v>0.1</v>
      </c>
      <c r="QAD103" s="13">
        <v>0.1</v>
      </c>
      <c r="QAE103" s="13">
        <v>0.1</v>
      </c>
      <c r="QAF103" s="13">
        <v>0.1</v>
      </c>
      <c r="QAG103" s="13">
        <v>0.1</v>
      </c>
      <c r="QAH103" s="13">
        <v>0.1</v>
      </c>
      <c r="QAI103" s="13">
        <v>0.1</v>
      </c>
      <c r="QAJ103" s="13">
        <v>0.1</v>
      </c>
      <c r="QAK103" s="13">
        <v>0.1</v>
      </c>
      <c r="QAL103" s="13">
        <v>0.1</v>
      </c>
      <c r="QAM103" s="13">
        <v>0.1</v>
      </c>
      <c r="QAN103" s="13">
        <v>0.1</v>
      </c>
      <c r="QAO103" s="13">
        <v>0.1</v>
      </c>
      <c r="QAP103" s="13">
        <v>0.1</v>
      </c>
      <c r="QAQ103" s="13">
        <v>0.1</v>
      </c>
      <c r="QAR103" s="13">
        <v>0.1</v>
      </c>
      <c r="QAS103" s="13">
        <v>0.1</v>
      </c>
      <c r="QAT103" s="13">
        <v>0.1</v>
      </c>
      <c r="QAU103" s="13">
        <v>0.1</v>
      </c>
      <c r="QAV103" s="13">
        <v>0.1</v>
      </c>
      <c r="QAW103" s="13">
        <v>0.1</v>
      </c>
      <c r="QAX103" s="13">
        <v>0.1</v>
      </c>
      <c r="QAY103" s="13">
        <v>0.1</v>
      </c>
      <c r="QAZ103" s="13">
        <v>0.1</v>
      </c>
      <c r="QBA103" s="13">
        <v>0.1</v>
      </c>
      <c r="QBB103" s="13">
        <v>0.1</v>
      </c>
      <c r="QBC103" s="13">
        <v>0.1</v>
      </c>
      <c r="QBD103" s="13">
        <v>0.1</v>
      </c>
      <c r="QBE103" s="13">
        <v>0.1</v>
      </c>
      <c r="QBF103" s="13">
        <v>0.1</v>
      </c>
      <c r="QBG103" s="13">
        <v>0.1</v>
      </c>
      <c r="QBH103" s="13">
        <v>0.1</v>
      </c>
      <c r="QBI103" s="13">
        <v>0.1</v>
      </c>
      <c r="QBJ103" s="13">
        <v>0.1</v>
      </c>
      <c r="QBK103" s="13">
        <v>0.1</v>
      </c>
      <c r="QBL103" s="13">
        <v>0.1</v>
      </c>
      <c r="QBM103" s="13">
        <v>0.1</v>
      </c>
      <c r="QBN103" s="13">
        <v>0.1</v>
      </c>
      <c r="QBO103" s="13">
        <v>0.1</v>
      </c>
      <c r="QBP103" s="13">
        <v>0.1</v>
      </c>
      <c r="QBQ103" s="13">
        <v>0.1</v>
      </c>
      <c r="QBR103" s="13">
        <v>0.1</v>
      </c>
      <c r="QBS103" s="13">
        <v>0.1</v>
      </c>
      <c r="QBT103" s="13">
        <v>0.1</v>
      </c>
      <c r="QBU103" s="13">
        <v>0.1</v>
      </c>
      <c r="QBV103" s="13">
        <v>0.1</v>
      </c>
      <c r="QBW103" s="13">
        <v>0.1</v>
      </c>
      <c r="QBX103" s="13">
        <v>0.1</v>
      </c>
      <c r="QBY103" s="13">
        <v>0.1</v>
      </c>
      <c r="QBZ103" s="13">
        <v>0.1</v>
      </c>
      <c r="QCA103" s="13">
        <v>0.1</v>
      </c>
      <c r="QCB103" s="13">
        <v>0.1</v>
      </c>
      <c r="QCC103" s="13">
        <v>0.1</v>
      </c>
      <c r="QCD103" s="13">
        <v>0.1</v>
      </c>
      <c r="QCE103" s="13">
        <v>0.1</v>
      </c>
      <c r="QCF103" s="13">
        <v>0.1</v>
      </c>
      <c r="QCG103" s="13">
        <v>0.1</v>
      </c>
      <c r="QCH103" s="13">
        <v>0.1</v>
      </c>
      <c r="QCI103" s="13">
        <v>0.1</v>
      </c>
      <c r="QCJ103" s="13">
        <v>0.1</v>
      </c>
      <c r="QCK103" s="13">
        <v>0.1</v>
      </c>
      <c r="QCL103" s="13">
        <v>0.1</v>
      </c>
      <c r="QCM103" s="13">
        <v>0.1</v>
      </c>
      <c r="QCN103" s="13">
        <v>0.1</v>
      </c>
      <c r="QCO103" s="13">
        <v>0.1</v>
      </c>
      <c r="QCP103" s="13">
        <v>0.1</v>
      </c>
      <c r="QCQ103" s="13">
        <v>0.1</v>
      </c>
      <c r="QCR103" s="13">
        <v>0.1</v>
      </c>
      <c r="QCS103" s="13">
        <v>0.1</v>
      </c>
      <c r="QCT103" s="13">
        <v>0.1</v>
      </c>
      <c r="QCU103" s="13">
        <v>0.1</v>
      </c>
      <c r="QCV103" s="13">
        <v>0.1</v>
      </c>
      <c r="QCW103" s="13">
        <v>0.1</v>
      </c>
      <c r="QCX103" s="13">
        <v>0.1</v>
      </c>
      <c r="QCY103" s="13">
        <v>0.1</v>
      </c>
      <c r="QCZ103" s="13">
        <v>0.1</v>
      </c>
      <c r="QDA103" s="13">
        <v>0.1</v>
      </c>
      <c r="QDB103" s="13">
        <v>0.1</v>
      </c>
      <c r="QDC103" s="13">
        <v>0.1</v>
      </c>
      <c r="QDD103" s="13">
        <v>0.1</v>
      </c>
      <c r="QDE103" s="13">
        <v>0.1</v>
      </c>
      <c r="QDF103" s="13">
        <v>0.1</v>
      </c>
      <c r="QDG103" s="13">
        <v>0.1</v>
      </c>
      <c r="QDH103" s="13">
        <v>0.1</v>
      </c>
      <c r="QDI103" s="13">
        <v>0.1</v>
      </c>
      <c r="QDJ103" s="13">
        <v>0.1</v>
      </c>
      <c r="QDK103" s="13">
        <v>0.1</v>
      </c>
      <c r="QDL103" s="13">
        <v>0.1</v>
      </c>
      <c r="QDM103" s="13">
        <v>0.1</v>
      </c>
      <c r="QDN103" s="13">
        <v>0.1</v>
      </c>
      <c r="QDO103" s="13">
        <v>0.1</v>
      </c>
      <c r="QDP103" s="13">
        <v>0.1</v>
      </c>
      <c r="QDQ103" s="13">
        <v>0.1</v>
      </c>
      <c r="QDR103" s="13">
        <v>0.1</v>
      </c>
      <c r="QDS103" s="13">
        <v>0.1</v>
      </c>
      <c r="QDT103" s="13">
        <v>0.1</v>
      </c>
      <c r="QDU103" s="13">
        <v>0.1</v>
      </c>
      <c r="QDV103" s="13">
        <v>0.1</v>
      </c>
      <c r="QDW103" s="13">
        <v>0.1</v>
      </c>
      <c r="QDX103" s="13">
        <v>0.1</v>
      </c>
      <c r="QDY103" s="13">
        <v>0.1</v>
      </c>
      <c r="QDZ103" s="13">
        <v>0.1</v>
      </c>
      <c r="QEA103" s="13">
        <v>0.1</v>
      </c>
      <c r="QEB103" s="13">
        <v>0.1</v>
      </c>
      <c r="QEC103" s="13">
        <v>0.1</v>
      </c>
      <c r="QED103" s="13">
        <v>0.1</v>
      </c>
      <c r="QEE103" s="13">
        <v>0.1</v>
      </c>
      <c r="QEF103" s="13">
        <v>0.1</v>
      </c>
      <c r="QEG103" s="13">
        <v>0.1</v>
      </c>
      <c r="QEH103" s="13">
        <v>0.1</v>
      </c>
      <c r="QEI103" s="13">
        <v>0.1</v>
      </c>
      <c r="QEJ103" s="13">
        <v>0.1</v>
      </c>
      <c r="QEK103" s="13">
        <v>0.1</v>
      </c>
      <c r="QEL103" s="13">
        <v>0.1</v>
      </c>
      <c r="QEM103" s="13">
        <v>0.1</v>
      </c>
      <c r="QEN103" s="13">
        <v>0.1</v>
      </c>
      <c r="QEO103" s="13">
        <v>0.1</v>
      </c>
      <c r="QEP103" s="13">
        <v>0.1</v>
      </c>
      <c r="QEQ103" s="13">
        <v>0.1</v>
      </c>
      <c r="QER103" s="13">
        <v>0.1</v>
      </c>
      <c r="QES103" s="13">
        <v>0.1</v>
      </c>
      <c r="QET103" s="13">
        <v>0.1</v>
      </c>
      <c r="QEU103" s="13">
        <v>0.1</v>
      </c>
      <c r="QEV103" s="13">
        <v>0.1</v>
      </c>
      <c r="QEW103" s="13">
        <v>0.1</v>
      </c>
      <c r="QEX103" s="13">
        <v>0.1</v>
      </c>
      <c r="QEY103" s="13">
        <v>0.1</v>
      </c>
      <c r="QEZ103" s="13">
        <v>0.1</v>
      </c>
      <c r="QFA103" s="13">
        <v>0.1</v>
      </c>
      <c r="QFB103" s="13">
        <v>0.1</v>
      </c>
      <c r="QFC103" s="13">
        <v>0.1</v>
      </c>
      <c r="QFD103" s="13">
        <v>0.1</v>
      </c>
      <c r="QFE103" s="13">
        <v>0.1</v>
      </c>
      <c r="QFF103" s="13">
        <v>0.1</v>
      </c>
      <c r="QFG103" s="13">
        <v>0.1</v>
      </c>
      <c r="QFH103" s="13">
        <v>0.1</v>
      </c>
      <c r="QFI103" s="13">
        <v>0.1</v>
      </c>
      <c r="QFJ103" s="13">
        <v>0.1</v>
      </c>
      <c r="QFK103" s="13">
        <v>0.1</v>
      </c>
      <c r="QFL103" s="13">
        <v>0.1</v>
      </c>
      <c r="QFM103" s="13">
        <v>0.1</v>
      </c>
      <c r="QFN103" s="13">
        <v>0.1</v>
      </c>
      <c r="QFO103" s="13">
        <v>0.1</v>
      </c>
      <c r="QFP103" s="13">
        <v>0.1</v>
      </c>
      <c r="QFQ103" s="13">
        <v>0.1</v>
      </c>
      <c r="QFR103" s="13">
        <v>0.1</v>
      </c>
      <c r="QFS103" s="13">
        <v>0.1</v>
      </c>
      <c r="QFT103" s="13">
        <v>0.1</v>
      </c>
      <c r="QFU103" s="13">
        <v>0.1</v>
      </c>
      <c r="QFV103" s="13">
        <v>0.1</v>
      </c>
      <c r="QFW103" s="13">
        <v>0.1</v>
      </c>
      <c r="QFX103" s="13">
        <v>0.1</v>
      </c>
      <c r="QFY103" s="13">
        <v>0.1</v>
      </c>
      <c r="QFZ103" s="13">
        <v>0.1</v>
      </c>
      <c r="QGA103" s="13">
        <v>0.1</v>
      </c>
      <c r="QGB103" s="13">
        <v>0.1</v>
      </c>
      <c r="QGC103" s="13">
        <v>0.1</v>
      </c>
      <c r="QGD103" s="13">
        <v>0.1</v>
      </c>
      <c r="QGE103" s="13">
        <v>0.1</v>
      </c>
      <c r="QGF103" s="13">
        <v>0.1</v>
      </c>
      <c r="QGG103" s="13">
        <v>0.1</v>
      </c>
      <c r="QGH103" s="13">
        <v>0.1</v>
      </c>
      <c r="QGI103" s="13">
        <v>0.1</v>
      </c>
      <c r="QGJ103" s="13">
        <v>0.1</v>
      </c>
      <c r="QGK103" s="13">
        <v>0.1</v>
      </c>
      <c r="QGL103" s="13">
        <v>0.1</v>
      </c>
      <c r="QGM103" s="13">
        <v>0.1</v>
      </c>
      <c r="QGN103" s="13">
        <v>0.1</v>
      </c>
      <c r="QGO103" s="13">
        <v>0.1</v>
      </c>
      <c r="QGP103" s="13">
        <v>0.1</v>
      </c>
      <c r="QGQ103" s="13">
        <v>0.1</v>
      </c>
      <c r="QGR103" s="13">
        <v>0.1</v>
      </c>
      <c r="QGS103" s="13">
        <v>0.1</v>
      </c>
      <c r="QGT103" s="13">
        <v>0.1</v>
      </c>
      <c r="QGU103" s="13">
        <v>0.1</v>
      </c>
      <c r="QGV103" s="13">
        <v>0.1</v>
      </c>
      <c r="QGW103" s="13">
        <v>0.1</v>
      </c>
      <c r="QGX103" s="13">
        <v>0.1</v>
      </c>
      <c r="QGY103" s="13">
        <v>0.1</v>
      </c>
      <c r="QGZ103" s="13">
        <v>0.1</v>
      </c>
      <c r="QHA103" s="13">
        <v>0.1</v>
      </c>
      <c r="QHB103" s="13">
        <v>0.1</v>
      </c>
      <c r="QHC103" s="13">
        <v>0.1</v>
      </c>
      <c r="QHD103" s="13">
        <v>0.1</v>
      </c>
      <c r="QHE103" s="13">
        <v>0.1</v>
      </c>
      <c r="QHF103" s="13">
        <v>0.1</v>
      </c>
      <c r="QHG103" s="13">
        <v>0.1</v>
      </c>
      <c r="QHH103" s="13">
        <v>0.1</v>
      </c>
      <c r="QHI103" s="13">
        <v>0.1</v>
      </c>
      <c r="QHJ103" s="13">
        <v>0.1</v>
      </c>
      <c r="QHK103" s="13">
        <v>0.1</v>
      </c>
      <c r="QHL103" s="13">
        <v>0.1</v>
      </c>
      <c r="QHM103" s="13">
        <v>0.1</v>
      </c>
      <c r="QHN103" s="13">
        <v>0.1</v>
      </c>
      <c r="QHO103" s="13">
        <v>0.1</v>
      </c>
      <c r="QHP103" s="13">
        <v>0.1</v>
      </c>
      <c r="QHQ103" s="13">
        <v>0.1</v>
      </c>
      <c r="QHR103" s="13">
        <v>0.1</v>
      </c>
      <c r="QHS103" s="13">
        <v>0.1</v>
      </c>
      <c r="QHT103" s="13">
        <v>0.1</v>
      </c>
      <c r="QHU103" s="13">
        <v>0.1</v>
      </c>
      <c r="QHV103" s="13">
        <v>0.1</v>
      </c>
      <c r="QHW103" s="13">
        <v>0.1</v>
      </c>
      <c r="QHX103" s="13">
        <v>0.1</v>
      </c>
      <c r="QHY103" s="13">
        <v>0.1</v>
      </c>
      <c r="QHZ103" s="13">
        <v>0.1</v>
      </c>
      <c r="QIA103" s="13">
        <v>0.1</v>
      </c>
      <c r="QIB103" s="13">
        <v>0.1</v>
      </c>
      <c r="QIC103" s="13">
        <v>0.1</v>
      </c>
      <c r="QID103" s="13">
        <v>0.1</v>
      </c>
      <c r="QIE103" s="13">
        <v>0.1</v>
      </c>
      <c r="QIF103" s="13">
        <v>0.1</v>
      </c>
      <c r="QIG103" s="13">
        <v>0.1</v>
      </c>
      <c r="QIH103" s="13">
        <v>0.1</v>
      </c>
      <c r="QII103" s="13">
        <v>0.1</v>
      </c>
      <c r="QIJ103" s="13">
        <v>0.1</v>
      </c>
      <c r="QIK103" s="13">
        <v>0.1</v>
      </c>
      <c r="QIL103" s="13">
        <v>0.1</v>
      </c>
      <c r="QIM103" s="13">
        <v>0.1</v>
      </c>
      <c r="QIN103" s="13">
        <v>0.1</v>
      </c>
      <c r="QIO103" s="13">
        <v>0.1</v>
      </c>
      <c r="QIP103" s="13">
        <v>0.1</v>
      </c>
      <c r="QIQ103" s="13">
        <v>0.1</v>
      </c>
      <c r="QIR103" s="13">
        <v>0.1</v>
      </c>
      <c r="QIS103" s="13">
        <v>0.1</v>
      </c>
      <c r="QIT103" s="13">
        <v>0.1</v>
      </c>
      <c r="QIU103" s="13">
        <v>0.1</v>
      </c>
      <c r="QIV103" s="13">
        <v>0.1</v>
      </c>
      <c r="QIW103" s="13">
        <v>0.1</v>
      </c>
      <c r="QIX103" s="13">
        <v>0.1</v>
      </c>
      <c r="QIY103" s="13">
        <v>0.1</v>
      </c>
      <c r="QIZ103" s="13">
        <v>0.1</v>
      </c>
      <c r="QJA103" s="13">
        <v>0.1</v>
      </c>
      <c r="QJB103" s="13">
        <v>0.1</v>
      </c>
      <c r="QJC103" s="13">
        <v>0.1</v>
      </c>
      <c r="QJD103" s="13">
        <v>0.1</v>
      </c>
      <c r="QJE103" s="13">
        <v>0.1</v>
      </c>
      <c r="QJF103" s="13">
        <v>0.1</v>
      </c>
      <c r="QJG103" s="13">
        <v>0.1</v>
      </c>
      <c r="QJH103" s="13">
        <v>0.1</v>
      </c>
      <c r="QJI103" s="13">
        <v>0.1</v>
      </c>
      <c r="QJJ103" s="13">
        <v>0.1</v>
      </c>
      <c r="QJK103" s="13">
        <v>0.1</v>
      </c>
      <c r="QJL103" s="13">
        <v>0.1</v>
      </c>
      <c r="QJM103" s="13">
        <v>0.1</v>
      </c>
      <c r="QJN103" s="13">
        <v>0.1</v>
      </c>
      <c r="QJO103" s="13">
        <v>0.1</v>
      </c>
      <c r="QJP103" s="13">
        <v>0.1</v>
      </c>
      <c r="QJQ103" s="13">
        <v>0.1</v>
      </c>
      <c r="QJR103" s="13">
        <v>0.1</v>
      </c>
      <c r="QJS103" s="13">
        <v>0.1</v>
      </c>
      <c r="QJT103" s="13">
        <v>0.1</v>
      </c>
      <c r="QJU103" s="13">
        <v>0.1</v>
      </c>
      <c r="QJV103" s="13">
        <v>0.1</v>
      </c>
      <c r="QJW103" s="13">
        <v>0.1</v>
      </c>
      <c r="QJX103" s="13">
        <v>0.1</v>
      </c>
      <c r="QJY103" s="13">
        <v>0.1</v>
      </c>
      <c r="QJZ103" s="13">
        <v>0.1</v>
      </c>
      <c r="QKA103" s="13">
        <v>0.1</v>
      </c>
      <c r="QKB103" s="13">
        <v>0.1</v>
      </c>
      <c r="QKC103" s="13">
        <v>0.1</v>
      </c>
      <c r="QKD103" s="13">
        <v>0.1</v>
      </c>
      <c r="QKE103" s="13">
        <v>0.1</v>
      </c>
      <c r="QKF103" s="13">
        <v>0.1</v>
      </c>
      <c r="QKG103" s="13">
        <v>0.1</v>
      </c>
      <c r="QKH103" s="13">
        <v>0.1</v>
      </c>
      <c r="QKI103" s="13">
        <v>0.1</v>
      </c>
      <c r="QKJ103" s="13">
        <v>0.1</v>
      </c>
      <c r="QKK103" s="13">
        <v>0.1</v>
      </c>
      <c r="QKL103" s="13">
        <v>0.1</v>
      </c>
      <c r="QKM103" s="13">
        <v>0.1</v>
      </c>
      <c r="QKN103" s="13">
        <v>0.1</v>
      </c>
      <c r="QKO103" s="13">
        <v>0.1</v>
      </c>
      <c r="QKP103" s="13">
        <v>0.1</v>
      </c>
      <c r="QKQ103" s="13">
        <v>0.1</v>
      </c>
      <c r="QKR103" s="13">
        <v>0.1</v>
      </c>
      <c r="QKS103" s="13">
        <v>0.1</v>
      </c>
      <c r="QKT103" s="13">
        <v>0.1</v>
      </c>
      <c r="QKU103" s="13">
        <v>0.1</v>
      </c>
      <c r="QKV103" s="13">
        <v>0.1</v>
      </c>
      <c r="QKW103" s="13">
        <v>0.1</v>
      </c>
      <c r="QKX103" s="13">
        <v>0.1</v>
      </c>
      <c r="QKY103" s="13">
        <v>0.1</v>
      </c>
      <c r="QKZ103" s="13">
        <v>0.1</v>
      </c>
      <c r="QLA103" s="13">
        <v>0.1</v>
      </c>
      <c r="QLB103" s="13">
        <v>0.1</v>
      </c>
      <c r="QLC103" s="13">
        <v>0.1</v>
      </c>
      <c r="QLD103" s="13">
        <v>0.1</v>
      </c>
      <c r="QLE103" s="13">
        <v>0.1</v>
      </c>
      <c r="QLF103" s="13">
        <v>0.1</v>
      </c>
      <c r="QLG103" s="13">
        <v>0.1</v>
      </c>
      <c r="QLH103" s="13">
        <v>0.1</v>
      </c>
      <c r="QLI103" s="13">
        <v>0.1</v>
      </c>
      <c r="QLJ103" s="13">
        <v>0.1</v>
      </c>
      <c r="QLK103" s="13">
        <v>0.1</v>
      </c>
      <c r="QLL103" s="13">
        <v>0.1</v>
      </c>
      <c r="QLM103" s="13">
        <v>0.1</v>
      </c>
      <c r="QLN103" s="13">
        <v>0.1</v>
      </c>
      <c r="QLO103" s="13">
        <v>0.1</v>
      </c>
      <c r="QLP103" s="13">
        <v>0.1</v>
      </c>
      <c r="QLQ103" s="13">
        <v>0.1</v>
      </c>
      <c r="QLR103" s="13">
        <v>0.1</v>
      </c>
      <c r="QLS103" s="13">
        <v>0.1</v>
      </c>
      <c r="QLT103" s="13">
        <v>0.1</v>
      </c>
      <c r="QLU103" s="13">
        <v>0.1</v>
      </c>
      <c r="QLV103" s="13">
        <v>0.1</v>
      </c>
      <c r="QLW103" s="13">
        <v>0.1</v>
      </c>
      <c r="QLX103" s="13">
        <v>0.1</v>
      </c>
      <c r="QLY103" s="13">
        <v>0.1</v>
      </c>
      <c r="QLZ103" s="13">
        <v>0.1</v>
      </c>
      <c r="QMA103" s="13">
        <v>0.1</v>
      </c>
      <c r="QMB103" s="13">
        <v>0.1</v>
      </c>
      <c r="QMC103" s="13">
        <v>0.1</v>
      </c>
      <c r="QMD103" s="13">
        <v>0.1</v>
      </c>
      <c r="QME103" s="13">
        <v>0.1</v>
      </c>
      <c r="QMF103" s="13">
        <v>0.1</v>
      </c>
      <c r="QMG103" s="13">
        <v>0.1</v>
      </c>
      <c r="QMH103" s="13">
        <v>0.1</v>
      </c>
      <c r="QMI103" s="13">
        <v>0.1</v>
      </c>
      <c r="QMJ103" s="13">
        <v>0.1</v>
      </c>
      <c r="QMK103" s="13">
        <v>0.1</v>
      </c>
      <c r="QML103" s="13">
        <v>0.1</v>
      </c>
      <c r="QMM103" s="13">
        <v>0.1</v>
      </c>
      <c r="QMN103" s="13">
        <v>0.1</v>
      </c>
      <c r="QMO103" s="13">
        <v>0.1</v>
      </c>
      <c r="QMP103" s="13">
        <v>0.1</v>
      </c>
      <c r="QMQ103" s="13">
        <v>0.1</v>
      </c>
      <c r="QMR103" s="13">
        <v>0.1</v>
      </c>
      <c r="QMS103" s="13">
        <v>0.1</v>
      </c>
      <c r="QMT103" s="13">
        <v>0.1</v>
      </c>
      <c r="QMU103" s="13">
        <v>0.1</v>
      </c>
      <c r="QMV103" s="13">
        <v>0.1</v>
      </c>
      <c r="QMW103" s="13">
        <v>0.1</v>
      </c>
      <c r="QMX103" s="13">
        <v>0.1</v>
      </c>
      <c r="QMY103" s="13">
        <v>0.1</v>
      </c>
      <c r="QMZ103" s="13">
        <v>0.1</v>
      </c>
      <c r="QNA103" s="13">
        <v>0.1</v>
      </c>
      <c r="QNB103" s="13">
        <v>0.1</v>
      </c>
      <c r="QNC103" s="13">
        <v>0.1</v>
      </c>
      <c r="QND103" s="13">
        <v>0.1</v>
      </c>
      <c r="QNE103" s="13">
        <v>0.1</v>
      </c>
      <c r="QNF103" s="13">
        <v>0.1</v>
      </c>
      <c r="QNG103" s="13">
        <v>0.1</v>
      </c>
      <c r="QNH103" s="13">
        <v>0.1</v>
      </c>
      <c r="QNI103" s="13">
        <v>0.1</v>
      </c>
      <c r="QNJ103" s="13">
        <v>0.1</v>
      </c>
      <c r="QNK103" s="13">
        <v>0.1</v>
      </c>
      <c r="QNL103" s="13">
        <v>0.1</v>
      </c>
      <c r="QNM103" s="13">
        <v>0.1</v>
      </c>
      <c r="QNN103" s="13">
        <v>0.1</v>
      </c>
      <c r="QNO103" s="13">
        <v>0.1</v>
      </c>
      <c r="QNP103" s="13">
        <v>0.1</v>
      </c>
      <c r="QNQ103" s="13">
        <v>0.1</v>
      </c>
      <c r="QNR103" s="13">
        <v>0.1</v>
      </c>
      <c r="QNS103" s="13">
        <v>0.1</v>
      </c>
      <c r="QNT103" s="13">
        <v>0.1</v>
      </c>
      <c r="QNU103" s="13">
        <v>0.1</v>
      </c>
      <c r="QNV103" s="13">
        <v>0.1</v>
      </c>
      <c r="QNW103" s="13">
        <v>0.1</v>
      </c>
      <c r="QNX103" s="13">
        <v>0.1</v>
      </c>
      <c r="QNY103" s="13">
        <v>0.1</v>
      </c>
      <c r="QNZ103" s="13">
        <v>0.1</v>
      </c>
      <c r="QOA103" s="13">
        <v>0.1</v>
      </c>
      <c r="QOB103" s="13">
        <v>0.1</v>
      </c>
      <c r="QOC103" s="13">
        <v>0.1</v>
      </c>
      <c r="QOD103" s="13">
        <v>0.1</v>
      </c>
      <c r="QOE103" s="13">
        <v>0.1</v>
      </c>
      <c r="QOF103" s="13">
        <v>0.1</v>
      </c>
      <c r="QOG103" s="13">
        <v>0.1</v>
      </c>
      <c r="QOH103" s="13">
        <v>0.1</v>
      </c>
      <c r="QOI103" s="13">
        <v>0.1</v>
      </c>
      <c r="QOJ103" s="13">
        <v>0.1</v>
      </c>
      <c r="QOK103" s="13">
        <v>0.1</v>
      </c>
      <c r="QOL103" s="13">
        <v>0.1</v>
      </c>
      <c r="QOM103" s="13">
        <v>0.1</v>
      </c>
      <c r="QON103" s="13">
        <v>0.1</v>
      </c>
      <c r="QOO103" s="13">
        <v>0.1</v>
      </c>
      <c r="QOP103" s="13">
        <v>0.1</v>
      </c>
      <c r="QOQ103" s="13">
        <v>0.1</v>
      </c>
      <c r="QOR103" s="13">
        <v>0.1</v>
      </c>
      <c r="QOS103" s="13">
        <v>0.1</v>
      </c>
      <c r="QOT103" s="13">
        <v>0.1</v>
      </c>
      <c r="QOU103" s="13">
        <v>0.1</v>
      </c>
      <c r="QOV103" s="13">
        <v>0.1</v>
      </c>
      <c r="QOW103" s="13">
        <v>0.1</v>
      </c>
      <c r="QOX103" s="13">
        <v>0.1</v>
      </c>
      <c r="QOY103" s="13">
        <v>0.1</v>
      </c>
      <c r="QOZ103" s="13">
        <v>0.1</v>
      </c>
      <c r="QPA103" s="13">
        <v>0.1</v>
      </c>
      <c r="QPB103" s="13">
        <v>0.1</v>
      </c>
      <c r="QPC103" s="13">
        <v>0.1</v>
      </c>
      <c r="QPD103" s="13">
        <v>0.1</v>
      </c>
      <c r="QPE103" s="13">
        <v>0.1</v>
      </c>
      <c r="QPF103" s="13">
        <v>0.1</v>
      </c>
      <c r="QPG103" s="13">
        <v>0.1</v>
      </c>
      <c r="QPH103" s="13">
        <v>0.1</v>
      </c>
      <c r="QPI103" s="13">
        <v>0.1</v>
      </c>
      <c r="QPJ103" s="13">
        <v>0.1</v>
      </c>
      <c r="QPK103" s="13">
        <v>0.1</v>
      </c>
      <c r="QPL103" s="13">
        <v>0.1</v>
      </c>
      <c r="QPM103" s="13">
        <v>0.1</v>
      </c>
      <c r="QPN103" s="13">
        <v>0.1</v>
      </c>
      <c r="QPO103" s="13">
        <v>0.1</v>
      </c>
      <c r="QPP103" s="13">
        <v>0.1</v>
      </c>
      <c r="QPQ103" s="13">
        <v>0.1</v>
      </c>
      <c r="QPR103" s="13">
        <v>0.1</v>
      </c>
      <c r="QPS103" s="13">
        <v>0.1</v>
      </c>
      <c r="QPT103" s="13">
        <v>0.1</v>
      </c>
      <c r="QPU103" s="13">
        <v>0.1</v>
      </c>
      <c r="QPV103" s="13">
        <v>0.1</v>
      </c>
      <c r="QPW103" s="13">
        <v>0.1</v>
      </c>
      <c r="QPX103" s="13">
        <v>0.1</v>
      </c>
      <c r="QPY103" s="13">
        <v>0.1</v>
      </c>
      <c r="QPZ103" s="13">
        <v>0.1</v>
      </c>
      <c r="QQA103" s="13">
        <v>0.1</v>
      </c>
      <c r="QQB103" s="13">
        <v>0.1</v>
      </c>
      <c r="QQC103" s="13">
        <v>0.1</v>
      </c>
      <c r="QQD103" s="13">
        <v>0.1</v>
      </c>
      <c r="QQE103" s="13">
        <v>0.1</v>
      </c>
      <c r="QQF103" s="13">
        <v>0.1</v>
      </c>
      <c r="QQG103" s="13">
        <v>0.1</v>
      </c>
      <c r="QQH103" s="13">
        <v>0.1</v>
      </c>
      <c r="QQI103" s="13">
        <v>0.1</v>
      </c>
      <c r="QQJ103" s="13">
        <v>0.1</v>
      </c>
      <c r="QQK103" s="13">
        <v>0.1</v>
      </c>
      <c r="QQL103" s="13">
        <v>0.1</v>
      </c>
      <c r="QQM103" s="13">
        <v>0.1</v>
      </c>
      <c r="QQN103" s="13">
        <v>0.1</v>
      </c>
      <c r="QQO103" s="13">
        <v>0.1</v>
      </c>
      <c r="QQP103" s="13">
        <v>0.1</v>
      </c>
      <c r="QQQ103" s="13">
        <v>0.1</v>
      </c>
      <c r="QQR103" s="13">
        <v>0.1</v>
      </c>
      <c r="QQS103" s="13">
        <v>0.1</v>
      </c>
      <c r="QQT103" s="13">
        <v>0.1</v>
      </c>
      <c r="QQU103" s="13">
        <v>0.1</v>
      </c>
      <c r="QQV103" s="13">
        <v>0.1</v>
      </c>
      <c r="QQW103" s="13">
        <v>0.1</v>
      </c>
      <c r="QQX103" s="13">
        <v>0.1</v>
      </c>
      <c r="QQY103" s="13">
        <v>0.1</v>
      </c>
      <c r="QQZ103" s="13">
        <v>0.1</v>
      </c>
      <c r="QRA103" s="13">
        <v>0.1</v>
      </c>
      <c r="QRB103" s="13">
        <v>0.1</v>
      </c>
      <c r="QRC103" s="13">
        <v>0.1</v>
      </c>
      <c r="QRD103" s="13">
        <v>0.1</v>
      </c>
      <c r="QRE103" s="13">
        <v>0.1</v>
      </c>
      <c r="QRF103" s="13">
        <v>0.1</v>
      </c>
      <c r="QRG103" s="13">
        <v>0.1</v>
      </c>
      <c r="QRH103" s="13">
        <v>0.1</v>
      </c>
      <c r="QRI103" s="13">
        <v>0.1</v>
      </c>
      <c r="QRJ103" s="13">
        <v>0.1</v>
      </c>
      <c r="QRK103" s="13">
        <v>0.1</v>
      </c>
      <c r="QRL103" s="13">
        <v>0.1</v>
      </c>
      <c r="QRM103" s="13">
        <v>0.1</v>
      </c>
      <c r="QRN103" s="13">
        <v>0.1</v>
      </c>
      <c r="QRO103" s="13">
        <v>0.1</v>
      </c>
      <c r="QRP103" s="13">
        <v>0.1</v>
      </c>
      <c r="QRQ103" s="13">
        <v>0.1</v>
      </c>
      <c r="QRR103" s="13">
        <v>0.1</v>
      </c>
      <c r="QRS103" s="13">
        <v>0.1</v>
      </c>
      <c r="QRT103" s="13">
        <v>0.1</v>
      </c>
      <c r="QRU103" s="13">
        <v>0.1</v>
      </c>
      <c r="QRV103" s="13">
        <v>0.1</v>
      </c>
      <c r="QRW103" s="13">
        <v>0.1</v>
      </c>
      <c r="QRX103" s="13">
        <v>0.1</v>
      </c>
      <c r="QRY103" s="13">
        <v>0.1</v>
      </c>
      <c r="QRZ103" s="13">
        <v>0.1</v>
      </c>
      <c r="QSA103" s="13">
        <v>0.1</v>
      </c>
      <c r="QSB103" s="13">
        <v>0.1</v>
      </c>
      <c r="QSC103" s="13">
        <v>0.1</v>
      </c>
      <c r="QSD103" s="13">
        <v>0.1</v>
      </c>
      <c r="QSE103" s="13">
        <v>0.1</v>
      </c>
      <c r="QSF103" s="13">
        <v>0.1</v>
      </c>
      <c r="QSG103" s="13">
        <v>0.1</v>
      </c>
      <c r="QSH103" s="13">
        <v>0.1</v>
      </c>
      <c r="QSI103" s="13">
        <v>0.1</v>
      </c>
      <c r="QSJ103" s="13">
        <v>0.1</v>
      </c>
      <c r="QSK103" s="13">
        <v>0.1</v>
      </c>
      <c r="QSL103" s="13">
        <v>0.1</v>
      </c>
      <c r="QSM103" s="13">
        <v>0.1</v>
      </c>
      <c r="QSN103" s="13">
        <v>0.1</v>
      </c>
      <c r="QSO103" s="13">
        <v>0.1</v>
      </c>
      <c r="QSP103" s="13">
        <v>0.1</v>
      </c>
      <c r="QSQ103" s="13">
        <v>0.1</v>
      </c>
      <c r="QSR103" s="13">
        <v>0.1</v>
      </c>
      <c r="QSS103" s="13">
        <v>0.1</v>
      </c>
      <c r="QST103" s="13">
        <v>0.1</v>
      </c>
      <c r="QSU103" s="13">
        <v>0.1</v>
      </c>
      <c r="QSV103" s="13">
        <v>0.1</v>
      </c>
      <c r="QSW103" s="13">
        <v>0.1</v>
      </c>
      <c r="QSX103" s="13">
        <v>0.1</v>
      </c>
      <c r="QSY103" s="13">
        <v>0.1</v>
      </c>
      <c r="QSZ103" s="13">
        <v>0.1</v>
      </c>
      <c r="QTA103" s="13">
        <v>0.1</v>
      </c>
      <c r="QTB103" s="13">
        <v>0.1</v>
      </c>
      <c r="QTC103" s="13">
        <v>0.1</v>
      </c>
      <c r="QTD103" s="13">
        <v>0.1</v>
      </c>
      <c r="QTE103" s="13">
        <v>0.1</v>
      </c>
      <c r="QTF103" s="13">
        <v>0.1</v>
      </c>
      <c r="QTG103" s="13">
        <v>0.1</v>
      </c>
      <c r="QTH103" s="13">
        <v>0.1</v>
      </c>
      <c r="QTI103" s="13">
        <v>0.1</v>
      </c>
      <c r="QTJ103" s="13">
        <v>0.1</v>
      </c>
      <c r="QTK103" s="13">
        <v>0.1</v>
      </c>
      <c r="QTL103" s="13">
        <v>0.1</v>
      </c>
      <c r="QTM103" s="13">
        <v>0.1</v>
      </c>
      <c r="QTN103" s="13">
        <v>0.1</v>
      </c>
      <c r="QTO103" s="13">
        <v>0.1</v>
      </c>
      <c r="QTP103" s="13">
        <v>0.1</v>
      </c>
      <c r="QTQ103" s="13">
        <v>0.1</v>
      </c>
      <c r="QTR103" s="13">
        <v>0.1</v>
      </c>
      <c r="QTS103" s="13">
        <v>0.1</v>
      </c>
      <c r="QTT103" s="13">
        <v>0.1</v>
      </c>
      <c r="QTU103" s="13">
        <v>0.1</v>
      </c>
      <c r="QTV103" s="13">
        <v>0.1</v>
      </c>
      <c r="QTW103" s="13">
        <v>0.1</v>
      </c>
      <c r="QTX103" s="13">
        <v>0.1</v>
      </c>
      <c r="QTY103" s="13">
        <v>0.1</v>
      </c>
      <c r="QTZ103" s="13">
        <v>0.1</v>
      </c>
      <c r="QUA103" s="13">
        <v>0.1</v>
      </c>
      <c r="QUB103" s="13">
        <v>0.1</v>
      </c>
      <c r="QUC103" s="13">
        <v>0.1</v>
      </c>
      <c r="QUD103" s="13">
        <v>0.1</v>
      </c>
      <c r="QUE103" s="13">
        <v>0.1</v>
      </c>
      <c r="QUF103" s="13">
        <v>0.1</v>
      </c>
      <c r="QUG103" s="13">
        <v>0.1</v>
      </c>
      <c r="QUH103" s="13">
        <v>0.1</v>
      </c>
      <c r="QUI103" s="13">
        <v>0.1</v>
      </c>
      <c r="QUJ103" s="13">
        <v>0.1</v>
      </c>
      <c r="QUK103" s="13">
        <v>0.1</v>
      </c>
      <c r="QUL103" s="13">
        <v>0.1</v>
      </c>
      <c r="QUM103" s="13">
        <v>0.1</v>
      </c>
      <c r="QUN103" s="13">
        <v>0.1</v>
      </c>
      <c r="QUO103" s="13">
        <v>0.1</v>
      </c>
      <c r="QUP103" s="13">
        <v>0.1</v>
      </c>
      <c r="QUQ103" s="13">
        <v>0.1</v>
      </c>
      <c r="QUR103" s="13">
        <v>0.1</v>
      </c>
      <c r="QUS103" s="13">
        <v>0.1</v>
      </c>
      <c r="QUT103" s="13">
        <v>0.1</v>
      </c>
      <c r="QUU103" s="13">
        <v>0.1</v>
      </c>
      <c r="QUV103" s="13">
        <v>0.1</v>
      </c>
      <c r="QUW103" s="13">
        <v>0.1</v>
      </c>
      <c r="QUX103" s="13">
        <v>0.1</v>
      </c>
      <c r="QUY103" s="13">
        <v>0.1</v>
      </c>
      <c r="QUZ103" s="13">
        <v>0.1</v>
      </c>
      <c r="QVA103" s="13">
        <v>0.1</v>
      </c>
      <c r="QVB103" s="13">
        <v>0.1</v>
      </c>
      <c r="QVC103" s="13">
        <v>0.1</v>
      </c>
      <c r="QVD103" s="13">
        <v>0.1</v>
      </c>
      <c r="QVE103" s="13">
        <v>0.1</v>
      </c>
      <c r="QVF103" s="13">
        <v>0.1</v>
      </c>
      <c r="QVG103" s="13">
        <v>0.1</v>
      </c>
      <c r="QVH103" s="13">
        <v>0.1</v>
      </c>
      <c r="QVI103" s="13">
        <v>0.1</v>
      </c>
      <c r="QVJ103" s="13">
        <v>0.1</v>
      </c>
      <c r="QVK103" s="13">
        <v>0.1</v>
      </c>
      <c r="QVL103" s="13">
        <v>0.1</v>
      </c>
      <c r="QVM103" s="13">
        <v>0.1</v>
      </c>
      <c r="QVN103" s="13">
        <v>0.1</v>
      </c>
      <c r="QVO103" s="13">
        <v>0.1</v>
      </c>
      <c r="QVP103" s="13">
        <v>0.1</v>
      </c>
      <c r="QVQ103" s="13">
        <v>0.1</v>
      </c>
      <c r="QVR103" s="13">
        <v>0.1</v>
      </c>
      <c r="QVS103" s="13">
        <v>0.1</v>
      </c>
      <c r="QVT103" s="13">
        <v>0.1</v>
      </c>
      <c r="QVU103" s="13">
        <v>0.1</v>
      </c>
      <c r="QVV103" s="13">
        <v>0.1</v>
      </c>
      <c r="QVW103" s="13">
        <v>0.1</v>
      </c>
      <c r="QVX103" s="13">
        <v>0.1</v>
      </c>
      <c r="QVY103" s="13">
        <v>0.1</v>
      </c>
      <c r="QVZ103" s="13">
        <v>0.1</v>
      </c>
      <c r="QWA103" s="13">
        <v>0.1</v>
      </c>
      <c r="QWB103" s="13">
        <v>0.1</v>
      </c>
      <c r="QWC103" s="13">
        <v>0.1</v>
      </c>
      <c r="QWD103" s="13">
        <v>0.1</v>
      </c>
      <c r="QWE103" s="13">
        <v>0.1</v>
      </c>
      <c r="QWF103" s="13">
        <v>0.1</v>
      </c>
      <c r="QWG103" s="13">
        <v>0.1</v>
      </c>
      <c r="QWH103" s="13">
        <v>0.1</v>
      </c>
      <c r="QWI103" s="13">
        <v>0.1</v>
      </c>
      <c r="QWJ103" s="13">
        <v>0.1</v>
      </c>
      <c r="QWK103" s="13">
        <v>0.1</v>
      </c>
      <c r="QWL103" s="13">
        <v>0.1</v>
      </c>
      <c r="QWM103" s="13">
        <v>0.1</v>
      </c>
      <c r="QWN103" s="13">
        <v>0.1</v>
      </c>
      <c r="QWO103" s="13">
        <v>0.1</v>
      </c>
      <c r="QWP103" s="13">
        <v>0.1</v>
      </c>
      <c r="QWQ103" s="13">
        <v>0.1</v>
      </c>
      <c r="QWR103" s="13">
        <v>0.1</v>
      </c>
      <c r="QWS103" s="13">
        <v>0.1</v>
      </c>
      <c r="QWT103" s="13">
        <v>0.1</v>
      </c>
      <c r="QWU103" s="13">
        <v>0.1</v>
      </c>
      <c r="QWV103" s="13">
        <v>0.1</v>
      </c>
      <c r="QWW103" s="13">
        <v>0.1</v>
      </c>
      <c r="QWX103" s="13">
        <v>0.1</v>
      </c>
      <c r="QWY103" s="13">
        <v>0.1</v>
      </c>
      <c r="QWZ103" s="13">
        <v>0.1</v>
      </c>
      <c r="QXA103" s="13">
        <v>0.1</v>
      </c>
      <c r="QXB103" s="13">
        <v>0.1</v>
      </c>
      <c r="QXC103" s="13">
        <v>0.1</v>
      </c>
      <c r="QXD103" s="13">
        <v>0.1</v>
      </c>
      <c r="QXE103" s="13">
        <v>0.1</v>
      </c>
      <c r="QXF103" s="13">
        <v>0.1</v>
      </c>
      <c r="QXG103" s="13">
        <v>0.1</v>
      </c>
      <c r="QXH103" s="13">
        <v>0.1</v>
      </c>
      <c r="QXI103" s="13">
        <v>0.1</v>
      </c>
      <c r="QXJ103" s="13">
        <v>0.1</v>
      </c>
      <c r="QXK103" s="13">
        <v>0.1</v>
      </c>
      <c r="QXL103" s="13">
        <v>0.1</v>
      </c>
      <c r="QXM103" s="13">
        <v>0.1</v>
      </c>
      <c r="QXN103" s="13">
        <v>0.1</v>
      </c>
      <c r="QXO103" s="13">
        <v>0.1</v>
      </c>
      <c r="QXP103" s="13">
        <v>0.1</v>
      </c>
      <c r="QXQ103" s="13">
        <v>0.1</v>
      </c>
      <c r="QXR103" s="13">
        <v>0.1</v>
      </c>
      <c r="QXS103" s="13">
        <v>0.1</v>
      </c>
      <c r="QXT103" s="13">
        <v>0.1</v>
      </c>
      <c r="QXU103" s="13">
        <v>0.1</v>
      </c>
      <c r="QXV103" s="13">
        <v>0.1</v>
      </c>
      <c r="QXW103" s="13">
        <v>0.1</v>
      </c>
      <c r="QXX103" s="13">
        <v>0.1</v>
      </c>
      <c r="QXY103" s="13">
        <v>0.1</v>
      </c>
      <c r="QXZ103" s="13">
        <v>0.1</v>
      </c>
      <c r="QYA103" s="13">
        <v>0.1</v>
      </c>
      <c r="QYB103" s="13">
        <v>0.1</v>
      </c>
      <c r="QYC103" s="13">
        <v>0.1</v>
      </c>
      <c r="QYD103" s="13">
        <v>0.1</v>
      </c>
      <c r="QYE103" s="13">
        <v>0.1</v>
      </c>
      <c r="QYF103" s="13">
        <v>0.1</v>
      </c>
      <c r="QYG103" s="13">
        <v>0.1</v>
      </c>
      <c r="QYH103" s="13">
        <v>0.1</v>
      </c>
      <c r="QYI103" s="13">
        <v>0.1</v>
      </c>
      <c r="QYJ103" s="13">
        <v>0.1</v>
      </c>
      <c r="QYK103" s="13">
        <v>0.1</v>
      </c>
      <c r="QYL103" s="13">
        <v>0.1</v>
      </c>
      <c r="QYM103" s="13">
        <v>0.1</v>
      </c>
      <c r="QYN103" s="13">
        <v>0.1</v>
      </c>
      <c r="QYO103" s="13">
        <v>0.1</v>
      </c>
      <c r="QYP103" s="13">
        <v>0.1</v>
      </c>
      <c r="QYQ103" s="13">
        <v>0.1</v>
      </c>
      <c r="QYR103" s="13">
        <v>0.1</v>
      </c>
      <c r="QYS103" s="13">
        <v>0.1</v>
      </c>
      <c r="QYT103" s="13">
        <v>0.1</v>
      </c>
      <c r="QYU103" s="13">
        <v>0.1</v>
      </c>
      <c r="QYV103" s="13">
        <v>0.1</v>
      </c>
      <c r="QYW103" s="13">
        <v>0.1</v>
      </c>
      <c r="QYX103" s="13">
        <v>0.1</v>
      </c>
      <c r="QYY103" s="13">
        <v>0.1</v>
      </c>
      <c r="QYZ103" s="13">
        <v>0.1</v>
      </c>
      <c r="QZA103" s="13">
        <v>0.1</v>
      </c>
      <c r="QZB103" s="13">
        <v>0.1</v>
      </c>
      <c r="QZC103" s="13">
        <v>0.1</v>
      </c>
      <c r="QZD103" s="13">
        <v>0.1</v>
      </c>
      <c r="QZE103" s="13">
        <v>0.1</v>
      </c>
      <c r="QZF103" s="13">
        <v>0.1</v>
      </c>
      <c r="QZG103" s="13">
        <v>0.1</v>
      </c>
      <c r="QZH103" s="13">
        <v>0.1</v>
      </c>
      <c r="QZI103" s="13">
        <v>0.1</v>
      </c>
      <c r="QZJ103" s="13">
        <v>0.1</v>
      </c>
      <c r="QZK103" s="13">
        <v>0.1</v>
      </c>
      <c r="QZL103" s="13">
        <v>0.1</v>
      </c>
      <c r="QZM103" s="13">
        <v>0.1</v>
      </c>
      <c r="QZN103" s="13">
        <v>0.1</v>
      </c>
      <c r="QZO103" s="13">
        <v>0.1</v>
      </c>
      <c r="QZP103" s="13">
        <v>0.1</v>
      </c>
      <c r="QZQ103" s="13">
        <v>0.1</v>
      </c>
      <c r="QZR103" s="13">
        <v>0.1</v>
      </c>
      <c r="QZS103" s="13">
        <v>0.1</v>
      </c>
      <c r="QZT103" s="13">
        <v>0.1</v>
      </c>
      <c r="QZU103" s="13">
        <v>0.1</v>
      </c>
      <c r="QZV103" s="13">
        <v>0.1</v>
      </c>
      <c r="QZW103" s="13">
        <v>0.1</v>
      </c>
      <c r="QZX103" s="13">
        <v>0.1</v>
      </c>
      <c r="QZY103" s="13">
        <v>0.1</v>
      </c>
      <c r="QZZ103" s="13">
        <v>0.1</v>
      </c>
      <c r="RAA103" s="13">
        <v>0.1</v>
      </c>
      <c r="RAB103" s="13">
        <v>0.1</v>
      </c>
      <c r="RAC103" s="13">
        <v>0.1</v>
      </c>
      <c r="RAD103" s="13">
        <v>0.1</v>
      </c>
      <c r="RAE103" s="13">
        <v>0.1</v>
      </c>
      <c r="RAF103" s="13">
        <v>0.1</v>
      </c>
      <c r="RAG103" s="13">
        <v>0.1</v>
      </c>
      <c r="RAH103" s="13">
        <v>0.1</v>
      </c>
      <c r="RAI103" s="13">
        <v>0.1</v>
      </c>
      <c r="RAJ103" s="13">
        <v>0.1</v>
      </c>
      <c r="RAK103" s="13">
        <v>0.1</v>
      </c>
      <c r="RAL103" s="13">
        <v>0.1</v>
      </c>
      <c r="RAM103" s="13">
        <v>0.1</v>
      </c>
      <c r="RAN103" s="13">
        <v>0.1</v>
      </c>
      <c r="RAO103" s="13">
        <v>0.1</v>
      </c>
      <c r="RAP103" s="13">
        <v>0.1</v>
      </c>
      <c r="RAQ103" s="13">
        <v>0.1</v>
      </c>
      <c r="RAR103" s="13">
        <v>0.1</v>
      </c>
      <c r="RAS103" s="13">
        <v>0.1</v>
      </c>
      <c r="RAT103" s="13">
        <v>0.1</v>
      </c>
      <c r="RAU103" s="13">
        <v>0.1</v>
      </c>
      <c r="RAV103" s="13">
        <v>0.1</v>
      </c>
      <c r="RAW103" s="13">
        <v>0.1</v>
      </c>
      <c r="RAX103" s="13">
        <v>0.1</v>
      </c>
      <c r="RAY103" s="13">
        <v>0.1</v>
      </c>
      <c r="RAZ103" s="13">
        <v>0.1</v>
      </c>
      <c r="RBA103" s="13">
        <v>0.1</v>
      </c>
      <c r="RBB103" s="13">
        <v>0.1</v>
      </c>
      <c r="RBC103" s="13">
        <v>0.1</v>
      </c>
      <c r="RBD103" s="13">
        <v>0.1</v>
      </c>
      <c r="RBE103" s="13">
        <v>0.1</v>
      </c>
      <c r="RBF103" s="13">
        <v>0.1</v>
      </c>
      <c r="RBG103" s="13">
        <v>0.1</v>
      </c>
      <c r="RBH103" s="13">
        <v>0.1</v>
      </c>
      <c r="RBI103" s="13">
        <v>0.1</v>
      </c>
      <c r="RBJ103" s="13">
        <v>0.1</v>
      </c>
      <c r="RBK103" s="13">
        <v>0.1</v>
      </c>
      <c r="RBL103" s="13">
        <v>0.1</v>
      </c>
      <c r="RBM103" s="13">
        <v>0.1</v>
      </c>
      <c r="RBN103" s="13">
        <v>0.1</v>
      </c>
      <c r="RBO103" s="13">
        <v>0.1</v>
      </c>
      <c r="RBP103" s="13">
        <v>0.1</v>
      </c>
      <c r="RBQ103" s="13">
        <v>0.1</v>
      </c>
      <c r="RBR103" s="13">
        <v>0.1</v>
      </c>
      <c r="RBS103" s="13">
        <v>0.1</v>
      </c>
      <c r="RBT103" s="13">
        <v>0.1</v>
      </c>
      <c r="RBU103" s="13">
        <v>0.1</v>
      </c>
      <c r="RBV103" s="13">
        <v>0.1</v>
      </c>
      <c r="RBW103" s="13">
        <v>0.1</v>
      </c>
      <c r="RBX103" s="13">
        <v>0.1</v>
      </c>
      <c r="RBY103" s="13">
        <v>0.1</v>
      </c>
      <c r="RBZ103" s="13">
        <v>0.1</v>
      </c>
      <c r="RCA103" s="13">
        <v>0.1</v>
      </c>
      <c r="RCB103" s="13">
        <v>0.1</v>
      </c>
      <c r="RCC103" s="13">
        <v>0.1</v>
      </c>
      <c r="RCD103" s="13">
        <v>0.1</v>
      </c>
      <c r="RCE103" s="13">
        <v>0.1</v>
      </c>
      <c r="RCF103" s="13">
        <v>0.1</v>
      </c>
      <c r="RCG103" s="13">
        <v>0.1</v>
      </c>
      <c r="RCH103" s="13">
        <v>0.1</v>
      </c>
      <c r="RCI103" s="13">
        <v>0.1</v>
      </c>
      <c r="RCJ103" s="13">
        <v>0.1</v>
      </c>
      <c r="RCK103" s="13">
        <v>0.1</v>
      </c>
      <c r="RCL103" s="13">
        <v>0.1</v>
      </c>
      <c r="RCM103" s="13">
        <v>0.1</v>
      </c>
      <c r="RCN103" s="13">
        <v>0.1</v>
      </c>
      <c r="RCO103" s="13">
        <v>0.1</v>
      </c>
      <c r="RCP103" s="13">
        <v>0.1</v>
      </c>
      <c r="RCQ103" s="13">
        <v>0.1</v>
      </c>
      <c r="RCR103" s="13">
        <v>0.1</v>
      </c>
      <c r="RCS103" s="13">
        <v>0.1</v>
      </c>
      <c r="RCT103" s="13">
        <v>0.1</v>
      </c>
      <c r="RCU103" s="13">
        <v>0.1</v>
      </c>
      <c r="RCV103" s="13">
        <v>0.1</v>
      </c>
      <c r="RCW103" s="13">
        <v>0.1</v>
      </c>
      <c r="RCX103" s="13">
        <v>0.1</v>
      </c>
      <c r="RCY103" s="13">
        <v>0.1</v>
      </c>
      <c r="RCZ103" s="13">
        <v>0.1</v>
      </c>
      <c r="RDA103" s="13">
        <v>0.1</v>
      </c>
      <c r="RDB103" s="13">
        <v>0.1</v>
      </c>
      <c r="RDC103" s="13">
        <v>0.1</v>
      </c>
      <c r="RDD103" s="13">
        <v>0.1</v>
      </c>
      <c r="RDE103" s="13">
        <v>0.1</v>
      </c>
      <c r="RDF103" s="13">
        <v>0.1</v>
      </c>
      <c r="RDG103" s="13">
        <v>0.1</v>
      </c>
      <c r="RDH103" s="13">
        <v>0.1</v>
      </c>
      <c r="RDI103" s="13">
        <v>0.1</v>
      </c>
      <c r="RDJ103" s="13">
        <v>0.1</v>
      </c>
      <c r="RDK103" s="13">
        <v>0.1</v>
      </c>
      <c r="RDL103" s="13">
        <v>0.1</v>
      </c>
      <c r="RDM103" s="13">
        <v>0.1</v>
      </c>
      <c r="RDN103" s="13">
        <v>0.1</v>
      </c>
      <c r="RDO103" s="13">
        <v>0.1</v>
      </c>
      <c r="RDP103" s="13">
        <v>0.1</v>
      </c>
      <c r="RDQ103" s="13">
        <v>0.1</v>
      </c>
      <c r="RDR103" s="13">
        <v>0.1</v>
      </c>
      <c r="RDS103" s="13">
        <v>0.1</v>
      </c>
      <c r="RDT103" s="13">
        <v>0.1</v>
      </c>
      <c r="RDU103" s="13">
        <v>0.1</v>
      </c>
      <c r="RDV103" s="13">
        <v>0.1</v>
      </c>
      <c r="RDW103" s="13">
        <v>0.1</v>
      </c>
      <c r="RDX103" s="13">
        <v>0.1</v>
      </c>
      <c r="RDY103" s="13">
        <v>0.1</v>
      </c>
      <c r="RDZ103" s="13">
        <v>0.1</v>
      </c>
      <c r="REA103" s="13">
        <v>0.1</v>
      </c>
      <c r="REB103" s="13">
        <v>0.1</v>
      </c>
      <c r="REC103" s="13">
        <v>0.1</v>
      </c>
      <c r="RED103" s="13">
        <v>0.1</v>
      </c>
      <c r="REE103" s="13">
        <v>0.1</v>
      </c>
      <c r="REF103" s="13">
        <v>0.1</v>
      </c>
      <c r="REG103" s="13">
        <v>0.1</v>
      </c>
      <c r="REH103" s="13">
        <v>0.1</v>
      </c>
      <c r="REI103" s="13">
        <v>0.1</v>
      </c>
      <c r="REJ103" s="13">
        <v>0.1</v>
      </c>
      <c r="REK103" s="13">
        <v>0.1</v>
      </c>
      <c r="REL103" s="13">
        <v>0.1</v>
      </c>
      <c r="REM103" s="13">
        <v>0.1</v>
      </c>
      <c r="REN103" s="13">
        <v>0.1</v>
      </c>
      <c r="REO103" s="13">
        <v>0.1</v>
      </c>
      <c r="REP103" s="13">
        <v>0.1</v>
      </c>
      <c r="REQ103" s="13">
        <v>0.1</v>
      </c>
      <c r="RER103" s="13">
        <v>0.1</v>
      </c>
      <c r="RES103" s="13">
        <v>0.1</v>
      </c>
      <c r="RET103" s="13">
        <v>0.1</v>
      </c>
      <c r="REU103" s="13">
        <v>0.1</v>
      </c>
      <c r="REV103" s="13">
        <v>0.1</v>
      </c>
      <c r="REW103" s="13">
        <v>0.1</v>
      </c>
      <c r="REX103" s="13">
        <v>0.1</v>
      </c>
      <c r="REY103" s="13">
        <v>0.1</v>
      </c>
      <c r="REZ103" s="13">
        <v>0.1</v>
      </c>
      <c r="RFA103" s="13">
        <v>0.1</v>
      </c>
      <c r="RFB103" s="13">
        <v>0.1</v>
      </c>
      <c r="RFC103" s="13">
        <v>0.1</v>
      </c>
      <c r="RFD103" s="13">
        <v>0.1</v>
      </c>
      <c r="RFE103" s="13">
        <v>0.1</v>
      </c>
      <c r="RFF103" s="13">
        <v>0.1</v>
      </c>
      <c r="RFG103" s="13">
        <v>0.1</v>
      </c>
      <c r="RFH103" s="13">
        <v>0.1</v>
      </c>
      <c r="RFI103" s="13">
        <v>0.1</v>
      </c>
      <c r="RFJ103" s="13">
        <v>0.1</v>
      </c>
      <c r="RFK103" s="13">
        <v>0.1</v>
      </c>
      <c r="RFL103" s="13">
        <v>0.1</v>
      </c>
      <c r="RFM103" s="13">
        <v>0.1</v>
      </c>
      <c r="RFN103" s="13">
        <v>0.1</v>
      </c>
      <c r="RFO103" s="13">
        <v>0.1</v>
      </c>
      <c r="RFP103" s="13">
        <v>0.1</v>
      </c>
      <c r="RFQ103" s="13">
        <v>0.1</v>
      </c>
      <c r="RFR103" s="13">
        <v>0.1</v>
      </c>
      <c r="RFS103" s="13">
        <v>0.1</v>
      </c>
      <c r="RFT103" s="13">
        <v>0.1</v>
      </c>
      <c r="RFU103" s="13">
        <v>0.1</v>
      </c>
      <c r="RFV103" s="13">
        <v>0.1</v>
      </c>
      <c r="RFW103" s="13">
        <v>0.1</v>
      </c>
      <c r="RFX103" s="13">
        <v>0.1</v>
      </c>
      <c r="RFY103" s="13">
        <v>0.1</v>
      </c>
      <c r="RFZ103" s="13">
        <v>0.1</v>
      </c>
      <c r="RGA103" s="13">
        <v>0.1</v>
      </c>
      <c r="RGB103" s="13">
        <v>0.1</v>
      </c>
      <c r="RGC103" s="13">
        <v>0.1</v>
      </c>
      <c r="RGD103" s="13">
        <v>0.1</v>
      </c>
      <c r="RGE103" s="13">
        <v>0.1</v>
      </c>
      <c r="RGF103" s="13">
        <v>0.1</v>
      </c>
      <c r="RGG103" s="13">
        <v>0.1</v>
      </c>
      <c r="RGH103" s="13">
        <v>0.1</v>
      </c>
      <c r="RGI103" s="13">
        <v>0.1</v>
      </c>
      <c r="RGJ103" s="13">
        <v>0.1</v>
      </c>
      <c r="RGK103" s="13">
        <v>0.1</v>
      </c>
      <c r="RGL103" s="13">
        <v>0.1</v>
      </c>
      <c r="RGM103" s="13">
        <v>0.1</v>
      </c>
      <c r="RGN103" s="13">
        <v>0.1</v>
      </c>
      <c r="RGO103" s="13">
        <v>0.1</v>
      </c>
      <c r="RGP103" s="13">
        <v>0.1</v>
      </c>
      <c r="RGQ103" s="13">
        <v>0.1</v>
      </c>
      <c r="RGR103" s="13">
        <v>0.1</v>
      </c>
      <c r="RGS103" s="13">
        <v>0.1</v>
      </c>
      <c r="RGT103" s="13">
        <v>0.1</v>
      </c>
      <c r="RGU103" s="13">
        <v>0.1</v>
      </c>
      <c r="RGV103" s="13">
        <v>0.1</v>
      </c>
      <c r="RGW103" s="13">
        <v>0.1</v>
      </c>
      <c r="RGX103" s="13">
        <v>0.1</v>
      </c>
      <c r="RGY103" s="13">
        <v>0.1</v>
      </c>
      <c r="RGZ103" s="13">
        <v>0.1</v>
      </c>
      <c r="RHA103" s="13">
        <v>0.1</v>
      </c>
      <c r="RHB103" s="13">
        <v>0.1</v>
      </c>
      <c r="RHC103" s="13">
        <v>0.1</v>
      </c>
      <c r="RHD103" s="13">
        <v>0.1</v>
      </c>
      <c r="RHE103" s="13">
        <v>0.1</v>
      </c>
      <c r="RHF103" s="13">
        <v>0.1</v>
      </c>
      <c r="RHG103" s="13">
        <v>0.1</v>
      </c>
      <c r="RHH103" s="13">
        <v>0.1</v>
      </c>
      <c r="RHI103" s="13">
        <v>0.1</v>
      </c>
      <c r="RHJ103" s="13">
        <v>0.1</v>
      </c>
      <c r="RHK103" s="13">
        <v>0.1</v>
      </c>
      <c r="RHL103" s="13">
        <v>0.1</v>
      </c>
      <c r="RHM103" s="13">
        <v>0.1</v>
      </c>
      <c r="RHN103" s="13">
        <v>0.1</v>
      </c>
      <c r="RHO103" s="13">
        <v>0.1</v>
      </c>
      <c r="RHP103" s="13">
        <v>0.1</v>
      </c>
      <c r="RHQ103" s="13">
        <v>0.1</v>
      </c>
      <c r="RHR103" s="13">
        <v>0.1</v>
      </c>
      <c r="RHS103" s="13">
        <v>0.1</v>
      </c>
      <c r="RHT103" s="13">
        <v>0.1</v>
      </c>
      <c r="RHU103" s="13">
        <v>0.1</v>
      </c>
      <c r="RHV103" s="13">
        <v>0.1</v>
      </c>
      <c r="RHW103" s="13">
        <v>0.1</v>
      </c>
      <c r="RHX103" s="13">
        <v>0.1</v>
      </c>
      <c r="RHY103" s="13">
        <v>0.1</v>
      </c>
      <c r="RHZ103" s="13">
        <v>0.1</v>
      </c>
      <c r="RIA103" s="13">
        <v>0.1</v>
      </c>
      <c r="RIB103" s="13">
        <v>0.1</v>
      </c>
      <c r="RIC103" s="13">
        <v>0.1</v>
      </c>
      <c r="RID103" s="13">
        <v>0.1</v>
      </c>
      <c r="RIE103" s="13">
        <v>0.1</v>
      </c>
      <c r="RIF103" s="13">
        <v>0.1</v>
      </c>
      <c r="RIG103" s="13">
        <v>0.1</v>
      </c>
      <c r="RIH103" s="13">
        <v>0.1</v>
      </c>
      <c r="RII103" s="13">
        <v>0.1</v>
      </c>
      <c r="RIJ103" s="13">
        <v>0.1</v>
      </c>
      <c r="RIK103" s="13">
        <v>0.1</v>
      </c>
      <c r="RIL103" s="13">
        <v>0.1</v>
      </c>
      <c r="RIM103" s="13">
        <v>0.1</v>
      </c>
      <c r="RIN103" s="13">
        <v>0.1</v>
      </c>
      <c r="RIO103" s="13">
        <v>0.1</v>
      </c>
      <c r="RIP103" s="13">
        <v>0.1</v>
      </c>
      <c r="RIQ103" s="13">
        <v>0.1</v>
      </c>
      <c r="RIR103" s="13">
        <v>0.1</v>
      </c>
      <c r="RIS103" s="13">
        <v>0.1</v>
      </c>
      <c r="RIT103" s="13">
        <v>0.1</v>
      </c>
      <c r="RIU103" s="13">
        <v>0.1</v>
      </c>
      <c r="RIV103" s="13">
        <v>0.1</v>
      </c>
      <c r="RIW103" s="13">
        <v>0.1</v>
      </c>
      <c r="RIX103" s="13">
        <v>0.1</v>
      </c>
      <c r="RIY103" s="13">
        <v>0.1</v>
      </c>
      <c r="RIZ103" s="13">
        <v>0.1</v>
      </c>
      <c r="RJA103" s="13">
        <v>0.1</v>
      </c>
      <c r="RJB103" s="13">
        <v>0.1</v>
      </c>
      <c r="RJC103" s="13">
        <v>0.1</v>
      </c>
      <c r="RJD103" s="13">
        <v>0.1</v>
      </c>
      <c r="RJE103" s="13">
        <v>0.1</v>
      </c>
      <c r="RJF103" s="13">
        <v>0.1</v>
      </c>
      <c r="RJG103" s="13">
        <v>0.1</v>
      </c>
      <c r="RJH103" s="13">
        <v>0.1</v>
      </c>
      <c r="RJI103" s="13">
        <v>0.1</v>
      </c>
      <c r="RJJ103" s="13">
        <v>0.1</v>
      </c>
      <c r="RJK103" s="13">
        <v>0.1</v>
      </c>
      <c r="RJL103" s="13">
        <v>0.1</v>
      </c>
      <c r="RJM103" s="13">
        <v>0.1</v>
      </c>
      <c r="RJN103" s="13">
        <v>0.1</v>
      </c>
      <c r="RJO103" s="13">
        <v>0.1</v>
      </c>
      <c r="RJP103" s="13">
        <v>0.1</v>
      </c>
      <c r="RJQ103" s="13">
        <v>0.1</v>
      </c>
      <c r="RJR103" s="13">
        <v>0.1</v>
      </c>
      <c r="RJS103" s="13">
        <v>0.1</v>
      </c>
      <c r="RJT103" s="13">
        <v>0.1</v>
      </c>
      <c r="RJU103" s="13">
        <v>0.1</v>
      </c>
      <c r="RJV103" s="13">
        <v>0.1</v>
      </c>
      <c r="RJW103" s="13">
        <v>0.1</v>
      </c>
      <c r="RJX103" s="13">
        <v>0.1</v>
      </c>
      <c r="RJY103" s="13">
        <v>0.1</v>
      </c>
      <c r="RJZ103" s="13">
        <v>0.1</v>
      </c>
      <c r="RKA103" s="13">
        <v>0.1</v>
      </c>
      <c r="RKB103" s="13">
        <v>0.1</v>
      </c>
      <c r="RKC103" s="13">
        <v>0.1</v>
      </c>
      <c r="RKD103" s="13">
        <v>0.1</v>
      </c>
      <c r="RKE103" s="13">
        <v>0.1</v>
      </c>
      <c r="RKF103" s="13">
        <v>0.1</v>
      </c>
      <c r="RKG103" s="13">
        <v>0.1</v>
      </c>
      <c r="RKH103" s="13">
        <v>0.1</v>
      </c>
      <c r="RKI103" s="13">
        <v>0.1</v>
      </c>
      <c r="RKJ103" s="13">
        <v>0.1</v>
      </c>
      <c r="RKK103" s="13">
        <v>0.1</v>
      </c>
      <c r="RKL103" s="13">
        <v>0.1</v>
      </c>
      <c r="RKM103" s="13">
        <v>0.1</v>
      </c>
      <c r="RKN103" s="13">
        <v>0.1</v>
      </c>
      <c r="RKO103" s="13">
        <v>0.1</v>
      </c>
      <c r="RKP103" s="13">
        <v>0.1</v>
      </c>
      <c r="RKQ103" s="13">
        <v>0.1</v>
      </c>
      <c r="RKR103" s="13">
        <v>0.1</v>
      </c>
      <c r="RKS103" s="13">
        <v>0.1</v>
      </c>
      <c r="RKT103" s="13">
        <v>0.1</v>
      </c>
      <c r="RKU103" s="13">
        <v>0.1</v>
      </c>
      <c r="RKV103" s="13">
        <v>0.1</v>
      </c>
      <c r="RKW103" s="13">
        <v>0.1</v>
      </c>
      <c r="RKX103" s="13">
        <v>0.1</v>
      </c>
      <c r="RKY103" s="13">
        <v>0.1</v>
      </c>
      <c r="RKZ103" s="13">
        <v>0.1</v>
      </c>
      <c r="RLA103" s="13">
        <v>0.1</v>
      </c>
      <c r="RLB103" s="13">
        <v>0.1</v>
      </c>
      <c r="RLC103" s="13">
        <v>0.1</v>
      </c>
      <c r="RLD103" s="13">
        <v>0.1</v>
      </c>
      <c r="RLE103" s="13">
        <v>0.1</v>
      </c>
      <c r="RLF103" s="13">
        <v>0.1</v>
      </c>
      <c r="RLG103" s="13">
        <v>0.1</v>
      </c>
      <c r="RLH103" s="13">
        <v>0.1</v>
      </c>
      <c r="RLI103" s="13">
        <v>0.1</v>
      </c>
      <c r="RLJ103" s="13">
        <v>0.1</v>
      </c>
      <c r="RLK103" s="13">
        <v>0.1</v>
      </c>
      <c r="RLL103" s="13">
        <v>0.1</v>
      </c>
      <c r="RLM103" s="13">
        <v>0.1</v>
      </c>
      <c r="RLN103" s="13">
        <v>0.1</v>
      </c>
      <c r="RLO103" s="13">
        <v>0.1</v>
      </c>
      <c r="RLP103" s="13">
        <v>0.1</v>
      </c>
      <c r="RLQ103" s="13">
        <v>0.1</v>
      </c>
      <c r="RLR103" s="13">
        <v>0.1</v>
      </c>
      <c r="RLS103" s="13">
        <v>0.1</v>
      </c>
      <c r="RLT103" s="13">
        <v>0.1</v>
      </c>
      <c r="RLU103" s="13">
        <v>0.1</v>
      </c>
      <c r="RLV103" s="13">
        <v>0.1</v>
      </c>
      <c r="RLW103" s="13">
        <v>0.1</v>
      </c>
      <c r="RLX103" s="13">
        <v>0.1</v>
      </c>
      <c r="RLY103" s="13">
        <v>0.1</v>
      </c>
      <c r="RLZ103" s="13">
        <v>0.1</v>
      </c>
      <c r="RMA103" s="13">
        <v>0.1</v>
      </c>
      <c r="RMB103" s="13">
        <v>0.1</v>
      </c>
      <c r="RMC103" s="13">
        <v>0.1</v>
      </c>
      <c r="RMD103" s="13">
        <v>0.1</v>
      </c>
      <c r="RME103" s="13">
        <v>0.1</v>
      </c>
      <c r="RMF103" s="13">
        <v>0.1</v>
      </c>
      <c r="RMG103" s="13">
        <v>0.1</v>
      </c>
      <c r="RMH103" s="13">
        <v>0.1</v>
      </c>
      <c r="RMI103" s="13">
        <v>0.1</v>
      </c>
      <c r="RMJ103" s="13">
        <v>0.1</v>
      </c>
      <c r="RMK103" s="13">
        <v>0.1</v>
      </c>
      <c r="RML103" s="13">
        <v>0.1</v>
      </c>
      <c r="RMM103" s="13">
        <v>0.1</v>
      </c>
      <c r="RMN103" s="13">
        <v>0.1</v>
      </c>
      <c r="RMO103" s="13">
        <v>0.1</v>
      </c>
      <c r="RMP103" s="13">
        <v>0.1</v>
      </c>
      <c r="RMQ103" s="13">
        <v>0.1</v>
      </c>
      <c r="RMR103" s="13">
        <v>0.1</v>
      </c>
      <c r="RMS103" s="13">
        <v>0.1</v>
      </c>
      <c r="RMT103" s="13">
        <v>0.1</v>
      </c>
      <c r="RMU103" s="13">
        <v>0.1</v>
      </c>
      <c r="RMV103" s="13">
        <v>0.1</v>
      </c>
      <c r="RMW103" s="13">
        <v>0.1</v>
      </c>
      <c r="RMX103" s="13">
        <v>0.1</v>
      </c>
      <c r="RMY103" s="13">
        <v>0.1</v>
      </c>
      <c r="RMZ103" s="13">
        <v>0.1</v>
      </c>
      <c r="RNA103" s="13">
        <v>0.1</v>
      </c>
      <c r="RNB103" s="13">
        <v>0.1</v>
      </c>
      <c r="RNC103" s="13">
        <v>0.1</v>
      </c>
      <c r="RND103" s="13">
        <v>0.1</v>
      </c>
      <c r="RNE103" s="13">
        <v>0.1</v>
      </c>
      <c r="RNF103" s="13">
        <v>0.1</v>
      </c>
      <c r="RNG103" s="13">
        <v>0.1</v>
      </c>
      <c r="RNH103" s="13">
        <v>0.1</v>
      </c>
      <c r="RNI103" s="13">
        <v>0.1</v>
      </c>
      <c r="RNJ103" s="13">
        <v>0.1</v>
      </c>
      <c r="RNK103" s="13">
        <v>0.1</v>
      </c>
      <c r="RNL103" s="13">
        <v>0.1</v>
      </c>
      <c r="RNM103" s="13">
        <v>0.1</v>
      </c>
      <c r="RNN103" s="13">
        <v>0.1</v>
      </c>
      <c r="RNO103" s="13">
        <v>0.1</v>
      </c>
      <c r="RNP103" s="13">
        <v>0.1</v>
      </c>
      <c r="RNQ103" s="13">
        <v>0.1</v>
      </c>
      <c r="RNR103" s="13">
        <v>0.1</v>
      </c>
      <c r="RNS103" s="13">
        <v>0.1</v>
      </c>
      <c r="RNT103" s="13">
        <v>0.1</v>
      </c>
      <c r="RNU103" s="13">
        <v>0.1</v>
      </c>
      <c r="RNV103" s="13">
        <v>0.1</v>
      </c>
      <c r="RNW103" s="13">
        <v>0.1</v>
      </c>
      <c r="RNX103" s="13">
        <v>0.1</v>
      </c>
      <c r="RNY103" s="13">
        <v>0.1</v>
      </c>
      <c r="RNZ103" s="13">
        <v>0.1</v>
      </c>
      <c r="ROA103" s="13">
        <v>0.1</v>
      </c>
      <c r="ROB103" s="13">
        <v>0.1</v>
      </c>
      <c r="ROC103" s="13">
        <v>0.1</v>
      </c>
      <c r="ROD103" s="13">
        <v>0.1</v>
      </c>
      <c r="ROE103" s="13">
        <v>0.1</v>
      </c>
      <c r="ROF103" s="13">
        <v>0.1</v>
      </c>
      <c r="ROG103" s="13">
        <v>0.1</v>
      </c>
      <c r="ROH103" s="13">
        <v>0.1</v>
      </c>
      <c r="ROI103" s="13">
        <v>0.1</v>
      </c>
      <c r="ROJ103" s="13">
        <v>0.1</v>
      </c>
      <c r="ROK103" s="13">
        <v>0.1</v>
      </c>
      <c r="ROL103" s="13">
        <v>0.1</v>
      </c>
      <c r="ROM103" s="13">
        <v>0.1</v>
      </c>
      <c r="RON103" s="13">
        <v>0.1</v>
      </c>
      <c r="ROO103" s="13">
        <v>0.1</v>
      </c>
      <c r="ROP103" s="13">
        <v>0.1</v>
      </c>
      <c r="ROQ103" s="13">
        <v>0.1</v>
      </c>
      <c r="ROR103" s="13">
        <v>0.1</v>
      </c>
      <c r="ROS103" s="13">
        <v>0.1</v>
      </c>
      <c r="ROT103" s="13">
        <v>0.1</v>
      </c>
      <c r="ROU103" s="13">
        <v>0.1</v>
      </c>
      <c r="ROV103" s="13">
        <v>0.1</v>
      </c>
      <c r="ROW103" s="13">
        <v>0.1</v>
      </c>
      <c r="ROX103" s="13">
        <v>0.1</v>
      </c>
      <c r="ROY103" s="13">
        <v>0.1</v>
      </c>
      <c r="ROZ103" s="13">
        <v>0.1</v>
      </c>
      <c r="RPA103" s="13">
        <v>0.1</v>
      </c>
      <c r="RPB103" s="13">
        <v>0.1</v>
      </c>
      <c r="RPC103" s="13">
        <v>0.1</v>
      </c>
      <c r="RPD103" s="13">
        <v>0.1</v>
      </c>
      <c r="RPE103" s="13">
        <v>0.1</v>
      </c>
      <c r="RPF103" s="13">
        <v>0.1</v>
      </c>
      <c r="RPG103" s="13">
        <v>0.1</v>
      </c>
      <c r="RPH103" s="13">
        <v>0.1</v>
      </c>
      <c r="RPI103" s="13">
        <v>0.1</v>
      </c>
      <c r="RPJ103" s="13">
        <v>0.1</v>
      </c>
      <c r="RPK103" s="13">
        <v>0.1</v>
      </c>
      <c r="RPL103" s="13">
        <v>0.1</v>
      </c>
      <c r="RPM103" s="13">
        <v>0.1</v>
      </c>
      <c r="RPN103" s="13">
        <v>0.1</v>
      </c>
      <c r="RPO103" s="13">
        <v>0.1</v>
      </c>
      <c r="RPP103" s="13">
        <v>0.1</v>
      </c>
      <c r="RPQ103" s="13">
        <v>0.1</v>
      </c>
      <c r="RPR103" s="13">
        <v>0.1</v>
      </c>
      <c r="RPS103" s="13">
        <v>0.1</v>
      </c>
      <c r="RPT103" s="13">
        <v>0.1</v>
      </c>
      <c r="RPU103" s="13">
        <v>0.1</v>
      </c>
      <c r="RPV103" s="13">
        <v>0.1</v>
      </c>
      <c r="RPW103" s="13">
        <v>0.1</v>
      </c>
      <c r="RPX103" s="13">
        <v>0.1</v>
      </c>
      <c r="RPY103" s="13">
        <v>0.1</v>
      </c>
      <c r="RPZ103" s="13">
        <v>0.1</v>
      </c>
      <c r="RQA103" s="13">
        <v>0.1</v>
      </c>
      <c r="RQB103" s="13">
        <v>0.1</v>
      </c>
      <c r="RQC103" s="13">
        <v>0.1</v>
      </c>
      <c r="RQD103" s="13">
        <v>0.1</v>
      </c>
      <c r="RQE103" s="13">
        <v>0.1</v>
      </c>
      <c r="RQF103" s="13">
        <v>0.1</v>
      </c>
      <c r="RQG103" s="13">
        <v>0.1</v>
      </c>
      <c r="RQH103" s="13">
        <v>0.1</v>
      </c>
      <c r="RQI103" s="13">
        <v>0.1</v>
      </c>
      <c r="RQJ103" s="13">
        <v>0.1</v>
      </c>
      <c r="RQK103" s="13">
        <v>0.1</v>
      </c>
      <c r="RQL103" s="13">
        <v>0.1</v>
      </c>
      <c r="RQM103" s="13">
        <v>0.1</v>
      </c>
      <c r="RQN103" s="13">
        <v>0.1</v>
      </c>
      <c r="RQO103" s="13">
        <v>0.1</v>
      </c>
      <c r="RQP103" s="13">
        <v>0.1</v>
      </c>
      <c r="RQQ103" s="13">
        <v>0.1</v>
      </c>
      <c r="RQR103" s="13">
        <v>0.1</v>
      </c>
      <c r="RQS103" s="13">
        <v>0.1</v>
      </c>
      <c r="RQT103" s="13">
        <v>0.1</v>
      </c>
      <c r="RQU103" s="13">
        <v>0.1</v>
      </c>
      <c r="RQV103" s="13">
        <v>0.1</v>
      </c>
      <c r="RQW103" s="13">
        <v>0.1</v>
      </c>
      <c r="RQX103" s="13">
        <v>0.1</v>
      </c>
      <c r="RQY103" s="13">
        <v>0.1</v>
      </c>
      <c r="RQZ103" s="13">
        <v>0.1</v>
      </c>
      <c r="RRA103" s="13">
        <v>0.1</v>
      </c>
      <c r="RRB103" s="13">
        <v>0.1</v>
      </c>
      <c r="RRC103" s="13">
        <v>0.1</v>
      </c>
      <c r="RRD103" s="13">
        <v>0.1</v>
      </c>
      <c r="RRE103" s="13">
        <v>0.1</v>
      </c>
      <c r="RRF103" s="13">
        <v>0.1</v>
      </c>
      <c r="RRG103" s="13">
        <v>0.1</v>
      </c>
      <c r="RRH103" s="13">
        <v>0.1</v>
      </c>
      <c r="RRI103" s="13">
        <v>0.1</v>
      </c>
      <c r="RRJ103" s="13">
        <v>0.1</v>
      </c>
      <c r="RRK103" s="13">
        <v>0.1</v>
      </c>
      <c r="RRL103" s="13">
        <v>0.1</v>
      </c>
      <c r="RRM103" s="13">
        <v>0.1</v>
      </c>
      <c r="RRN103" s="13">
        <v>0.1</v>
      </c>
      <c r="RRO103" s="13">
        <v>0.1</v>
      </c>
      <c r="RRP103" s="13">
        <v>0.1</v>
      </c>
      <c r="RRQ103" s="13">
        <v>0.1</v>
      </c>
      <c r="RRR103" s="13">
        <v>0.1</v>
      </c>
      <c r="RRS103" s="13">
        <v>0.1</v>
      </c>
      <c r="RRT103" s="13">
        <v>0.1</v>
      </c>
      <c r="RRU103" s="13">
        <v>0.1</v>
      </c>
      <c r="RRV103" s="13">
        <v>0.1</v>
      </c>
      <c r="RRW103" s="13">
        <v>0.1</v>
      </c>
      <c r="RRX103" s="13">
        <v>0.1</v>
      </c>
      <c r="RRY103" s="13">
        <v>0.1</v>
      </c>
      <c r="RRZ103" s="13">
        <v>0.1</v>
      </c>
      <c r="RSA103" s="13">
        <v>0.1</v>
      </c>
      <c r="RSB103" s="13">
        <v>0.1</v>
      </c>
      <c r="RSC103" s="13">
        <v>0.1</v>
      </c>
      <c r="RSD103" s="13">
        <v>0.1</v>
      </c>
      <c r="RSE103" s="13">
        <v>0.1</v>
      </c>
      <c r="RSF103" s="13">
        <v>0.1</v>
      </c>
      <c r="RSG103" s="13">
        <v>0.1</v>
      </c>
      <c r="RSH103" s="13">
        <v>0.1</v>
      </c>
      <c r="RSI103" s="13">
        <v>0.1</v>
      </c>
      <c r="RSJ103" s="13">
        <v>0.1</v>
      </c>
      <c r="RSK103" s="13">
        <v>0.1</v>
      </c>
      <c r="RSL103" s="13">
        <v>0.1</v>
      </c>
      <c r="RSM103" s="13">
        <v>0.1</v>
      </c>
      <c r="RSN103" s="13">
        <v>0.1</v>
      </c>
      <c r="RSO103" s="13">
        <v>0.1</v>
      </c>
      <c r="RSP103" s="13">
        <v>0.1</v>
      </c>
      <c r="RSQ103" s="13">
        <v>0.1</v>
      </c>
      <c r="RSR103" s="13">
        <v>0.1</v>
      </c>
      <c r="RSS103" s="13">
        <v>0.1</v>
      </c>
      <c r="RST103" s="13">
        <v>0.1</v>
      </c>
      <c r="RSU103" s="13">
        <v>0.1</v>
      </c>
      <c r="RSV103" s="13">
        <v>0.1</v>
      </c>
      <c r="RSW103" s="13">
        <v>0.1</v>
      </c>
      <c r="RSX103" s="13">
        <v>0.1</v>
      </c>
      <c r="RSY103" s="13">
        <v>0.1</v>
      </c>
      <c r="RSZ103" s="13">
        <v>0.1</v>
      </c>
      <c r="RTA103" s="13">
        <v>0.1</v>
      </c>
      <c r="RTB103" s="13">
        <v>0.1</v>
      </c>
      <c r="RTC103" s="13">
        <v>0.1</v>
      </c>
      <c r="RTD103" s="13">
        <v>0.1</v>
      </c>
      <c r="RTE103" s="13">
        <v>0.1</v>
      </c>
      <c r="RTF103" s="13">
        <v>0.1</v>
      </c>
      <c r="RTG103" s="13">
        <v>0.1</v>
      </c>
      <c r="RTH103" s="13">
        <v>0.1</v>
      </c>
      <c r="RTI103" s="13">
        <v>0.1</v>
      </c>
      <c r="RTJ103" s="13">
        <v>0.1</v>
      </c>
      <c r="RTK103" s="13">
        <v>0.1</v>
      </c>
      <c r="RTL103" s="13">
        <v>0.1</v>
      </c>
      <c r="RTM103" s="13">
        <v>0.1</v>
      </c>
      <c r="RTN103" s="13">
        <v>0.1</v>
      </c>
      <c r="RTO103" s="13">
        <v>0.1</v>
      </c>
      <c r="RTP103" s="13">
        <v>0.1</v>
      </c>
      <c r="RTQ103" s="13">
        <v>0.1</v>
      </c>
      <c r="RTR103" s="13">
        <v>0.1</v>
      </c>
      <c r="RTS103" s="13">
        <v>0.1</v>
      </c>
      <c r="RTT103" s="13">
        <v>0.1</v>
      </c>
      <c r="RTU103" s="13">
        <v>0.1</v>
      </c>
      <c r="RTV103" s="13">
        <v>0.1</v>
      </c>
      <c r="RTW103" s="13">
        <v>0.1</v>
      </c>
      <c r="RTX103" s="13">
        <v>0.1</v>
      </c>
      <c r="RTY103" s="13">
        <v>0.1</v>
      </c>
      <c r="RTZ103" s="13">
        <v>0.1</v>
      </c>
      <c r="RUA103" s="13">
        <v>0.1</v>
      </c>
      <c r="RUB103" s="13">
        <v>0.1</v>
      </c>
      <c r="RUC103" s="13">
        <v>0.1</v>
      </c>
      <c r="RUD103" s="13">
        <v>0.1</v>
      </c>
      <c r="RUE103" s="13">
        <v>0.1</v>
      </c>
      <c r="RUF103" s="13">
        <v>0.1</v>
      </c>
      <c r="RUG103" s="13">
        <v>0.1</v>
      </c>
      <c r="RUH103" s="13">
        <v>0.1</v>
      </c>
      <c r="RUI103" s="13">
        <v>0.1</v>
      </c>
      <c r="RUJ103" s="13">
        <v>0.1</v>
      </c>
      <c r="RUK103" s="13">
        <v>0.1</v>
      </c>
      <c r="RUL103" s="13">
        <v>0.1</v>
      </c>
      <c r="RUM103" s="13">
        <v>0.1</v>
      </c>
      <c r="RUN103" s="13">
        <v>0.1</v>
      </c>
      <c r="RUO103" s="13">
        <v>0.1</v>
      </c>
      <c r="RUP103" s="13">
        <v>0.1</v>
      </c>
      <c r="RUQ103" s="13">
        <v>0.1</v>
      </c>
      <c r="RUR103" s="13">
        <v>0.1</v>
      </c>
      <c r="RUS103" s="13">
        <v>0.1</v>
      </c>
      <c r="RUT103" s="13">
        <v>0.1</v>
      </c>
      <c r="RUU103" s="13">
        <v>0.1</v>
      </c>
      <c r="RUV103" s="13">
        <v>0.1</v>
      </c>
      <c r="RUW103" s="13">
        <v>0.1</v>
      </c>
      <c r="RUX103" s="13">
        <v>0.1</v>
      </c>
      <c r="RUY103" s="13">
        <v>0.1</v>
      </c>
      <c r="RUZ103" s="13">
        <v>0.1</v>
      </c>
      <c r="RVA103" s="13">
        <v>0.1</v>
      </c>
      <c r="RVB103" s="13">
        <v>0.1</v>
      </c>
      <c r="RVC103" s="13">
        <v>0.1</v>
      </c>
      <c r="RVD103" s="13">
        <v>0.1</v>
      </c>
      <c r="RVE103" s="13">
        <v>0.1</v>
      </c>
      <c r="RVF103" s="13">
        <v>0.1</v>
      </c>
      <c r="RVG103" s="13">
        <v>0.1</v>
      </c>
      <c r="RVH103" s="13">
        <v>0.1</v>
      </c>
      <c r="RVI103" s="13">
        <v>0.1</v>
      </c>
      <c r="RVJ103" s="13">
        <v>0.1</v>
      </c>
      <c r="RVK103" s="13">
        <v>0.1</v>
      </c>
      <c r="RVL103" s="13">
        <v>0.1</v>
      </c>
      <c r="RVM103" s="13">
        <v>0.1</v>
      </c>
      <c r="RVN103" s="13">
        <v>0.1</v>
      </c>
      <c r="RVO103" s="13">
        <v>0.1</v>
      </c>
      <c r="RVP103" s="13">
        <v>0.1</v>
      </c>
      <c r="RVQ103" s="13">
        <v>0.1</v>
      </c>
      <c r="RVR103" s="13">
        <v>0.1</v>
      </c>
      <c r="RVS103" s="13">
        <v>0.1</v>
      </c>
      <c r="RVT103" s="13">
        <v>0.1</v>
      </c>
      <c r="RVU103" s="13">
        <v>0.1</v>
      </c>
      <c r="RVV103" s="13">
        <v>0.1</v>
      </c>
      <c r="RVW103" s="13">
        <v>0.1</v>
      </c>
      <c r="RVX103" s="13">
        <v>0.1</v>
      </c>
      <c r="RVY103" s="13">
        <v>0.1</v>
      </c>
      <c r="RVZ103" s="13">
        <v>0.1</v>
      </c>
      <c r="RWA103" s="13">
        <v>0.1</v>
      </c>
      <c r="RWB103" s="13">
        <v>0.1</v>
      </c>
      <c r="RWC103" s="13">
        <v>0.1</v>
      </c>
      <c r="RWD103" s="13">
        <v>0.1</v>
      </c>
      <c r="RWE103" s="13">
        <v>0.1</v>
      </c>
      <c r="RWF103" s="13">
        <v>0.1</v>
      </c>
      <c r="RWG103" s="13">
        <v>0.1</v>
      </c>
      <c r="RWH103" s="13">
        <v>0.1</v>
      </c>
      <c r="RWI103" s="13">
        <v>0.1</v>
      </c>
      <c r="RWJ103" s="13">
        <v>0.1</v>
      </c>
      <c r="RWK103" s="13">
        <v>0.1</v>
      </c>
      <c r="RWL103" s="13">
        <v>0.1</v>
      </c>
      <c r="RWM103" s="13">
        <v>0.1</v>
      </c>
      <c r="RWN103" s="13">
        <v>0.1</v>
      </c>
      <c r="RWO103" s="13">
        <v>0.1</v>
      </c>
      <c r="RWP103" s="13">
        <v>0.1</v>
      </c>
      <c r="RWQ103" s="13">
        <v>0.1</v>
      </c>
      <c r="RWR103" s="13">
        <v>0.1</v>
      </c>
      <c r="RWS103" s="13">
        <v>0.1</v>
      </c>
      <c r="RWT103" s="13">
        <v>0.1</v>
      </c>
      <c r="RWU103" s="13">
        <v>0.1</v>
      </c>
      <c r="RWV103" s="13">
        <v>0.1</v>
      </c>
      <c r="RWW103" s="13">
        <v>0.1</v>
      </c>
      <c r="RWX103" s="13">
        <v>0.1</v>
      </c>
      <c r="RWY103" s="13">
        <v>0.1</v>
      </c>
      <c r="RWZ103" s="13">
        <v>0.1</v>
      </c>
      <c r="RXA103" s="13">
        <v>0.1</v>
      </c>
      <c r="RXB103" s="13">
        <v>0.1</v>
      </c>
      <c r="RXC103" s="13">
        <v>0.1</v>
      </c>
      <c r="RXD103" s="13">
        <v>0.1</v>
      </c>
      <c r="RXE103" s="13">
        <v>0.1</v>
      </c>
      <c r="RXF103" s="13">
        <v>0.1</v>
      </c>
      <c r="RXG103" s="13">
        <v>0.1</v>
      </c>
      <c r="RXH103" s="13">
        <v>0.1</v>
      </c>
      <c r="RXI103" s="13">
        <v>0.1</v>
      </c>
      <c r="RXJ103" s="13">
        <v>0.1</v>
      </c>
      <c r="RXK103" s="13">
        <v>0.1</v>
      </c>
      <c r="RXL103" s="13">
        <v>0.1</v>
      </c>
      <c r="RXM103" s="13">
        <v>0.1</v>
      </c>
      <c r="RXN103" s="13">
        <v>0.1</v>
      </c>
      <c r="RXO103" s="13">
        <v>0.1</v>
      </c>
      <c r="RXP103" s="13">
        <v>0.1</v>
      </c>
      <c r="RXQ103" s="13">
        <v>0.1</v>
      </c>
      <c r="RXR103" s="13">
        <v>0.1</v>
      </c>
      <c r="RXS103" s="13">
        <v>0.1</v>
      </c>
      <c r="RXT103" s="13">
        <v>0.1</v>
      </c>
      <c r="RXU103" s="13">
        <v>0.1</v>
      </c>
      <c r="RXV103" s="13">
        <v>0.1</v>
      </c>
      <c r="RXW103" s="13">
        <v>0.1</v>
      </c>
      <c r="RXX103" s="13">
        <v>0.1</v>
      </c>
      <c r="RXY103" s="13">
        <v>0.1</v>
      </c>
      <c r="RXZ103" s="13">
        <v>0.1</v>
      </c>
      <c r="RYA103" s="13">
        <v>0.1</v>
      </c>
      <c r="RYB103" s="13">
        <v>0.1</v>
      </c>
      <c r="RYC103" s="13">
        <v>0.1</v>
      </c>
      <c r="RYD103" s="13">
        <v>0.1</v>
      </c>
      <c r="RYE103" s="13">
        <v>0.1</v>
      </c>
      <c r="RYF103" s="13">
        <v>0.1</v>
      </c>
      <c r="RYG103" s="13">
        <v>0.1</v>
      </c>
      <c r="RYH103" s="13">
        <v>0.1</v>
      </c>
      <c r="RYI103" s="13">
        <v>0.1</v>
      </c>
      <c r="RYJ103" s="13">
        <v>0.1</v>
      </c>
      <c r="RYK103" s="13">
        <v>0.1</v>
      </c>
      <c r="RYL103" s="13">
        <v>0.1</v>
      </c>
      <c r="RYM103" s="13">
        <v>0.1</v>
      </c>
      <c r="RYN103" s="13">
        <v>0.1</v>
      </c>
      <c r="RYO103" s="13">
        <v>0.1</v>
      </c>
      <c r="RYP103" s="13">
        <v>0.1</v>
      </c>
      <c r="RYQ103" s="13">
        <v>0.1</v>
      </c>
      <c r="RYR103" s="13">
        <v>0.1</v>
      </c>
      <c r="RYS103" s="13">
        <v>0.1</v>
      </c>
      <c r="RYT103" s="13">
        <v>0.1</v>
      </c>
      <c r="RYU103" s="13">
        <v>0.1</v>
      </c>
      <c r="RYV103" s="13">
        <v>0.1</v>
      </c>
      <c r="RYW103" s="13">
        <v>0.1</v>
      </c>
      <c r="RYX103" s="13">
        <v>0.1</v>
      </c>
      <c r="RYY103" s="13">
        <v>0.1</v>
      </c>
      <c r="RYZ103" s="13">
        <v>0.1</v>
      </c>
      <c r="RZA103" s="13">
        <v>0.1</v>
      </c>
      <c r="RZB103" s="13">
        <v>0.1</v>
      </c>
      <c r="RZC103" s="13">
        <v>0.1</v>
      </c>
      <c r="RZD103" s="13">
        <v>0.1</v>
      </c>
      <c r="RZE103" s="13">
        <v>0.1</v>
      </c>
      <c r="RZF103" s="13">
        <v>0.1</v>
      </c>
      <c r="RZG103" s="13">
        <v>0.1</v>
      </c>
      <c r="RZH103" s="13">
        <v>0.1</v>
      </c>
      <c r="RZI103" s="13">
        <v>0.1</v>
      </c>
      <c r="RZJ103" s="13">
        <v>0.1</v>
      </c>
      <c r="RZK103" s="13">
        <v>0.1</v>
      </c>
      <c r="RZL103" s="13">
        <v>0.1</v>
      </c>
      <c r="RZM103" s="13">
        <v>0.1</v>
      </c>
      <c r="RZN103" s="13">
        <v>0.1</v>
      </c>
      <c r="RZO103" s="13">
        <v>0.1</v>
      </c>
      <c r="RZP103" s="13">
        <v>0.1</v>
      </c>
      <c r="RZQ103" s="13">
        <v>0.1</v>
      </c>
      <c r="RZR103" s="13">
        <v>0.1</v>
      </c>
      <c r="RZS103" s="13">
        <v>0.1</v>
      </c>
      <c r="RZT103" s="13">
        <v>0.1</v>
      </c>
      <c r="RZU103" s="13">
        <v>0.1</v>
      </c>
      <c r="RZV103" s="13">
        <v>0.1</v>
      </c>
      <c r="RZW103" s="13">
        <v>0.1</v>
      </c>
      <c r="RZX103" s="13">
        <v>0.1</v>
      </c>
      <c r="RZY103" s="13">
        <v>0.1</v>
      </c>
      <c r="RZZ103" s="13">
        <v>0.1</v>
      </c>
      <c r="SAA103" s="13">
        <v>0.1</v>
      </c>
      <c r="SAB103" s="13">
        <v>0.1</v>
      </c>
      <c r="SAC103" s="13">
        <v>0.1</v>
      </c>
      <c r="SAD103" s="13">
        <v>0.1</v>
      </c>
      <c r="SAE103" s="13">
        <v>0.1</v>
      </c>
      <c r="SAF103" s="13">
        <v>0.1</v>
      </c>
      <c r="SAG103" s="13">
        <v>0.1</v>
      </c>
      <c r="SAH103" s="13">
        <v>0.1</v>
      </c>
      <c r="SAI103" s="13">
        <v>0.1</v>
      </c>
      <c r="SAJ103" s="13">
        <v>0.1</v>
      </c>
      <c r="SAK103" s="13">
        <v>0.1</v>
      </c>
      <c r="SAL103" s="13">
        <v>0.1</v>
      </c>
      <c r="SAM103" s="13">
        <v>0.1</v>
      </c>
      <c r="SAN103" s="13">
        <v>0.1</v>
      </c>
      <c r="SAO103" s="13">
        <v>0.1</v>
      </c>
      <c r="SAP103" s="13">
        <v>0.1</v>
      </c>
      <c r="SAQ103" s="13">
        <v>0.1</v>
      </c>
      <c r="SAR103" s="13">
        <v>0.1</v>
      </c>
      <c r="SAS103" s="13">
        <v>0.1</v>
      </c>
      <c r="SAT103" s="13">
        <v>0.1</v>
      </c>
      <c r="SAU103" s="13">
        <v>0.1</v>
      </c>
      <c r="SAV103" s="13">
        <v>0.1</v>
      </c>
      <c r="SAW103" s="13">
        <v>0.1</v>
      </c>
      <c r="SAX103" s="13">
        <v>0.1</v>
      </c>
      <c r="SAY103" s="13">
        <v>0.1</v>
      </c>
      <c r="SAZ103" s="13">
        <v>0.1</v>
      </c>
      <c r="SBA103" s="13">
        <v>0.1</v>
      </c>
      <c r="SBB103" s="13">
        <v>0.1</v>
      </c>
      <c r="SBC103" s="13">
        <v>0.1</v>
      </c>
      <c r="SBD103" s="13">
        <v>0.1</v>
      </c>
      <c r="SBE103" s="13">
        <v>0.1</v>
      </c>
      <c r="SBF103" s="13">
        <v>0.1</v>
      </c>
      <c r="SBG103" s="13">
        <v>0.1</v>
      </c>
      <c r="SBH103" s="13">
        <v>0.1</v>
      </c>
      <c r="SBI103" s="13">
        <v>0.1</v>
      </c>
      <c r="SBJ103" s="13">
        <v>0.1</v>
      </c>
      <c r="SBK103" s="13">
        <v>0.1</v>
      </c>
      <c r="SBL103" s="13">
        <v>0.1</v>
      </c>
      <c r="SBM103" s="13">
        <v>0.1</v>
      </c>
      <c r="SBN103" s="13">
        <v>0.1</v>
      </c>
      <c r="SBO103" s="13">
        <v>0.1</v>
      </c>
      <c r="SBP103" s="13">
        <v>0.1</v>
      </c>
      <c r="SBQ103" s="13">
        <v>0.1</v>
      </c>
      <c r="SBR103" s="13">
        <v>0.1</v>
      </c>
      <c r="SBS103" s="13">
        <v>0.1</v>
      </c>
      <c r="SBT103" s="13">
        <v>0.1</v>
      </c>
      <c r="SBU103" s="13">
        <v>0.1</v>
      </c>
      <c r="SBV103" s="13">
        <v>0.1</v>
      </c>
      <c r="SBW103" s="13">
        <v>0.1</v>
      </c>
      <c r="SBX103" s="13">
        <v>0.1</v>
      </c>
      <c r="SBY103" s="13">
        <v>0.1</v>
      </c>
      <c r="SBZ103" s="13">
        <v>0.1</v>
      </c>
      <c r="SCA103" s="13">
        <v>0.1</v>
      </c>
      <c r="SCB103" s="13">
        <v>0.1</v>
      </c>
      <c r="SCC103" s="13">
        <v>0.1</v>
      </c>
      <c r="SCD103" s="13">
        <v>0.1</v>
      </c>
      <c r="SCE103" s="13">
        <v>0.1</v>
      </c>
      <c r="SCF103" s="13">
        <v>0.1</v>
      </c>
      <c r="SCG103" s="13">
        <v>0.1</v>
      </c>
      <c r="SCH103" s="13">
        <v>0.1</v>
      </c>
      <c r="SCI103" s="13">
        <v>0.1</v>
      </c>
      <c r="SCJ103" s="13">
        <v>0.1</v>
      </c>
      <c r="SCK103" s="13">
        <v>0.1</v>
      </c>
      <c r="SCL103" s="13">
        <v>0.1</v>
      </c>
      <c r="SCM103" s="13">
        <v>0.1</v>
      </c>
      <c r="SCN103" s="13">
        <v>0.1</v>
      </c>
      <c r="SCO103" s="13">
        <v>0.1</v>
      </c>
      <c r="SCP103" s="13">
        <v>0.1</v>
      </c>
      <c r="SCQ103" s="13">
        <v>0.1</v>
      </c>
      <c r="SCR103" s="13">
        <v>0.1</v>
      </c>
      <c r="SCS103" s="13">
        <v>0.1</v>
      </c>
      <c r="SCT103" s="13">
        <v>0.1</v>
      </c>
      <c r="SCU103" s="13">
        <v>0.1</v>
      </c>
      <c r="SCV103" s="13">
        <v>0.1</v>
      </c>
      <c r="SCW103" s="13">
        <v>0.1</v>
      </c>
      <c r="SCX103" s="13">
        <v>0.1</v>
      </c>
      <c r="SCY103" s="13">
        <v>0.1</v>
      </c>
      <c r="SCZ103" s="13">
        <v>0.1</v>
      </c>
      <c r="SDA103" s="13">
        <v>0.1</v>
      </c>
      <c r="SDB103" s="13">
        <v>0.1</v>
      </c>
      <c r="SDC103" s="13">
        <v>0.1</v>
      </c>
      <c r="SDD103" s="13">
        <v>0.1</v>
      </c>
      <c r="SDE103" s="13">
        <v>0.1</v>
      </c>
      <c r="SDF103" s="13">
        <v>0.1</v>
      </c>
      <c r="SDG103" s="13">
        <v>0.1</v>
      </c>
      <c r="SDH103" s="13">
        <v>0.1</v>
      </c>
      <c r="SDI103" s="13">
        <v>0.1</v>
      </c>
      <c r="SDJ103" s="13">
        <v>0.1</v>
      </c>
      <c r="SDK103" s="13">
        <v>0.1</v>
      </c>
      <c r="SDL103" s="13">
        <v>0.1</v>
      </c>
      <c r="SDM103" s="13">
        <v>0.1</v>
      </c>
      <c r="SDN103" s="13">
        <v>0.1</v>
      </c>
      <c r="SDO103" s="13">
        <v>0.1</v>
      </c>
      <c r="SDP103" s="13">
        <v>0.1</v>
      </c>
      <c r="SDQ103" s="13">
        <v>0.1</v>
      </c>
      <c r="SDR103" s="13">
        <v>0.1</v>
      </c>
      <c r="SDS103" s="13">
        <v>0.1</v>
      </c>
      <c r="SDT103" s="13">
        <v>0.1</v>
      </c>
      <c r="SDU103" s="13">
        <v>0.1</v>
      </c>
      <c r="SDV103" s="13">
        <v>0.1</v>
      </c>
      <c r="SDW103" s="13">
        <v>0.1</v>
      </c>
      <c r="SDX103" s="13">
        <v>0.1</v>
      </c>
      <c r="SDY103" s="13">
        <v>0.1</v>
      </c>
      <c r="SDZ103" s="13">
        <v>0.1</v>
      </c>
      <c r="SEA103" s="13">
        <v>0.1</v>
      </c>
      <c r="SEB103" s="13">
        <v>0.1</v>
      </c>
      <c r="SEC103" s="13">
        <v>0.1</v>
      </c>
      <c r="SED103" s="13">
        <v>0.1</v>
      </c>
      <c r="SEE103" s="13">
        <v>0.1</v>
      </c>
      <c r="SEF103" s="13">
        <v>0.1</v>
      </c>
      <c r="SEG103" s="13">
        <v>0.1</v>
      </c>
      <c r="SEH103" s="13">
        <v>0.1</v>
      </c>
      <c r="SEI103" s="13">
        <v>0.1</v>
      </c>
      <c r="SEJ103" s="13">
        <v>0.1</v>
      </c>
      <c r="SEK103" s="13">
        <v>0.1</v>
      </c>
      <c r="SEL103" s="13">
        <v>0.1</v>
      </c>
      <c r="SEM103" s="13">
        <v>0.1</v>
      </c>
      <c r="SEN103" s="13">
        <v>0.1</v>
      </c>
      <c r="SEO103" s="13">
        <v>0.1</v>
      </c>
      <c r="SEP103" s="13">
        <v>0.1</v>
      </c>
      <c r="SEQ103" s="13">
        <v>0.1</v>
      </c>
      <c r="SER103" s="13">
        <v>0.1</v>
      </c>
      <c r="SES103" s="13">
        <v>0.1</v>
      </c>
      <c r="SET103" s="13">
        <v>0.1</v>
      </c>
      <c r="SEU103" s="13">
        <v>0.1</v>
      </c>
      <c r="SEV103" s="13">
        <v>0.1</v>
      </c>
      <c r="SEW103" s="13">
        <v>0.1</v>
      </c>
      <c r="SEX103" s="13">
        <v>0.1</v>
      </c>
      <c r="SEY103" s="13">
        <v>0.1</v>
      </c>
      <c r="SEZ103" s="13">
        <v>0.1</v>
      </c>
      <c r="SFA103" s="13">
        <v>0.1</v>
      </c>
      <c r="SFB103" s="13">
        <v>0.1</v>
      </c>
      <c r="SFC103" s="13">
        <v>0.1</v>
      </c>
      <c r="SFD103" s="13">
        <v>0.1</v>
      </c>
      <c r="SFE103" s="13">
        <v>0.1</v>
      </c>
      <c r="SFF103" s="13">
        <v>0.1</v>
      </c>
      <c r="SFG103" s="13">
        <v>0.1</v>
      </c>
      <c r="SFH103" s="13">
        <v>0.1</v>
      </c>
      <c r="SFI103" s="13">
        <v>0.1</v>
      </c>
      <c r="SFJ103" s="13">
        <v>0.1</v>
      </c>
      <c r="SFK103" s="13">
        <v>0.1</v>
      </c>
      <c r="SFL103" s="13">
        <v>0.1</v>
      </c>
      <c r="SFM103" s="13">
        <v>0.1</v>
      </c>
      <c r="SFN103" s="13">
        <v>0.1</v>
      </c>
      <c r="SFO103" s="13">
        <v>0.1</v>
      </c>
      <c r="SFP103" s="13">
        <v>0.1</v>
      </c>
      <c r="SFQ103" s="13">
        <v>0.1</v>
      </c>
      <c r="SFR103" s="13">
        <v>0.1</v>
      </c>
      <c r="SFS103" s="13">
        <v>0.1</v>
      </c>
      <c r="SFT103" s="13">
        <v>0.1</v>
      </c>
      <c r="SFU103" s="13">
        <v>0.1</v>
      </c>
      <c r="SFV103" s="13">
        <v>0.1</v>
      </c>
      <c r="SFW103" s="13">
        <v>0.1</v>
      </c>
      <c r="SFX103" s="13">
        <v>0.1</v>
      </c>
      <c r="SFY103" s="13">
        <v>0.1</v>
      </c>
      <c r="SFZ103" s="13">
        <v>0.1</v>
      </c>
      <c r="SGA103" s="13">
        <v>0.1</v>
      </c>
      <c r="SGB103" s="13">
        <v>0.1</v>
      </c>
      <c r="SGC103" s="13">
        <v>0.1</v>
      </c>
      <c r="SGD103" s="13">
        <v>0.1</v>
      </c>
      <c r="SGE103" s="13">
        <v>0.1</v>
      </c>
      <c r="SGF103" s="13">
        <v>0.1</v>
      </c>
      <c r="SGG103" s="13">
        <v>0.1</v>
      </c>
      <c r="SGH103" s="13">
        <v>0.1</v>
      </c>
      <c r="SGI103" s="13">
        <v>0.1</v>
      </c>
      <c r="SGJ103" s="13">
        <v>0.1</v>
      </c>
      <c r="SGK103" s="13">
        <v>0.1</v>
      </c>
      <c r="SGL103" s="13">
        <v>0.1</v>
      </c>
      <c r="SGM103" s="13">
        <v>0.1</v>
      </c>
      <c r="SGN103" s="13">
        <v>0.1</v>
      </c>
      <c r="SGO103" s="13">
        <v>0.1</v>
      </c>
      <c r="SGP103" s="13">
        <v>0.1</v>
      </c>
      <c r="SGQ103" s="13">
        <v>0.1</v>
      </c>
      <c r="SGR103" s="13">
        <v>0.1</v>
      </c>
      <c r="SGS103" s="13">
        <v>0.1</v>
      </c>
      <c r="SGT103" s="13">
        <v>0.1</v>
      </c>
      <c r="SGU103" s="13">
        <v>0.1</v>
      </c>
      <c r="SGV103" s="13">
        <v>0.1</v>
      </c>
      <c r="SGW103" s="13">
        <v>0.1</v>
      </c>
      <c r="SGX103" s="13">
        <v>0.1</v>
      </c>
      <c r="SGY103" s="13">
        <v>0.1</v>
      </c>
      <c r="SGZ103" s="13">
        <v>0.1</v>
      </c>
      <c r="SHA103" s="13">
        <v>0.1</v>
      </c>
      <c r="SHB103" s="13">
        <v>0.1</v>
      </c>
      <c r="SHC103" s="13">
        <v>0.1</v>
      </c>
      <c r="SHD103" s="13">
        <v>0.1</v>
      </c>
      <c r="SHE103" s="13">
        <v>0.1</v>
      </c>
      <c r="SHF103" s="13">
        <v>0.1</v>
      </c>
      <c r="SHG103" s="13">
        <v>0.1</v>
      </c>
      <c r="SHH103" s="13">
        <v>0.1</v>
      </c>
      <c r="SHI103" s="13">
        <v>0.1</v>
      </c>
      <c r="SHJ103" s="13">
        <v>0.1</v>
      </c>
      <c r="SHK103" s="13">
        <v>0.1</v>
      </c>
      <c r="SHL103" s="13">
        <v>0.1</v>
      </c>
      <c r="SHM103" s="13">
        <v>0.1</v>
      </c>
      <c r="SHN103" s="13">
        <v>0.1</v>
      </c>
      <c r="SHO103" s="13">
        <v>0.1</v>
      </c>
      <c r="SHP103" s="13">
        <v>0.1</v>
      </c>
      <c r="SHQ103" s="13">
        <v>0.1</v>
      </c>
      <c r="SHR103" s="13">
        <v>0.1</v>
      </c>
      <c r="SHS103" s="13">
        <v>0.1</v>
      </c>
      <c r="SHT103" s="13">
        <v>0.1</v>
      </c>
      <c r="SHU103" s="13">
        <v>0.1</v>
      </c>
      <c r="SHV103" s="13">
        <v>0.1</v>
      </c>
      <c r="SHW103" s="13">
        <v>0.1</v>
      </c>
      <c r="SHX103" s="13">
        <v>0.1</v>
      </c>
      <c r="SHY103" s="13">
        <v>0.1</v>
      </c>
      <c r="SHZ103" s="13">
        <v>0.1</v>
      </c>
      <c r="SIA103" s="13">
        <v>0.1</v>
      </c>
      <c r="SIB103" s="13">
        <v>0.1</v>
      </c>
      <c r="SIC103" s="13">
        <v>0.1</v>
      </c>
      <c r="SID103" s="13">
        <v>0.1</v>
      </c>
      <c r="SIE103" s="13">
        <v>0.1</v>
      </c>
      <c r="SIF103" s="13">
        <v>0.1</v>
      </c>
      <c r="SIG103" s="13">
        <v>0.1</v>
      </c>
      <c r="SIH103" s="13">
        <v>0.1</v>
      </c>
      <c r="SII103" s="13">
        <v>0.1</v>
      </c>
      <c r="SIJ103" s="13">
        <v>0.1</v>
      </c>
      <c r="SIK103" s="13">
        <v>0.1</v>
      </c>
      <c r="SIL103" s="13">
        <v>0.1</v>
      </c>
      <c r="SIM103" s="13">
        <v>0.1</v>
      </c>
      <c r="SIN103" s="13">
        <v>0.1</v>
      </c>
      <c r="SIO103" s="13">
        <v>0.1</v>
      </c>
      <c r="SIP103" s="13">
        <v>0.1</v>
      </c>
      <c r="SIQ103" s="13">
        <v>0.1</v>
      </c>
      <c r="SIR103" s="13">
        <v>0.1</v>
      </c>
      <c r="SIS103" s="13">
        <v>0.1</v>
      </c>
      <c r="SIT103" s="13">
        <v>0.1</v>
      </c>
      <c r="SIU103" s="13">
        <v>0.1</v>
      </c>
      <c r="SIV103" s="13">
        <v>0.1</v>
      </c>
      <c r="SIW103" s="13">
        <v>0.1</v>
      </c>
      <c r="SIX103" s="13">
        <v>0.1</v>
      </c>
      <c r="SIY103" s="13">
        <v>0.1</v>
      </c>
      <c r="SIZ103" s="13">
        <v>0.1</v>
      </c>
      <c r="SJA103" s="13">
        <v>0.1</v>
      </c>
      <c r="SJB103" s="13">
        <v>0.1</v>
      </c>
      <c r="SJC103" s="13">
        <v>0.1</v>
      </c>
      <c r="SJD103" s="13">
        <v>0.1</v>
      </c>
      <c r="SJE103" s="13">
        <v>0.1</v>
      </c>
      <c r="SJF103" s="13">
        <v>0.1</v>
      </c>
      <c r="SJG103" s="13">
        <v>0.1</v>
      </c>
      <c r="SJH103" s="13">
        <v>0.1</v>
      </c>
      <c r="SJI103" s="13">
        <v>0.1</v>
      </c>
      <c r="SJJ103" s="13">
        <v>0.1</v>
      </c>
      <c r="SJK103" s="13">
        <v>0.1</v>
      </c>
      <c r="SJL103" s="13">
        <v>0.1</v>
      </c>
      <c r="SJM103" s="13">
        <v>0.1</v>
      </c>
      <c r="SJN103" s="13">
        <v>0.1</v>
      </c>
      <c r="SJO103" s="13">
        <v>0.1</v>
      </c>
      <c r="SJP103" s="13">
        <v>0.1</v>
      </c>
      <c r="SJQ103" s="13">
        <v>0.1</v>
      </c>
      <c r="SJR103" s="13">
        <v>0.1</v>
      </c>
      <c r="SJS103" s="13">
        <v>0.1</v>
      </c>
      <c r="SJT103" s="13">
        <v>0.1</v>
      </c>
      <c r="SJU103" s="13">
        <v>0.1</v>
      </c>
      <c r="SJV103" s="13">
        <v>0.1</v>
      </c>
      <c r="SJW103" s="13">
        <v>0.1</v>
      </c>
      <c r="SJX103" s="13">
        <v>0.1</v>
      </c>
      <c r="SJY103" s="13">
        <v>0.1</v>
      </c>
      <c r="SJZ103" s="13">
        <v>0.1</v>
      </c>
      <c r="SKA103" s="13">
        <v>0.1</v>
      </c>
      <c r="SKB103" s="13">
        <v>0.1</v>
      </c>
      <c r="SKC103" s="13">
        <v>0.1</v>
      </c>
      <c r="SKD103" s="13">
        <v>0.1</v>
      </c>
      <c r="SKE103" s="13">
        <v>0.1</v>
      </c>
      <c r="SKF103" s="13">
        <v>0.1</v>
      </c>
      <c r="SKG103" s="13">
        <v>0.1</v>
      </c>
      <c r="SKH103" s="13">
        <v>0.1</v>
      </c>
      <c r="SKI103" s="13">
        <v>0.1</v>
      </c>
      <c r="SKJ103" s="13">
        <v>0.1</v>
      </c>
      <c r="SKK103" s="13">
        <v>0.1</v>
      </c>
      <c r="SKL103" s="13">
        <v>0.1</v>
      </c>
      <c r="SKM103" s="13">
        <v>0.1</v>
      </c>
      <c r="SKN103" s="13">
        <v>0.1</v>
      </c>
      <c r="SKO103" s="13">
        <v>0.1</v>
      </c>
      <c r="SKP103" s="13">
        <v>0.1</v>
      </c>
      <c r="SKQ103" s="13">
        <v>0.1</v>
      </c>
      <c r="SKR103" s="13">
        <v>0.1</v>
      </c>
      <c r="SKS103" s="13">
        <v>0.1</v>
      </c>
      <c r="SKT103" s="13">
        <v>0.1</v>
      </c>
      <c r="SKU103" s="13">
        <v>0.1</v>
      </c>
      <c r="SKV103" s="13">
        <v>0.1</v>
      </c>
      <c r="SKW103" s="13">
        <v>0.1</v>
      </c>
      <c r="SKX103" s="13">
        <v>0.1</v>
      </c>
      <c r="SKY103" s="13">
        <v>0.1</v>
      </c>
      <c r="SKZ103" s="13">
        <v>0.1</v>
      </c>
      <c r="SLA103" s="13">
        <v>0.1</v>
      </c>
      <c r="SLB103" s="13">
        <v>0.1</v>
      </c>
      <c r="SLC103" s="13">
        <v>0.1</v>
      </c>
      <c r="SLD103" s="13">
        <v>0.1</v>
      </c>
      <c r="SLE103" s="13">
        <v>0.1</v>
      </c>
      <c r="SLF103" s="13">
        <v>0.1</v>
      </c>
      <c r="SLG103" s="13">
        <v>0.1</v>
      </c>
      <c r="SLH103" s="13">
        <v>0.1</v>
      </c>
      <c r="SLI103" s="13">
        <v>0.1</v>
      </c>
      <c r="SLJ103" s="13">
        <v>0.1</v>
      </c>
      <c r="SLK103" s="13">
        <v>0.1</v>
      </c>
      <c r="SLL103" s="13">
        <v>0.1</v>
      </c>
      <c r="SLM103" s="13">
        <v>0.1</v>
      </c>
      <c r="SLN103" s="13">
        <v>0.1</v>
      </c>
      <c r="SLO103" s="13">
        <v>0.1</v>
      </c>
      <c r="SLP103" s="13">
        <v>0.1</v>
      </c>
      <c r="SLQ103" s="13">
        <v>0.1</v>
      </c>
      <c r="SLR103" s="13">
        <v>0.1</v>
      </c>
      <c r="SLS103" s="13">
        <v>0.1</v>
      </c>
      <c r="SLT103" s="13">
        <v>0.1</v>
      </c>
      <c r="SLU103" s="13">
        <v>0.1</v>
      </c>
      <c r="SLV103" s="13">
        <v>0.1</v>
      </c>
      <c r="SLW103" s="13">
        <v>0.1</v>
      </c>
      <c r="SLX103" s="13">
        <v>0.1</v>
      </c>
      <c r="SLY103" s="13">
        <v>0.1</v>
      </c>
      <c r="SLZ103" s="13">
        <v>0.1</v>
      </c>
      <c r="SMA103" s="13">
        <v>0.1</v>
      </c>
      <c r="SMB103" s="13">
        <v>0.1</v>
      </c>
      <c r="SMC103" s="13">
        <v>0.1</v>
      </c>
      <c r="SMD103" s="13">
        <v>0.1</v>
      </c>
      <c r="SME103" s="13">
        <v>0.1</v>
      </c>
      <c r="SMF103" s="13">
        <v>0.1</v>
      </c>
      <c r="SMG103" s="13">
        <v>0.1</v>
      </c>
      <c r="SMH103" s="13">
        <v>0.1</v>
      </c>
      <c r="SMI103" s="13">
        <v>0.1</v>
      </c>
      <c r="SMJ103" s="13">
        <v>0.1</v>
      </c>
      <c r="SMK103" s="13">
        <v>0.1</v>
      </c>
      <c r="SML103" s="13">
        <v>0.1</v>
      </c>
      <c r="SMM103" s="13">
        <v>0.1</v>
      </c>
      <c r="SMN103" s="13">
        <v>0.1</v>
      </c>
      <c r="SMO103" s="13">
        <v>0.1</v>
      </c>
      <c r="SMP103" s="13">
        <v>0.1</v>
      </c>
      <c r="SMQ103" s="13">
        <v>0.1</v>
      </c>
      <c r="SMR103" s="13">
        <v>0.1</v>
      </c>
      <c r="SMS103" s="13">
        <v>0.1</v>
      </c>
      <c r="SMT103" s="13">
        <v>0.1</v>
      </c>
      <c r="SMU103" s="13">
        <v>0.1</v>
      </c>
      <c r="SMV103" s="13">
        <v>0.1</v>
      </c>
      <c r="SMW103" s="13">
        <v>0.1</v>
      </c>
      <c r="SMX103" s="13">
        <v>0.1</v>
      </c>
      <c r="SMY103" s="13">
        <v>0.1</v>
      </c>
      <c r="SMZ103" s="13">
        <v>0.1</v>
      </c>
      <c r="SNA103" s="13">
        <v>0.1</v>
      </c>
      <c r="SNB103" s="13">
        <v>0.1</v>
      </c>
      <c r="SNC103" s="13">
        <v>0.1</v>
      </c>
      <c r="SND103" s="13">
        <v>0.1</v>
      </c>
      <c r="SNE103" s="13">
        <v>0.1</v>
      </c>
      <c r="SNF103" s="13">
        <v>0.1</v>
      </c>
      <c r="SNG103" s="13">
        <v>0.1</v>
      </c>
      <c r="SNH103" s="13">
        <v>0.1</v>
      </c>
      <c r="SNI103" s="13">
        <v>0.1</v>
      </c>
      <c r="SNJ103" s="13">
        <v>0.1</v>
      </c>
      <c r="SNK103" s="13">
        <v>0.1</v>
      </c>
      <c r="SNL103" s="13">
        <v>0.1</v>
      </c>
      <c r="SNM103" s="13">
        <v>0.1</v>
      </c>
      <c r="SNN103" s="13">
        <v>0.1</v>
      </c>
      <c r="SNO103" s="13">
        <v>0.1</v>
      </c>
      <c r="SNP103" s="13">
        <v>0.1</v>
      </c>
      <c r="SNQ103" s="13">
        <v>0.1</v>
      </c>
      <c r="SNR103" s="13">
        <v>0.1</v>
      </c>
      <c r="SNS103" s="13">
        <v>0.1</v>
      </c>
      <c r="SNT103" s="13">
        <v>0.1</v>
      </c>
      <c r="SNU103" s="13">
        <v>0.1</v>
      </c>
      <c r="SNV103" s="13">
        <v>0.1</v>
      </c>
      <c r="SNW103" s="13">
        <v>0.1</v>
      </c>
      <c r="SNX103" s="13">
        <v>0.1</v>
      </c>
      <c r="SNY103" s="13">
        <v>0.1</v>
      </c>
      <c r="SNZ103" s="13">
        <v>0.1</v>
      </c>
      <c r="SOA103" s="13">
        <v>0.1</v>
      </c>
      <c r="SOB103" s="13">
        <v>0.1</v>
      </c>
      <c r="SOC103" s="13">
        <v>0.1</v>
      </c>
      <c r="SOD103" s="13">
        <v>0.1</v>
      </c>
      <c r="SOE103" s="13">
        <v>0.1</v>
      </c>
      <c r="SOF103" s="13">
        <v>0.1</v>
      </c>
      <c r="SOG103" s="13">
        <v>0.1</v>
      </c>
      <c r="SOH103" s="13">
        <v>0.1</v>
      </c>
      <c r="SOI103" s="13">
        <v>0.1</v>
      </c>
      <c r="SOJ103" s="13">
        <v>0.1</v>
      </c>
      <c r="SOK103" s="13">
        <v>0.1</v>
      </c>
      <c r="SOL103" s="13">
        <v>0.1</v>
      </c>
      <c r="SOM103" s="13">
        <v>0.1</v>
      </c>
      <c r="SON103" s="13">
        <v>0.1</v>
      </c>
      <c r="SOO103" s="13">
        <v>0.1</v>
      </c>
      <c r="SOP103" s="13">
        <v>0.1</v>
      </c>
      <c r="SOQ103" s="13">
        <v>0.1</v>
      </c>
      <c r="SOR103" s="13">
        <v>0.1</v>
      </c>
      <c r="SOS103" s="13">
        <v>0.1</v>
      </c>
      <c r="SOT103" s="13">
        <v>0.1</v>
      </c>
      <c r="SOU103" s="13">
        <v>0.1</v>
      </c>
      <c r="SOV103" s="13">
        <v>0.1</v>
      </c>
      <c r="SOW103" s="13">
        <v>0.1</v>
      </c>
      <c r="SOX103" s="13">
        <v>0.1</v>
      </c>
      <c r="SOY103" s="13">
        <v>0.1</v>
      </c>
      <c r="SOZ103" s="13">
        <v>0.1</v>
      </c>
      <c r="SPA103" s="13">
        <v>0.1</v>
      </c>
      <c r="SPB103" s="13">
        <v>0.1</v>
      </c>
      <c r="SPC103" s="13">
        <v>0.1</v>
      </c>
      <c r="SPD103" s="13">
        <v>0.1</v>
      </c>
      <c r="SPE103" s="13">
        <v>0.1</v>
      </c>
      <c r="SPF103" s="13">
        <v>0.1</v>
      </c>
      <c r="SPG103" s="13">
        <v>0.1</v>
      </c>
      <c r="SPH103" s="13">
        <v>0.1</v>
      </c>
      <c r="SPI103" s="13">
        <v>0.1</v>
      </c>
      <c r="SPJ103" s="13">
        <v>0.1</v>
      </c>
      <c r="SPK103" s="13">
        <v>0.1</v>
      </c>
      <c r="SPL103" s="13">
        <v>0.1</v>
      </c>
      <c r="SPM103" s="13">
        <v>0.1</v>
      </c>
      <c r="SPN103" s="13">
        <v>0.1</v>
      </c>
      <c r="SPO103" s="13">
        <v>0.1</v>
      </c>
      <c r="SPP103" s="13">
        <v>0.1</v>
      </c>
      <c r="SPQ103" s="13">
        <v>0.1</v>
      </c>
      <c r="SPR103" s="13">
        <v>0.1</v>
      </c>
      <c r="SPS103" s="13">
        <v>0.1</v>
      </c>
      <c r="SPT103" s="13">
        <v>0.1</v>
      </c>
      <c r="SPU103" s="13">
        <v>0.1</v>
      </c>
      <c r="SPV103" s="13">
        <v>0.1</v>
      </c>
      <c r="SPW103" s="13">
        <v>0.1</v>
      </c>
      <c r="SPX103" s="13">
        <v>0.1</v>
      </c>
      <c r="SPY103" s="13">
        <v>0.1</v>
      </c>
      <c r="SPZ103" s="13">
        <v>0.1</v>
      </c>
      <c r="SQA103" s="13">
        <v>0.1</v>
      </c>
      <c r="SQB103" s="13">
        <v>0.1</v>
      </c>
      <c r="SQC103" s="13">
        <v>0.1</v>
      </c>
      <c r="SQD103" s="13">
        <v>0.1</v>
      </c>
      <c r="SQE103" s="13">
        <v>0.1</v>
      </c>
      <c r="SQF103" s="13">
        <v>0.1</v>
      </c>
      <c r="SQG103" s="13">
        <v>0.1</v>
      </c>
      <c r="SQH103" s="13">
        <v>0.1</v>
      </c>
      <c r="SQI103" s="13">
        <v>0.1</v>
      </c>
      <c r="SQJ103" s="13">
        <v>0.1</v>
      </c>
      <c r="SQK103" s="13">
        <v>0.1</v>
      </c>
      <c r="SQL103" s="13">
        <v>0.1</v>
      </c>
      <c r="SQM103" s="13">
        <v>0.1</v>
      </c>
      <c r="SQN103" s="13">
        <v>0.1</v>
      </c>
      <c r="SQO103" s="13">
        <v>0.1</v>
      </c>
      <c r="SQP103" s="13">
        <v>0.1</v>
      </c>
      <c r="SQQ103" s="13">
        <v>0.1</v>
      </c>
      <c r="SQR103" s="13">
        <v>0.1</v>
      </c>
      <c r="SQS103" s="13">
        <v>0.1</v>
      </c>
      <c r="SQT103" s="13">
        <v>0.1</v>
      </c>
      <c r="SQU103" s="13">
        <v>0.1</v>
      </c>
      <c r="SQV103" s="13">
        <v>0.1</v>
      </c>
      <c r="SQW103" s="13">
        <v>0.1</v>
      </c>
      <c r="SQX103" s="13">
        <v>0.1</v>
      </c>
      <c r="SQY103" s="13">
        <v>0.1</v>
      </c>
      <c r="SQZ103" s="13">
        <v>0.1</v>
      </c>
      <c r="SRA103" s="13">
        <v>0.1</v>
      </c>
      <c r="SRB103" s="13">
        <v>0.1</v>
      </c>
      <c r="SRC103" s="13">
        <v>0.1</v>
      </c>
      <c r="SRD103" s="13">
        <v>0.1</v>
      </c>
      <c r="SRE103" s="13">
        <v>0.1</v>
      </c>
      <c r="SRF103" s="13">
        <v>0.1</v>
      </c>
      <c r="SRG103" s="13">
        <v>0.1</v>
      </c>
      <c r="SRH103" s="13">
        <v>0.1</v>
      </c>
      <c r="SRI103" s="13">
        <v>0.1</v>
      </c>
      <c r="SRJ103" s="13">
        <v>0.1</v>
      </c>
      <c r="SRK103" s="13">
        <v>0.1</v>
      </c>
      <c r="SRL103" s="13">
        <v>0.1</v>
      </c>
      <c r="SRM103" s="13">
        <v>0.1</v>
      </c>
      <c r="SRN103" s="13">
        <v>0.1</v>
      </c>
      <c r="SRO103" s="13">
        <v>0.1</v>
      </c>
      <c r="SRP103" s="13">
        <v>0.1</v>
      </c>
      <c r="SRQ103" s="13">
        <v>0.1</v>
      </c>
      <c r="SRR103" s="13">
        <v>0.1</v>
      </c>
      <c r="SRS103" s="13">
        <v>0.1</v>
      </c>
      <c r="SRT103" s="13">
        <v>0.1</v>
      </c>
      <c r="SRU103" s="13">
        <v>0.1</v>
      </c>
      <c r="SRV103" s="13">
        <v>0.1</v>
      </c>
      <c r="SRW103" s="13">
        <v>0.1</v>
      </c>
      <c r="SRX103" s="13">
        <v>0.1</v>
      </c>
      <c r="SRY103" s="13">
        <v>0.1</v>
      </c>
      <c r="SRZ103" s="13">
        <v>0.1</v>
      </c>
      <c r="SSA103" s="13">
        <v>0.1</v>
      </c>
      <c r="SSB103" s="13">
        <v>0.1</v>
      </c>
      <c r="SSC103" s="13">
        <v>0.1</v>
      </c>
      <c r="SSD103" s="13">
        <v>0.1</v>
      </c>
      <c r="SSE103" s="13">
        <v>0.1</v>
      </c>
      <c r="SSF103" s="13">
        <v>0.1</v>
      </c>
      <c r="SSG103" s="13">
        <v>0.1</v>
      </c>
      <c r="SSH103" s="13">
        <v>0.1</v>
      </c>
      <c r="SSI103" s="13">
        <v>0.1</v>
      </c>
      <c r="SSJ103" s="13">
        <v>0.1</v>
      </c>
      <c r="SSK103" s="13">
        <v>0.1</v>
      </c>
      <c r="SSL103" s="13">
        <v>0.1</v>
      </c>
      <c r="SSM103" s="13">
        <v>0.1</v>
      </c>
      <c r="SSN103" s="13">
        <v>0.1</v>
      </c>
      <c r="SSO103" s="13">
        <v>0.1</v>
      </c>
      <c r="SSP103" s="13">
        <v>0.1</v>
      </c>
      <c r="SSQ103" s="13">
        <v>0.1</v>
      </c>
      <c r="SSR103" s="13">
        <v>0.1</v>
      </c>
      <c r="SSS103" s="13">
        <v>0.1</v>
      </c>
      <c r="SST103" s="13">
        <v>0.1</v>
      </c>
      <c r="SSU103" s="13">
        <v>0.1</v>
      </c>
      <c r="SSV103" s="13">
        <v>0.1</v>
      </c>
      <c r="SSW103" s="13">
        <v>0.1</v>
      </c>
      <c r="SSX103" s="13">
        <v>0.1</v>
      </c>
      <c r="SSY103" s="13">
        <v>0.1</v>
      </c>
      <c r="SSZ103" s="13">
        <v>0.1</v>
      </c>
      <c r="STA103" s="13">
        <v>0.1</v>
      </c>
      <c r="STB103" s="13">
        <v>0.1</v>
      </c>
      <c r="STC103" s="13">
        <v>0.1</v>
      </c>
      <c r="STD103" s="13">
        <v>0.1</v>
      </c>
      <c r="STE103" s="13">
        <v>0.1</v>
      </c>
      <c r="STF103" s="13">
        <v>0.1</v>
      </c>
      <c r="STG103" s="13">
        <v>0.1</v>
      </c>
      <c r="STH103" s="13">
        <v>0.1</v>
      </c>
      <c r="STI103" s="13">
        <v>0.1</v>
      </c>
      <c r="STJ103" s="13">
        <v>0.1</v>
      </c>
      <c r="STK103" s="13">
        <v>0.1</v>
      </c>
      <c r="STL103" s="13">
        <v>0.1</v>
      </c>
      <c r="STM103" s="13">
        <v>0.1</v>
      </c>
      <c r="STN103" s="13">
        <v>0.1</v>
      </c>
      <c r="STO103" s="13">
        <v>0.1</v>
      </c>
      <c r="STP103" s="13">
        <v>0.1</v>
      </c>
      <c r="STQ103" s="13">
        <v>0.1</v>
      </c>
      <c r="STR103" s="13">
        <v>0.1</v>
      </c>
      <c r="STS103" s="13">
        <v>0.1</v>
      </c>
      <c r="STT103" s="13">
        <v>0.1</v>
      </c>
      <c r="STU103" s="13">
        <v>0.1</v>
      </c>
      <c r="STV103" s="13">
        <v>0.1</v>
      </c>
      <c r="STW103" s="13">
        <v>0.1</v>
      </c>
      <c r="STX103" s="13">
        <v>0.1</v>
      </c>
      <c r="STY103" s="13">
        <v>0.1</v>
      </c>
      <c r="STZ103" s="13">
        <v>0.1</v>
      </c>
      <c r="SUA103" s="13">
        <v>0.1</v>
      </c>
      <c r="SUB103" s="13">
        <v>0.1</v>
      </c>
      <c r="SUC103" s="13">
        <v>0.1</v>
      </c>
      <c r="SUD103" s="13">
        <v>0.1</v>
      </c>
      <c r="SUE103" s="13">
        <v>0.1</v>
      </c>
      <c r="SUF103" s="13">
        <v>0.1</v>
      </c>
      <c r="SUG103" s="13">
        <v>0.1</v>
      </c>
      <c r="SUH103" s="13">
        <v>0.1</v>
      </c>
      <c r="SUI103" s="13">
        <v>0.1</v>
      </c>
      <c r="SUJ103" s="13">
        <v>0.1</v>
      </c>
      <c r="SUK103" s="13">
        <v>0.1</v>
      </c>
      <c r="SUL103" s="13">
        <v>0.1</v>
      </c>
      <c r="SUM103" s="13">
        <v>0.1</v>
      </c>
      <c r="SUN103" s="13">
        <v>0.1</v>
      </c>
      <c r="SUO103" s="13">
        <v>0.1</v>
      </c>
      <c r="SUP103" s="13">
        <v>0.1</v>
      </c>
      <c r="SUQ103" s="13">
        <v>0.1</v>
      </c>
      <c r="SUR103" s="13">
        <v>0.1</v>
      </c>
      <c r="SUS103" s="13">
        <v>0.1</v>
      </c>
      <c r="SUT103" s="13">
        <v>0.1</v>
      </c>
      <c r="SUU103" s="13">
        <v>0.1</v>
      </c>
      <c r="SUV103" s="13">
        <v>0.1</v>
      </c>
      <c r="SUW103" s="13">
        <v>0.1</v>
      </c>
      <c r="SUX103" s="13">
        <v>0.1</v>
      </c>
      <c r="SUY103" s="13">
        <v>0.1</v>
      </c>
      <c r="SUZ103" s="13">
        <v>0.1</v>
      </c>
      <c r="SVA103" s="13">
        <v>0.1</v>
      </c>
      <c r="SVB103" s="13">
        <v>0.1</v>
      </c>
      <c r="SVC103" s="13">
        <v>0.1</v>
      </c>
      <c r="SVD103" s="13">
        <v>0.1</v>
      </c>
      <c r="SVE103" s="13">
        <v>0.1</v>
      </c>
      <c r="SVF103" s="13">
        <v>0.1</v>
      </c>
      <c r="SVG103" s="13">
        <v>0.1</v>
      </c>
      <c r="SVH103" s="13">
        <v>0.1</v>
      </c>
      <c r="SVI103" s="13">
        <v>0.1</v>
      </c>
      <c r="SVJ103" s="13">
        <v>0.1</v>
      </c>
      <c r="SVK103" s="13">
        <v>0.1</v>
      </c>
      <c r="SVL103" s="13">
        <v>0.1</v>
      </c>
      <c r="SVM103" s="13">
        <v>0.1</v>
      </c>
      <c r="SVN103" s="13">
        <v>0.1</v>
      </c>
      <c r="SVO103" s="13">
        <v>0.1</v>
      </c>
      <c r="SVP103" s="13">
        <v>0.1</v>
      </c>
      <c r="SVQ103" s="13">
        <v>0.1</v>
      </c>
      <c r="SVR103" s="13">
        <v>0.1</v>
      </c>
      <c r="SVS103" s="13">
        <v>0.1</v>
      </c>
      <c r="SVT103" s="13">
        <v>0.1</v>
      </c>
      <c r="SVU103" s="13">
        <v>0.1</v>
      </c>
      <c r="SVV103" s="13">
        <v>0.1</v>
      </c>
      <c r="SVW103" s="13">
        <v>0.1</v>
      </c>
      <c r="SVX103" s="13">
        <v>0.1</v>
      </c>
      <c r="SVY103" s="13">
        <v>0.1</v>
      </c>
      <c r="SVZ103" s="13">
        <v>0.1</v>
      </c>
      <c r="SWA103" s="13">
        <v>0.1</v>
      </c>
      <c r="SWB103" s="13">
        <v>0.1</v>
      </c>
      <c r="SWC103" s="13">
        <v>0.1</v>
      </c>
      <c r="SWD103" s="13">
        <v>0.1</v>
      </c>
      <c r="SWE103" s="13">
        <v>0.1</v>
      </c>
      <c r="SWF103" s="13">
        <v>0.1</v>
      </c>
      <c r="SWG103" s="13">
        <v>0.1</v>
      </c>
      <c r="SWH103" s="13">
        <v>0.1</v>
      </c>
      <c r="SWI103" s="13">
        <v>0.1</v>
      </c>
      <c r="SWJ103" s="13">
        <v>0.1</v>
      </c>
      <c r="SWK103" s="13">
        <v>0.1</v>
      </c>
      <c r="SWL103" s="13">
        <v>0.1</v>
      </c>
      <c r="SWM103" s="13">
        <v>0.1</v>
      </c>
      <c r="SWN103" s="13">
        <v>0.1</v>
      </c>
      <c r="SWO103" s="13">
        <v>0.1</v>
      </c>
      <c r="SWP103" s="13">
        <v>0.1</v>
      </c>
      <c r="SWQ103" s="13">
        <v>0.1</v>
      </c>
      <c r="SWR103" s="13">
        <v>0.1</v>
      </c>
      <c r="SWS103" s="13">
        <v>0.1</v>
      </c>
      <c r="SWT103" s="13">
        <v>0.1</v>
      </c>
      <c r="SWU103" s="13">
        <v>0.1</v>
      </c>
      <c r="SWV103" s="13">
        <v>0.1</v>
      </c>
      <c r="SWW103" s="13">
        <v>0.1</v>
      </c>
      <c r="SWX103" s="13">
        <v>0.1</v>
      </c>
      <c r="SWY103" s="13">
        <v>0.1</v>
      </c>
      <c r="SWZ103" s="13">
        <v>0.1</v>
      </c>
      <c r="SXA103" s="13">
        <v>0.1</v>
      </c>
      <c r="SXB103" s="13">
        <v>0.1</v>
      </c>
      <c r="SXC103" s="13">
        <v>0.1</v>
      </c>
      <c r="SXD103" s="13">
        <v>0.1</v>
      </c>
      <c r="SXE103" s="13">
        <v>0.1</v>
      </c>
      <c r="SXF103" s="13">
        <v>0.1</v>
      </c>
      <c r="SXG103" s="13">
        <v>0.1</v>
      </c>
      <c r="SXH103" s="13">
        <v>0.1</v>
      </c>
      <c r="SXI103" s="13">
        <v>0.1</v>
      </c>
      <c r="SXJ103" s="13">
        <v>0.1</v>
      </c>
      <c r="SXK103" s="13">
        <v>0.1</v>
      </c>
      <c r="SXL103" s="13">
        <v>0.1</v>
      </c>
      <c r="SXM103" s="13">
        <v>0.1</v>
      </c>
      <c r="SXN103" s="13">
        <v>0.1</v>
      </c>
      <c r="SXO103" s="13">
        <v>0.1</v>
      </c>
      <c r="SXP103" s="13">
        <v>0.1</v>
      </c>
      <c r="SXQ103" s="13">
        <v>0.1</v>
      </c>
      <c r="SXR103" s="13">
        <v>0.1</v>
      </c>
      <c r="SXS103" s="13">
        <v>0.1</v>
      </c>
      <c r="SXT103" s="13">
        <v>0.1</v>
      </c>
      <c r="SXU103" s="13">
        <v>0.1</v>
      </c>
      <c r="SXV103" s="13">
        <v>0.1</v>
      </c>
      <c r="SXW103" s="13">
        <v>0.1</v>
      </c>
      <c r="SXX103" s="13">
        <v>0.1</v>
      </c>
      <c r="SXY103" s="13">
        <v>0.1</v>
      </c>
      <c r="SXZ103" s="13">
        <v>0.1</v>
      </c>
      <c r="SYA103" s="13">
        <v>0.1</v>
      </c>
      <c r="SYB103" s="13">
        <v>0.1</v>
      </c>
      <c r="SYC103" s="13">
        <v>0.1</v>
      </c>
      <c r="SYD103" s="13">
        <v>0.1</v>
      </c>
      <c r="SYE103" s="13">
        <v>0.1</v>
      </c>
      <c r="SYF103" s="13">
        <v>0.1</v>
      </c>
      <c r="SYG103" s="13">
        <v>0.1</v>
      </c>
      <c r="SYH103" s="13">
        <v>0.1</v>
      </c>
      <c r="SYI103" s="13">
        <v>0.1</v>
      </c>
      <c r="SYJ103" s="13">
        <v>0.1</v>
      </c>
      <c r="SYK103" s="13">
        <v>0.1</v>
      </c>
      <c r="SYL103" s="13">
        <v>0.1</v>
      </c>
      <c r="SYM103" s="13">
        <v>0.1</v>
      </c>
      <c r="SYN103" s="13">
        <v>0.1</v>
      </c>
      <c r="SYO103" s="13">
        <v>0.1</v>
      </c>
      <c r="SYP103" s="13">
        <v>0.1</v>
      </c>
      <c r="SYQ103" s="13">
        <v>0.1</v>
      </c>
      <c r="SYR103" s="13">
        <v>0.1</v>
      </c>
      <c r="SYS103" s="13">
        <v>0.1</v>
      </c>
      <c r="SYT103" s="13">
        <v>0.1</v>
      </c>
      <c r="SYU103" s="13">
        <v>0.1</v>
      </c>
      <c r="SYV103" s="13">
        <v>0.1</v>
      </c>
      <c r="SYW103" s="13">
        <v>0.1</v>
      </c>
      <c r="SYX103" s="13">
        <v>0.1</v>
      </c>
      <c r="SYY103" s="13">
        <v>0.1</v>
      </c>
      <c r="SYZ103" s="13">
        <v>0.1</v>
      </c>
      <c r="SZA103" s="13">
        <v>0.1</v>
      </c>
      <c r="SZB103" s="13">
        <v>0.1</v>
      </c>
      <c r="SZC103" s="13">
        <v>0.1</v>
      </c>
      <c r="SZD103" s="13">
        <v>0.1</v>
      </c>
      <c r="SZE103" s="13">
        <v>0.1</v>
      </c>
      <c r="SZF103" s="13">
        <v>0.1</v>
      </c>
      <c r="SZG103" s="13">
        <v>0.1</v>
      </c>
      <c r="SZH103" s="13">
        <v>0.1</v>
      </c>
      <c r="SZI103" s="13">
        <v>0.1</v>
      </c>
      <c r="SZJ103" s="13">
        <v>0.1</v>
      </c>
      <c r="SZK103" s="13">
        <v>0.1</v>
      </c>
      <c r="SZL103" s="13">
        <v>0.1</v>
      </c>
      <c r="SZM103" s="13">
        <v>0.1</v>
      </c>
      <c r="SZN103" s="13">
        <v>0.1</v>
      </c>
      <c r="SZO103" s="13">
        <v>0.1</v>
      </c>
      <c r="SZP103" s="13">
        <v>0.1</v>
      </c>
      <c r="SZQ103" s="13">
        <v>0.1</v>
      </c>
      <c r="SZR103" s="13">
        <v>0.1</v>
      </c>
      <c r="SZS103" s="13">
        <v>0.1</v>
      </c>
      <c r="SZT103" s="13">
        <v>0.1</v>
      </c>
      <c r="SZU103" s="13">
        <v>0.1</v>
      </c>
      <c r="SZV103" s="13">
        <v>0.1</v>
      </c>
      <c r="SZW103" s="13">
        <v>0.1</v>
      </c>
      <c r="SZX103" s="13">
        <v>0.1</v>
      </c>
      <c r="SZY103" s="13">
        <v>0.1</v>
      </c>
      <c r="SZZ103" s="13">
        <v>0.1</v>
      </c>
      <c r="TAA103" s="13">
        <v>0.1</v>
      </c>
      <c r="TAB103" s="13">
        <v>0.1</v>
      </c>
      <c r="TAC103" s="13">
        <v>0.1</v>
      </c>
      <c r="TAD103" s="13">
        <v>0.1</v>
      </c>
      <c r="TAE103" s="13">
        <v>0.1</v>
      </c>
      <c r="TAF103" s="13">
        <v>0.1</v>
      </c>
      <c r="TAG103" s="13">
        <v>0.1</v>
      </c>
      <c r="TAH103" s="13">
        <v>0.1</v>
      </c>
      <c r="TAI103" s="13">
        <v>0.1</v>
      </c>
      <c r="TAJ103" s="13">
        <v>0.1</v>
      </c>
      <c r="TAK103" s="13">
        <v>0.1</v>
      </c>
      <c r="TAL103" s="13">
        <v>0.1</v>
      </c>
      <c r="TAM103" s="13">
        <v>0.1</v>
      </c>
      <c r="TAN103" s="13">
        <v>0.1</v>
      </c>
      <c r="TAO103" s="13">
        <v>0.1</v>
      </c>
      <c r="TAP103" s="13">
        <v>0.1</v>
      </c>
      <c r="TAQ103" s="13">
        <v>0.1</v>
      </c>
      <c r="TAR103" s="13">
        <v>0.1</v>
      </c>
      <c r="TAS103" s="13">
        <v>0.1</v>
      </c>
      <c r="TAT103" s="13">
        <v>0.1</v>
      </c>
      <c r="TAU103" s="13">
        <v>0.1</v>
      </c>
      <c r="TAV103" s="13">
        <v>0.1</v>
      </c>
      <c r="TAW103" s="13">
        <v>0.1</v>
      </c>
      <c r="TAX103" s="13">
        <v>0.1</v>
      </c>
      <c r="TAY103" s="13">
        <v>0.1</v>
      </c>
      <c r="TAZ103" s="13">
        <v>0.1</v>
      </c>
      <c r="TBA103" s="13">
        <v>0.1</v>
      </c>
      <c r="TBB103" s="13">
        <v>0.1</v>
      </c>
      <c r="TBC103" s="13">
        <v>0.1</v>
      </c>
      <c r="TBD103" s="13">
        <v>0.1</v>
      </c>
      <c r="TBE103" s="13">
        <v>0.1</v>
      </c>
      <c r="TBF103" s="13">
        <v>0.1</v>
      </c>
      <c r="TBG103" s="13">
        <v>0.1</v>
      </c>
      <c r="TBH103" s="13">
        <v>0.1</v>
      </c>
      <c r="TBI103" s="13">
        <v>0.1</v>
      </c>
      <c r="TBJ103" s="13">
        <v>0.1</v>
      </c>
      <c r="TBK103" s="13">
        <v>0.1</v>
      </c>
      <c r="TBL103" s="13">
        <v>0.1</v>
      </c>
      <c r="TBM103" s="13">
        <v>0.1</v>
      </c>
      <c r="TBN103" s="13">
        <v>0.1</v>
      </c>
      <c r="TBO103" s="13">
        <v>0.1</v>
      </c>
      <c r="TBP103" s="13">
        <v>0.1</v>
      </c>
      <c r="TBQ103" s="13">
        <v>0.1</v>
      </c>
      <c r="TBR103" s="13">
        <v>0.1</v>
      </c>
      <c r="TBS103" s="13">
        <v>0.1</v>
      </c>
      <c r="TBT103" s="13">
        <v>0.1</v>
      </c>
      <c r="TBU103" s="13">
        <v>0.1</v>
      </c>
      <c r="TBV103" s="13">
        <v>0.1</v>
      </c>
      <c r="TBW103" s="13">
        <v>0.1</v>
      </c>
      <c r="TBX103" s="13">
        <v>0.1</v>
      </c>
      <c r="TBY103" s="13">
        <v>0.1</v>
      </c>
      <c r="TBZ103" s="13">
        <v>0.1</v>
      </c>
      <c r="TCA103" s="13">
        <v>0.1</v>
      </c>
      <c r="TCB103" s="13">
        <v>0.1</v>
      </c>
      <c r="TCC103" s="13">
        <v>0.1</v>
      </c>
      <c r="TCD103" s="13">
        <v>0.1</v>
      </c>
      <c r="TCE103" s="13">
        <v>0.1</v>
      </c>
      <c r="TCF103" s="13">
        <v>0.1</v>
      </c>
      <c r="TCG103" s="13">
        <v>0.1</v>
      </c>
      <c r="TCH103" s="13">
        <v>0.1</v>
      </c>
      <c r="TCI103" s="13">
        <v>0.1</v>
      </c>
      <c r="TCJ103" s="13">
        <v>0.1</v>
      </c>
      <c r="TCK103" s="13">
        <v>0.1</v>
      </c>
      <c r="TCL103" s="13">
        <v>0.1</v>
      </c>
      <c r="TCM103" s="13">
        <v>0.1</v>
      </c>
      <c r="TCN103" s="13">
        <v>0.1</v>
      </c>
      <c r="TCO103" s="13">
        <v>0.1</v>
      </c>
      <c r="TCP103" s="13">
        <v>0.1</v>
      </c>
      <c r="TCQ103" s="13">
        <v>0.1</v>
      </c>
      <c r="TCR103" s="13">
        <v>0.1</v>
      </c>
      <c r="TCS103" s="13">
        <v>0.1</v>
      </c>
      <c r="TCT103" s="13">
        <v>0.1</v>
      </c>
      <c r="TCU103" s="13">
        <v>0.1</v>
      </c>
      <c r="TCV103" s="13">
        <v>0.1</v>
      </c>
      <c r="TCW103" s="13">
        <v>0.1</v>
      </c>
      <c r="TCX103" s="13">
        <v>0.1</v>
      </c>
      <c r="TCY103" s="13">
        <v>0.1</v>
      </c>
      <c r="TCZ103" s="13">
        <v>0.1</v>
      </c>
      <c r="TDA103" s="13">
        <v>0.1</v>
      </c>
      <c r="TDB103" s="13">
        <v>0.1</v>
      </c>
      <c r="TDC103" s="13">
        <v>0.1</v>
      </c>
      <c r="TDD103" s="13">
        <v>0.1</v>
      </c>
      <c r="TDE103" s="13">
        <v>0.1</v>
      </c>
      <c r="TDF103" s="13">
        <v>0.1</v>
      </c>
      <c r="TDG103" s="13">
        <v>0.1</v>
      </c>
      <c r="TDH103" s="13">
        <v>0.1</v>
      </c>
      <c r="TDI103" s="13">
        <v>0.1</v>
      </c>
      <c r="TDJ103" s="13">
        <v>0.1</v>
      </c>
      <c r="TDK103" s="13">
        <v>0.1</v>
      </c>
      <c r="TDL103" s="13">
        <v>0.1</v>
      </c>
      <c r="TDM103" s="13">
        <v>0.1</v>
      </c>
      <c r="TDN103" s="13">
        <v>0.1</v>
      </c>
      <c r="TDO103" s="13">
        <v>0.1</v>
      </c>
      <c r="TDP103" s="13">
        <v>0.1</v>
      </c>
      <c r="TDQ103" s="13">
        <v>0.1</v>
      </c>
      <c r="TDR103" s="13">
        <v>0.1</v>
      </c>
      <c r="TDS103" s="13">
        <v>0.1</v>
      </c>
      <c r="TDT103" s="13">
        <v>0.1</v>
      </c>
      <c r="TDU103" s="13">
        <v>0.1</v>
      </c>
      <c r="TDV103" s="13">
        <v>0.1</v>
      </c>
      <c r="TDW103" s="13">
        <v>0.1</v>
      </c>
      <c r="TDX103" s="13">
        <v>0.1</v>
      </c>
      <c r="TDY103" s="13">
        <v>0.1</v>
      </c>
      <c r="TDZ103" s="13">
        <v>0.1</v>
      </c>
      <c r="TEA103" s="13">
        <v>0.1</v>
      </c>
      <c r="TEB103" s="13">
        <v>0.1</v>
      </c>
      <c r="TEC103" s="13">
        <v>0.1</v>
      </c>
      <c r="TED103" s="13">
        <v>0.1</v>
      </c>
      <c r="TEE103" s="13">
        <v>0.1</v>
      </c>
      <c r="TEF103" s="13">
        <v>0.1</v>
      </c>
      <c r="TEG103" s="13">
        <v>0.1</v>
      </c>
      <c r="TEH103" s="13">
        <v>0.1</v>
      </c>
      <c r="TEI103" s="13">
        <v>0.1</v>
      </c>
      <c r="TEJ103" s="13">
        <v>0.1</v>
      </c>
      <c r="TEK103" s="13">
        <v>0.1</v>
      </c>
      <c r="TEL103" s="13">
        <v>0.1</v>
      </c>
      <c r="TEM103" s="13">
        <v>0.1</v>
      </c>
      <c r="TEN103" s="13">
        <v>0.1</v>
      </c>
      <c r="TEO103" s="13">
        <v>0.1</v>
      </c>
      <c r="TEP103" s="13">
        <v>0.1</v>
      </c>
      <c r="TEQ103" s="13">
        <v>0.1</v>
      </c>
      <c r="TER103" s="13">
        <v>0.1</v>
      </c>
      <c r="TES103" s="13">
        <v>0.1</v>
      </c>
      <c r="TET103" s="13">
        <v>0.1</v>
      </c>
      <c r="TEU103" s="13">
        <v>0.1</v>
      </c>
      <c r="TEV103" s="13">
        <v>0.1</v>
      </c>
      <c r="TEW103" s="13">
        <v>0.1</v>
      </c>
      <c r="TEX103" s="13">
        <v>0.1</v>
      </c>
      <c r="TEY103" s="13">
        <v>0.1</v>
      </c>
      <c r="TEZ103" s="13">
        <v>0.1</v>
      </c>
      <c r="TFA103" s="13">
        <v>0.1</v>
      </c>
      <c r="TFB103" s="13">
        <v>0.1</v>
      </c>
      <c r="TFC103" s="13">
        <v>0.1</v>
      </c>
      <c r="TFD103" s="13">
        <v>0.1</v>
      </c>
      <c r="TFE103" s="13">
        <v>0.1</v>
      </c>
      <c r="TFF103" s="13">
        <v>0.1</v>
      </c>
      <c r="TFG103" s="13">
        <v>0.1</v>
      </c>
      <c r="TFH103" s="13">
        <v>0.1</v>
      </c>
      <c r="TFI103" s="13">
        <v>0.1</v>
      </c>
      <c r="TFJ103" s="13">
        <v>0.1</v>
      </c>
      <c r="TFK103" s="13">
        <v>0.1</v>
      </c>
      <c r="TFL103" s="13">
        <v>0.1</v>
      </c>
      <c r="TFM103" s="13">
        <v>0.1</v>
      </c>
      <c r="TFN103" s="13">
        <v>0.1</v>
      </c>
      <c r="TFO103" s="13">
        <v>0.1</v>
      </c>
      <c r="TFP103" s="13">
        <v>0.1</v>
      </c>
      <c r="TFQ103" s="13">
        <v>0.1</v>
      </c>
      <c r="TFR103" s="13">
        <v>0.1</v>
      </c>
      <c r="TFS103" s="13">
        <v>0.1</v>
      </c>
      <c r="TFT103" s="13">
        <v>0.1</v>
      </c>
      <c r="TFU103" s="13">
        <v>0.1</v>
      </c>
      <c r="TFV103" s="13">
        <v>0.1</v>
      </c>
      <c r="TFW103" s="13">
        <v>0.1</v>
      </c>
      <c r="TFX103" s="13">
        <v>0.1</v>
      </c>
      <c r="TFY103" s="13">
        <v>0.1</v>
      </c>
      <c r="TFZ103" s="13">
        <v>0.1</v>
      </c>
      <c r="TGA103" s="13">
        <v>0.1</v>
      </c>
      <c r="TGB103" s="13">
        <v>0.1</v>
      </c>
      <c r="TGC103" s="13">
        <v>0.1</v>
      </c>
      <c r="TGD103" s="13">
        <v>0.1</v>
      </c>
      <c r="TGE103" s="13">
        <v>0.1</v>
      </c>
      <c r="TGF103" s="13">
        <v>0.1</v>
      </c>
      <c r="TGG103" s="13">
        <v>0.1</v>
      </c>
      <c r="TGH103" s="13">
        <v>0.1</v>
      </c>
      <c r="TGI103" s="13">
        <v>0.1</v>
      </c>
      <c r="TGJ103" s="13">
        <v>0.1</v>
      </c>
      <c r="TGK103" s="13">
        <v>0.1</v>
      </c>
      <c r="TGL103" s="13">
        <v>0.1</v>
      </c>
      <c r="TGM103" s="13">
        <v>0.1</v>
      </c>
      <c r="TGN103" s="13">
        <v>0.1</v>
      </c>
      <c r="TGO103" s="13">
        <v>0.1</v>
      </c>
      <c r="TGP103" s="13">
        <v>0.1</v>
      </c>
      <c r="TGQ103" s="13">
        <v>0.1</v>
      </c>
      <c r="TGR103" s="13">
        <v>0.1</v>
      </c>
      <c r="TGS103" s="13">
        <v>0.1</v>
      </c>
      <c r="TGT103" s="13">
        <v>0.1</v>
      </c>
      <c r="TGU103" s="13">
        <v>0.1</v>
      </c>
      <c r="TGV103" s="13">
        <v>0.1</v>
      </c>
      <c r="TGW103" s="13">
        <v>0.1</v>
      </c>
      <c r="TGX103" s="13">
        <v>0.1</v>
      </c>
      <c r="TGY103" s="13">
        <v>0.1</v>
      </c>
      <c r="TGZ103" s="13">
        <v>0.1</v>
      </c>
      <c r="THA103" s="13">
        <v>0.1</v>
      </c>
      <c r="THB103" s="13">
        <v>0.1</v>
      </c>
      <c r="THC103" s="13">
        <v>0.1</v>
      </c>
      <c r="THD103" s="13">
        <v>0.1</v>
      </c>
      <c r="THE103" s="13">
        <v>0.1</v>
      </c>
      <c r="THF103" s="13">
        <v>0.1</v>
      </c>
      <c r="THG103" s="13">
        <v>0.1</v>
      </c>
      <c r="THH103" s="13">
        <v>0.1</v>
      </c>
      <c r="THI103" s="13">
        <v>0.1</v>
      </c>
      <c r="THJ103" s="13">
        <v>0.1</v>
      </c>
      <c r="THK103" s="13">
        <v>0.1</v>
      </c>
      <c r="THL103" s="13">
        <v>0.1</v>
      </c>
      <c r="THM103" s="13">
        <v>0.1</v>
      </c>
      <c r="THN103" s="13">
        <v>0.1</v>
      </c>
      <c r="THO103" s="13">
        <v>0.1</v>
      </c>
      <c r="THP103" s="13">
        <v>0.1</v>
      </c>
      <c r="THQ103" s="13">
        <v>0.1</v>
      </c>
      <c r="THR103" s="13">
        <v>0.1</v>
      </c>
      <c r="THS103" s="13">
        <v>0.1</v>
      </c>
      <c r="THT103" s="13">
        <v>0.1</v>
      </c>
      <c r="THU103" s="13">
        <v>0.1</v>
      </c>
      <c r="THV103" s="13">
        <v>0.1</v>
      </c>
      <c r="THW103" s="13">
        <v>0.1</v>
      </c>
      <c r="THX103" s="13">
        <v>0.1</v>
      </c>
      <c r="THY103" s="13">
        <v>0.1</v>
      </c>
      <c r="THZ103" s="13">
        <v>0.1</v>
      </c>
      <c r="TIA103" s="13">
        <v>0.1</v>
      </c>
      <c r="TIB103" s="13">
        <v>0.1</v>
      </c>
      <c r="TIC103" s="13">
        <v>0.1</v>
      </c>
      <c r="TID103" s="13">
        <v>0.1</v>
      </c>
      <c r="TIE103" s="13">
        <v>0.1</v>
      </c>
      <c r="TIF103" s="13">
        <v>0.1</v>
      </c>
      <c r="TIG103" s="13">
        <v>0.1</v>
      </c>
      <c r="TIH103" s="13">
        <v>0.1</v>
      </c>
      <c r="TII103" s="13">
        <v>0.1</v>
      </c>
      <c r="TIJ103" s="13">
        <v>0.1</v>
      </c>
      <c r="TIK103" s="13">
        <v>0.1</v>
      </c>
      <c r="TIL103" s="13">
        <v>0.1</v>
      </c>
      <c r="TIM103" s="13">
        <v>0.1</v>
      </c>
      <c r="TIN103" s="13">
        <v>0.1</v>
      </c>
      <c r="TIO103" s="13">
        <v>0.1</v>
      </c>
      <c r="TIP103" s="13">
        <v>0.1</v>
      </c>
      <c r="TIQ103" s="13">
        <v>0.1</v>
      </c>
      <c r="TIR103" s="13">
        <v>0.1</v>
      </c>
      <c r="TIS103" s="13">
        <v>0.1</v>
      </c>
      <c r="TIT103" s="13">
        <v>0.1</v>
      </c>
      <c r="TIU103" s="13">
        <v>0.1</v>
      </c>
      <c r="TIV103" s="13">
        <v>0.1</v>
      </c>
      <c r="TIW103" s="13">
        <v>0.1</v>
      </c>
      <c r="TIX103" s="13">
        <v>0.1</v>
      </c>
      <c r="TIY103" s="13">
        <v>0.1</v>
      </c>
      <c r="TIZ103" s="13">
        <v>0.1</v>
      </c>
      <c r="TJA103" s="13">
        <v>0.1</v>
      </c>
      <c r="TJB103" s="13">
        <v>0.1</v>
      </c>
      <c r="TJC103" s="13">
        <v>0.1</v>
      </c>
      <c r="TJD103" s="13">
        <v>0.1</v>
      </c>
      <c r="TJE103" s="13">
        <v>0.1</v>
      </c>
      <c r="TJF103" s="13">
        <v>0.1</v>
      </c>
      <c r="TJG103" s="13">
        <v>0.1</v>
      </c>
      <c r="TJH103" s="13">
        <v>0.1</v>
      </c>
      <c r="TJI103" s="13">
        <v>0.1</v>
      </c>
      <c r="TJJ103" s="13">
        <v>0.1</v>
      </c>
      <c r="TJK103" s="13">
        <v>0.1</v>
      </c>
      <c r="TJL103" s="13">
        <v>0.1</v>
      </c>
      <c r="TJM103" s="13">
        <v>0.1</v>
      </c>
      <c r="TJN103" s="13">
        <v>0.1</v>
      </c>
      <c r="TJO103" s="13">
        <v>0.1</v>
      </c>
      <c r="TJP103" s="13">
        <v>0.1</v>
      </c>
      <c r="TJQ103" s="13">
        <v>0.1</v>
      </c>
      <c r="TJR103" s="13">
        <v>0.1</v>
      </c>
      <c r="TJS103" s="13">
        <v>0.1</v>
      </c>
      <c r="TJT103" s="13">
        <v>0.1</v>
      </c>
      <c r="TJU103" s="13">
        <v>0.1</v>
      </c>
      <c r="TJV103" s="13">
        <v>0.1</v>
      </c>
      <c r="TJW103" s="13">
        <v>0.1</v>
      </c>
      <c r="TJX103" s="13">
        <v>0.1</v>
      </c>
      <c r="TJY103" s="13">
        <v>0.1</v>
      </c>
      <c r="TJZ103" s="13">
        <v>0.1</v>
      </c>
      <c r="TKA103" s="13">
        <v>0.1</v>
      </c>
      <c r="TKB103" s="13">
        <v>0.1</v>
      </c>
      <c r="TKC103" s="13">
        <v>0.1</v>
      </c>
      <c r="TKD103" s="13">
        <v>0.1</v>
      </c>
      <c r="TKE103" s="13">
        <v>0.1</v>
      </c>
      <c r="TKF103" s="13">
        <v>0.1</v>
      </c>
      <c r="TKG103" s="13">
        <v>0.1</v>
      </c>
      <c r="TKH103" s="13">
        <v>0.1</v>
      </c>
      <c r="TKI103" s="13">
        <v>0.1</v>
      </c>
      <c r="TKJ103" s="13">
        <v>0.1</v>
      </c>
      <c r="TKK103" s="13">
        <v>0.1</v>
      </c>
      <c r="TKL103" s="13">
        <v>0.1</v>
      </c>
      <c r="TKM103" s="13">
        <v>0.1</v>
      </c>
      <c r="TKN103" s="13">
        <v>0.1</v>
      </c>
      <c r="TKO103" s="13">
        <v>0.1</v>
      </c>
      <c r="TKP103" s="13">
        <v>0.1</v>
      </c>
      <c r="TKQ103" s="13">
        <v>0.1</v>
      </c>
      <c r="TKR103" s="13">
        <v>0.1</v>
      </c>
      <c r="TKS103" s="13">
        <v>0.1</v>
      </c>
      <c r="TKT103" s="13">
        <v>0.1</v>
      </c>
      <c r="TKU103" s="13">
        <v>0.1</v>
      </c>
      <c r="TKV103" s="13">
        <v>0.1</v>
      </c>
      <c r="TKW103" s="13">
        <v>0.1</v>
      </c>
      <c r="TKX103" s="13">
        <v>0.1</v>
      </c>
      <c r="TKY103" s="13">
        <v>0.1</v>
      </c>
      <c r="TKZ103" s="13">
        <v>0.1</v>
      </c>
      <c r="TLA103" s="13">
        <v>0.1</v>
      </c>
      <c r="TLB103" s="13">
        <v>0.1</v>
      </c>
      <c r="TLC103" s="13">
        <v>0.1</v>
      </c>
      <c r="TLD103" s="13">
        <v>0.1</v>
      </c>
      <c r="TLE103" s="13">
        <v>0.1</v>
      </c>
      <c r="TLF103" s="13">
        <v>0.1</v>
      </c>
      <c r="TLG103" s="13">
        <v>0.1</v>
      </c>
      <c r="TLH103" s="13">
        <v>0.1</v>
      </c>
      <c r="TLI103" s="13">
        <v>0.1</v>
      </c>
      <c r="TLJ103" s="13">
        <v>0.1</v>
      </c>
      <c r="TLK103" s="13">
        <v>0.1</v>
      </c>
      <c r="TLL103" s="13">
        <v>0.1</v>
      </c>
      <c r="TLM103" s="13">
        <v>0.1</v>
      </c>
      <c r="TLN103" s="13">
        <v>0.1</v>
      </c>
      <c r="TLO103" s="13">
        <v>0.1</v>
      </c>
      <c r="TLP103" s="13">
        <v>0.1</v>
      </c>
      <c r="TLQ103" s="13">
        <v>0.1</v>
      </c>
      <c r="TLR103" s="13">
        <v>0.1</v>
      </c>
      <c r="TLS103" s="13">
        <v>0.1</v>
      </c>
      <c r="TLT103" s="13">
        <v>0.1</v>
      </c>
      <c r="TLU103" s="13">
        <v>0.1</v>
      </c>
      <c r="TLV103" s="13">
        <v>0.1</v>
      </c>
      <c r="TLW103" s="13">
        <v>0.1</v>
      </c>
      <c r="TLX103" s="13">
        <v>0.1</v>
      </c>
      <c r="TLY103" s="13">
        <v>0.1</v>
      </c>
      <c r="TLZ103" s="13">
        <v>0.1</v>
      </c>
      <c r="TMA103" s="13">
        <v>0.1</v>
      </c>
      <c r="TMB103" s="13">
        <v>0.1</v>
      </c>
      <c r="TMC103" s="13">
        <v>0.1</v>
      </c>
      <c r="TMD103" s="13">
        <v>0.1</v>
      </c>
      <c r="TME103" s="13">
        <v>0.1</v>
      </c>
      <c r="TMF103" s="13">
        <v>0.1</v>
      </c>
      <c r="TMG103" s="13">
        <v>0.1</v>
      </c>
      <c r="TMH103" s="13">
        <v>0.1</v>
      </c>
      <c r="TMI103" s="13">
        <v>0.1</v>
      </c>
      <c r="TMJ103" s="13">
        <v>0.1</v>
      </c>
      <c r="TMK103" s="13">
        <v>0.1</v>
      </c>
      <c r="TML103" s="13">
        <v>0.1</v>
      </c>
      <c r="TMM103" s="13">
        <v>0.1</v>
      </c>
      <c r="TMN103" s="13">
        <v>0.1</v>
      </c>
      <c r="TMO103" s="13">
        <v>0.1</v>
      </c>
      <c r="TMP103" s="13">
        <v>0.1</v>
      </c>
      <c r="TMQ103" s="13">
        <v>0.1</v>
      </c>
      <c r="TMR103" s="13">
        <v>0.1</v>
      </c>
      <c r="TMS103" s="13">
        <v>0.1</v>
      </c>
      <c r="TMT103" s="13">
        <v>0.1</v>
      </c>
      <c r="TMU103" s="13">
        <v>0.1</v>
      </c>
      <c r="TMV103" s="13">
        <v>0.1</v>
      </c>
      <c r="TMW103" s="13">
        <v>0.1</v>
      </c>
      <c r="TMX103" s="13">
        <v>0.1</v>
      </c>
      <c r="TMY103" s="13">
        <v>0.1</v>
      </c>
      <c r="TMZ103" s="13">
        <v>0.1</v>
      </c>
      <c r="TNA103" s="13">
        <v>0.1</v>
      </c>
      <c r="TNB103" s="13">
        <v>0.1</v>
      </c>
      <c r="TNC103" s="13">
        <v>0.1</v>
      </c>
      <c r="TND103" s="13">
        <v>0.1</v>
      </c>
      <c r="TNE103" s="13">
        <v>0.1</v>
      </c>
      <c r="TNF103" s="13">
        <v>0.1</v>
      </c>
      <c r="TNG103" s="13">
        <v>0.1</v>
      </c>
      <c r="TNH103" s="13">
        <v>0.1</v>
      </c>
      <c r="TNI103" s="13">
        <v>0.1</v>
      </c>
      <c r="TNJ103" s="13">
        <v>0.1</v>
      </c>
      <c r="TNK103" s="13">
        <v>0.1</v>
      </c>
      <c r="TNL103" s="13">
        <v>0.1</v>
      </c>
      <c r="TNM103" s="13">
        <v>0.1</v>
      </c>
      <c r="TNN103" s="13">
        <v>0.1</v>
      </c>
      <c r="TNO103" s="13">
        <v>0.1</v>
      </c>
      <c r="TNP103" s="13">
        <v>0.1</v>
      </c>
      <c r="TNQ103" s="13">
        <v>0.1</v>
      </c>
      <c r="TNR103" s="13">
        <v>0.1</v>
      </c>
      <c r="TNS103" s="13">
        <v>0.1</v>
      </c>
      <c r="TNT103" s="13">
        <v>0.1</v>
      </c>
      <c r="TNU103" s="13">
        <v>0.1</v>
      </c>
      <c r="TNV103" s="13">
        <v>0.1</v>
      </c>
      <c r="TNW103" s="13">
        <v>0.1</v>
      </c>
      <c r="TNX103" s="13">
        <v>0.1</v>
      </c>
      <c r="TNY103" s="13">
        <v>0.1</v>
      </c>
      <c r="TNZ103" s="13">
        <v>0.1</v>
      </c>
      <c r="TOA103" s="13">
        <v>0.1</v>
      </c>
      <c r="TOB103" s="13">
        <v>0.1</v>
      </c>
      <c r="TOC103" s="13">
        <v>0.1</v>
      </c>
      <c r="TOD103" s="13">
        <v>0.1</v>
      </c>
      <c r="TOE103" s="13">
        <v>0.1</v>
      </c>
      <c r="TOF103" s="13">
        <v>0.1</v>
      </c>
      <c r="TOG103" s="13">
        <v>0.1</v>
      </c>
      <c r="TOH103" s="13">
        <v>0.1</v>
      </c>
      <c r="TOI103" s="13">
        <v>0.1</v>
      </c>
      <c r="TOJ103" s="13">
        <v>0.1</v>
      </c>
      <c r="TOK103" s="13">
        <v>0.1</v>
      </c>
      <c r="TOL103" s="13">
        <v>0.1</v>
      </c>
      <c r="TOM103" s="13">
        <v>0.1</v>
      </c>
      <c r="TON103" s="13">
        <v>0.1</v>
      </c>
      <c r="TOO103" s="13">
        <v>0.1</v>
      </c>
      <c r="TOP103" s="13">
        <v>0.1</v>
      </c>
      <c r="TOQ103" s="13">
        <v>0.1</v>
      </c>
      <c r="TOR103" s="13">
        <v>0.1</v>
      </c>
      <c r="TOS103" s="13">
        <v>0.1</v>
      </c>
      <c r="TOT103" s="13">
        <v>0.1</v>
      </c>
      <c r="TOU103" s="13">
        <v>0.1</v>
      </c>
      <c r="TOV103" s="13">
        <v>0.1</v>
      </c>
      <c r="TOW103" s="13">
        <v>0.1</v>
      </c>
      <c r="TOX103" s="13">
        <v>0.1</v>
      </c>
      <c r="TOY103" s="13">
        <v>0.1</v>
      </c>
      <c r="TOZ103" s="13">
        <v>0.1</v>
      </c>
      <c r="TPA103" s="13">
        <v>0.1</v>
      </c>
      <c r="TPB103" s="13">
        <v>0.1</v>
      </c>
      <c r="TPC103" s="13">
        <v>0.1</v>
      </c>
      <c r="TPD103" s="13">
        <v>0.1</v>
      </c>
      <c r="TPE103" s="13">
        <v>0.1</v>
      </c>
      <c r="TPF103" s="13">
        <v>0.1</v>
      </c>
      <c r="TPG103" s="13">
        <v>0.1</v>
      </c>
      <c r="TPH103" s="13">
        <v>0.1</v>
      </c>
      <c r="TPI103" s="13">
        <v>0.1</v>
      </c>
      <c r="TPJ103" s="13">
        <v>0.1</v>
      </c>
      <c r="TPK103" s="13">
        <v>0.1</v>
      </c>
      <c r="TPL103" s="13">
        <v>0.1</v>
      </c>
      <c r="TPM103" s="13">
        <v>0.1</v>
      </c>
      <c r="TPN103" s="13">
        <v>0.1</v>
      </c>
      <c r="TPO103" s="13">
        <v>0.1</v>
      </c>
      <c r="TPP103" s="13">
        <v>0.1</v>
      </c>
      <c r="TPQ103" s="13">
        <v>0.1</v>
      </c>
      <c r="TPR103" s="13">
        <v>0.1</v>
      </c>
      <c r="TPS103" s="13">
        <v>0.1</v>
      </c>
      <c r="TPT103" s="13">
        <v>0.1</v>
      </c>
      <c r="TPU103" s="13">
        <v>0.1</v>
      </c>
      <c r="TPV103" s="13">
        <v>0.1</v>
      </c>
      <c r="TPW103" s="13">
        <v>0.1</v>
      </c>
      <c r="TPX103" s="13">
        <v>0.1</v>
      </c>
      <c r="TPY103" s="13">
        <v>0.1</v>
      </c>
      <c r="TPZ103" s="13">
        <v>0.1</v>
      </c>
      <c r="TQA103" s="13">
        <v>0.1</v>
      </c>
      <c r="TQB103" s="13">
        <v>0.1</v>
      </c>
      <c r="TQC103" s="13">
        <v>0.1</v>
      </c>
      <c r="TQD103" s="13">
        <v>0.1</v>
      </c>
      <c r="TQE103" s="13">
        <v>0.1</v>
      </c>
      <c r="TQF103" s="13">
        <v>0.1</v>
      </c>
      <c r="TQG103" s="13">
        <v>0.1</v>
      </c>
      <c r="TQH103" s="13">
        <v>0.1</v>
      </c>
      <c r="TQI103" s="13">
        <v>0.1</v>
      </c>
      <c r="TQJ103" s="13">
        <v>0.1</v>
      </c>
      <c r="TQK103" s="13">
        <v>0.1</v>
      </c>
      <c r="TQL103" s="13">
        <v>0.1</v>
      </c>
      <c r="TQM103" s="13">
        <v>0.1</v>
      </c>
      <c r="TQN103" s="13">
        <v>0.1</v>
      </c>
      <c r="TQO103" s="13">
        <v>0.1</v>
      </c>
      <c r="TQP103" s="13">
        <v>0.1</v>
      </c>
      <c r="TQQ103" s="13">
        <v>0.1</v>
      </c>
      <c r="TQR103" s="13">
        <v>0.1</v>
      </c>
      <c r="TQS103" s="13">
        <v>0.1</v>
      </c>
      <c r="TQT103" s="13">
        <v>0.1</v>
      </c>
      <c r="TQU103" s="13">
        <v>0.1</v>
      </c>
      <c r="TQV103" s="13">
        <v>0.1</v>
      </c>
      <c r="TQW103" s="13">
        <v>0.1</v>
      </c>
      <c r="TQX103" s="13">
        <v>0.1</v>
      </c>
      <c r="TQY103" s="13">
        <v>0.1</v>
      </c>
      <c r="TQZ103" s="13">
        <v>0.1</v>
      </c>
      <c r="TRA103" s="13">
        <v>0.1</v>
      </c>
      <c r="TRB103" s="13">
        <v>0.1</v>
      </c>
      <c r="TRC103" s="13">
        <v>0.1</v>
      </c>
      <c r="TRD103" s="13">
        <v>0.1</v>
      </c>
      <c r="TRE103" s="13">
        <v>0.1</v>
      </c>
      <c r="TRF103" s="13">
        <v>0.1</v>
      </c>
      <c r="TRG103" s="13">
        <v>0.1</v>
      </c>
      <c r="TRH103" s="13">
        <v>0.1</v>
      </c>
      <c r="TRI103" s="13">
        <v>0.1</v>
      </c>
      <c r="TRJ103" s="13">
        <v>0.1</v>
      </c>
      <c r="TRK103" s="13">
        <v>0.1</v>
      </c>
      <c r="TRL103" s="13">
        <v>0.1</v>
      </c>
      <c r="TRM103" s="13">
        <v>0.1</v>
      </c>
      <c r="TRN103" s="13">
        <v>0.1</v>
      </c>
      <c r="TRO103" s="13">
        <v>0.1</v>
      </c>
      <c r="TRP103" s="13">
        <v>0.1</v>
      </c>
      <c r="TRQ103" s="13">
        <v>0.1</v>
      </c>
      <c r="TRR103" s="13">
        <v>0.1</v>
      </c>
      <c r="TRS103" s="13">
        <v>0.1</v>
      </c>
      <c r="TRT103" s="13">
        <v>0.1</v>
      </c>
      <c r="TRU103" s="13">
        <v>0.1</v>
      </c>
      <c r="TRV103" s="13">
        <v>0.1</v>
      </c>
      <c r="TRW103" s="13">
        <v>0.1</v>
      </c>
      <c r="TRX103" s="13">
        <v>0.1</v>
      </c>
      <c r="TRY103" s="13">
        <v>0.1</v>
      </c>
      <c r="TRZ103" s="13">
        <v>0.1</v>
      </c>
      <c r="TSA103" s="13">
        <v>0.1</v>
      </c>
      <c r="TSB103" s="13">
        <v>0.1</v>
      </c>
      <c r="TSC103" s="13">
        <v>0.1</v>
      </c>
      <c r="TSD103" s="13">
        <v>0.1</v>
      </c>
      <c r="TSE103" s="13">
        <v>0.1</v>
      </c>
      <c r="TSF103" s="13">
        <v>0.1</v>
      </c>
      <c r="TSG103" s="13">
        <v>0.1</v>
      </c>
      <c r="TSH103" s="13">
        <v>0.1</v>
      </c>
      <c r="TSI103" s="13">
        <v>0.1</v>
      </c>
      <c r="TSJ103" s="13">
        <v>0.1</v>
      </c>
      <c r="TSK103" s="13">
        <v>0.1</v>
      </c>
      <c r="TSL103" s="13">
        <v>0.1</v>
      </c>
      <c r="TSM103" s="13">
        <v>0.1</v>
      </c>
      <c r="TSN103" s="13">
        <v>0.1</v>
      </c>
      <c r="TSO103" s="13">
        <v>0.1</v>
      </c>
      <c r="TSP103" s="13">
        <v>0.1</v>
      </c>
      <c r="TSQ103" s="13">
        <v>0.1</v>
      </c>
      <c r="TSR103" s="13">
        <v>0.1</v>
      </c>
      <c r="TSS103" s="13">
        <v>0.1</v>
      </c>
      <c r="TST103" s="13">
        <v>0.1</v>
      </c>
      <c r="TSU103" s="13">
        <v>0.1</v>
      </c>
      <c r="TSV103" s="13">
        <v>0.1</v>
      </c>
      <c r="TSW103" s="13">
        <v>0.1</v>
      </c>
      <c r="TSX103" s="13">
        <v>0.1</v>
      </c>
      <c r="TSY103" s="13">
        <v>0.1</v>
      </c>
      <c r="TSZ103" s="13">
        <v>0.1</v>
      </c>
      <c r="TTA103" s="13">
        <v>0.1</v>
      </c>
      <c r="TTB103" s="13">
        <v>0.1</v>
      </c>
      <c r="TTC103" s="13">
        <v>0.1</v>
      </c>
      <c r="TTD103" s="13">
        <v>0.1</v>
      </c>
      <c r="TTE103" s="13">
        <v>0.1</v>
      </c>
      <c r="TTF103" s="13">
        <v>0.1</v>
      </c>
      <c r="TTG103" s="13">
        <v>0.1</v>
      </c>
      <c r="TTH103" s="13">
        <v>0.1</v>
      </c>
      <c r="TTI103" s="13">
        <v>0.1</v>
      </c>
      <c r="TTJ103" s="13">
        <v>0.1</v>
      </c>
      <c r="TTK103" s="13">
        <v>0.1</v>
      </c>
      <c r="TTL103" s="13">
        <v>0.1</v>
      </c>
      <c r="TTM103" s="13">
        <v>0.1</v>
      </c>
      <c r="TTN103" s="13">
        <v>0.1</v>
      </c>
      <c r="TTO103" s="13">
        <v>0.1</v>
      </c>
      <c r="TTP103" s="13">
        <v>0.1</v>
      </c>
      <c r="TTQ103" s="13">
        <v>0.1</v>
      </c>
      <c r="TTR103" s="13">
        <v>0.1</v>
      </c>
      <c r="TTS103" s="13">
        <v>0.1</v>
      </c>
      <c r="TTT103" s="13">
        <v>0.1</v>
      </c>
      <c r="TTU103" s="13">
        <v>0.1</v>
      </c>
      <c r="TTV103" s="13">
        <v>0.1</v>
      </c>
      <c r="TTW103" s="13">
        <v>0.1</v>
      </c>
      <c r="TTX103" s="13">
        <v>0.1</v>
      </c>
      <c r="TTY103" s="13">
        <v>0.1</v>
      </c>
      <c r="TTZ103" s="13">
        <v>0.1</v>
      </c>
      <c r="TUA103" s="13">
        <v>0.1</v>
      </c>
      <c r="TUB103" s="13">
        <v>0.1</v>
      </c>
      <c r="TUC103" s="13">
        <v>0.1</v>
      </c>
      <c r="TUD103" s="13">
        <v>0.1</v>
      </c>
      <c r="TUE103" s="13">
        <v>0.1</v>
      </c>
      <c r="TUF103" s="13">
        <v>0.1</v>
      </c>
      <c r="TUG103" s="13">
        <v>0.1</v>
      </c>
      <c r="TUH103" s="13">
        <v>0.1</v>
      </c>
      <c r="TUI103" s="13">
        <v>0.1</v>
      </c>
      <c r="TUJ103" s="13">
        <v>0.1</v>
      </c>
      <c r="TUK103" s="13">
        <v>0.1</v>
      </c>
      <c r="TUL103" s="13">
        <v>0.1</v>
      </c>
      <c r="TUM103" s="13">
        <v>0.1</v>
      </c>
      <c r="TUN103" s="13">
        <v>0.1</v>
      </c>
      <c r="TUO103" s="13">
        <v>0.1</v>
      </c>
      <c r="TUP103" s="13">
        <v>0.1</v>
      </c>
      <c r="TUQ103" s="13">
        <v>0.1</v>
      </c>
      <c r="TUR103" s="13">
        <v>0.1</v>
      </c>
      <c r="TUS103" s="13">
        <v>0.1</v>
      </c>
      <c r="TUT103" s="13">
        <v>0.1</v>
      </c>
      <c r="TUU103" s="13">
        <v>0.1</v>
      </c>
      <c r="TUV103" s="13">
        <v>0.1</v>
      </c>
      <c r="TUW103" s="13">
        <v>0.1</v>
      </c>
      <c r="TUX103" s="13">
        <v>0.1</v>
      </c>
      <c r="TUY103" s="13">
        <v>0.1</v>
      </c>
      <c r="TUZ103" s="13">
        <v>0.1</v>
      </c>
      <c r="TVA103" s="13">
        <v>0.1</v>
      </c>
      <c r="TVB103" s="13">
        <v>0.1</v>
      </c>
      <c r="TVC103" s="13">
        <v>0.1</v>
      </c>
      <c r="TVD103" s="13">
        <v>0.1</v>
      </c>
      <c r="TVE103" s="13">
        <v>0.1</v>
      </c>
      <c r="TVF103" s="13">
        <v>0.1</v>
      </c>
      <c r="TVG103" s="13">
        <v>0.1</v>
      </c>
      <c r="TVH103" s="13">
        <v>0.1</v>
      </c>
      <c r="TVI103" s="13">
        <v>0.1</v>
      </c>
      <c r="TVJ103" s="13">
        <v>0.1</v>
      </c>
      <c r="TVK103" s="13">
        <v>0.1</v>
      </c>
      <c r="TVL103" s="13">
        <v>0.1</v>
      </c>
      <c r="TVM103" s="13">
        <v>0.1</v>
      </c>
      <c r="TVN103" s="13">
        <v>0.1</v>
      </c>
      <c r="TVO103" s="13">
        <v>0.1</v>
      </c>
      <c r="TVP103" s="13">
        <v>0.1</v>
      </c>
      <c r="TVQ103" s="13">
        <v>0.1</v>
      </c>
      <c r="TVR103" s="13">
        <v>0.1</v>
      </c>
      <c r="TVS103" s="13">
        <v>0.1</v>
      </c>
      <c r="TVT103" s="13">
        <v>0.1</v>
      </c>
      <c r="TVU103" s="13">
        <v>0.1</v>
      </c>
      <c r="TVV103" s="13">
        <v>0.1</v>
      </c>
      <c r="TVW103" s="13">
        <v>0.1</v>
      </c>
      <c r="TVX103" s="13">
        <v>0.1</v>
      </c>
      <c r="TVY103" s="13">
        <v>0.1</v>
      </c>
      <c r="TVZ103" s="13">
        <v>0.1</v>
      </c>
      <c r="TWA103" s="13">
        <v>0.1</v>
      </c>
      <c r="TWB103" s="13">
        <v>0.1</v>
      </c>
      <c r="TWC103" s="13">
        <v>0.1</v>
      </c>
      <c r="TWD103" s="13">
        <v>0.1</v>
      </c>
      <c r="TWE103" s="13">
        <v>0.1</v>
      </c>
      <c r="TWF103" s="13">
        <v>0.1</v>
      </c>
      <c r="TWG103" s="13">
        <v>0.1</v>
      </c>
      <c r="TWH103" s="13">
        <v>0.1</v>
      </c>
      <c r="TWI103" s="13">
        <v>0.1</v>
      </c>
      <c r="TWJ103" s="13">
        <v>0.1</v>
      </c>
      <c r="TWK103" s="13">
        <v>0.1</v>
      </c>
      <c r="TWL103" s="13">
        <v>0.1</v>
      </c>
      <c r="TWM103" s="13">
        <v>0.1</v>
      </c>
      <c r="TWN103" s="13">
        <v>0.1</v>
      </c>
      <c r="TWO103" s="13">
        <v>0.1</v>
      </c>
      <c r="TWP103" s="13">
        <v>0.1</v>
      </c>
      <c r="TWQ103" s="13">
        <v>0.1</v>
      </c>
      <c r="TWR103" s="13">
        <v>0.1</v>
      </c>
      <c r="TWS103" s="13">
        <v>0.1</v>
      </c>
      <c r="TWT103" s="13">
        <v>0.1</v>
      </c>
      <c r="TWU103" s="13">
        <v>0.1</v>
      </c>
      <c r="TWV103" s="13">
        <v>0.1</v>
      </c>
      <c r="TWW103" s="13">
        <v>0.1</v>
      </c>
      <c r="TWX103" s="13">
        <v>0.1</v>
      </c>
      <c r="TWY103" s="13">
        <v>0.1</v>
      </c>
      <c r="TWZ103" s="13">
        <v>0.1</v>
      </c>
      <c r="TXA103" s="13">
        <v>0.1</v>
      </c>
      <c r="TXB103" s="13">
        <v>0.1</v>
      </c>
      <c r="TXC103" s="13">
        <v>0.1</v>
      </c>
      <c r="TXD103" s="13">
        <v>0.1</v>
      </c>
      <c r="TXE103" s="13">
        <v>0.1</v>
      </c>
      <c r="TXF103" s="13">
        <v>0.1</v>
      </c>
      <c r="TXG103" s="13">
        <v>0.1</v>
      </c>
      <c r="TXH103" s="13">
        <v>0.1</v>
      </c>
      <c r="TXI103" s="13">
        <v>0.1</v>
      </c>
      <c r="TXJ103" s="13">
        <v>0.1</v>
      </c>
      <c r="TXK103" s="13">
        <v>0.1</v>
      </c>
      <c r="TXL103" s="13">
        <v>0.1</v>
      </c>
      <c r="TXM103" s="13">
        <v>0.1</v>
      </c>
      <c r="TXN103" s="13">
        <v>0.1</v>
      </c>
      <c r="TXO103" s="13">
        <v>0.1</v>
      </c>
      <c r="TXP103" s="13">
        <v>0.1</v>
      </c>
      <c r="TXQ103" s="13">
        <v>0.1</v>
      </c>
      <c r="TXR103" s="13">
        <v>0.1</v>
      </c>
      <c r="TXS103" s="13">
        <v>0.1</v>
      </c>
      <c r="TXT103" s="13">
        <v>0.1</v>
      </c>
      <c r="TXU103" s="13">
        <v>0.1</v>
      </c>
      <c r="TXV103" s="13">
        <v>0.1</v>
      </c>
      <c r="TXW103" s="13">
        <v>0.1</v>
      </c>
      <c r="TXX103" s="13">
        <v>0.1</v>
      </c>
      <c r="TXY103" s="13">
        <v>0.1</v>
      </c>
      <c r="TXZ103" s="13">
        <v>0.1</v>
      </c>
      <c r="TYA103" s="13">
        <v>0.1</v>
      </c>
      <c r="TYB103" s="13">
        <v>0.1</v>
      </c>
      <c r="TYC103" s="13">
        <v>0.1</v>
      </c>
      <c r="TYD103" s="13">
        <v>0.1</v>
      </c>
      <c r="TYE103" s="13">
        <v>0.1</v>
      </c>
      <c r="TYF103" s="13">
        <v>0.1</v>
      </c>
      <c r="TYG103" s="13">
        <v>0.1</v>
      </c>
      <c r="TYH103" s="13">
        <v>0.1</v>
      </c>
      <c r="TYI103" s="13">
        <v>0.1</v>
      </c>
      <c r="TYJ103" s="13">
        <v>0.1</v>
      </c>
      <c r="TYK103" s="13">
        <v>0.1</v>
      </c>
      <c r="TYL103" s="13">
        <v>0.1</v>
      </c>
      <c r="TYM103" s="13">
        <v>0.1</v>
      </c>
      <c r="TYN103" s="13">
        <v>0.1</v>
      </c>
      <c r="TYO103" s="13">
        <v>0.1</v>
      </c>
      <c r="TYP103" s="13">
        <v>0.1</v>
      </c>
      <c r="TYQ103" s="13">
        <v>0.1</v>
      </c>
      <c r="TYR103" s="13">
        <v>0.1</v>
      </c>
      <c r="TYS103" s="13">
        <v>0.1</v>
      </c>
      <c r="TYT103" s="13">
        <v>0.1</v>
      </c>
      <c r="TYU103" s="13">
        <v>0.1</v>
      </c>
      <c r="TYV103" s="13">
        <v>0.1</v>
      </c>
      <c r="TYW103" s="13">
        <v>0.1</v>
      </c>
      <c r="TYX103" s="13">
        <v>0.1</v>
      </c>
      <c r="TYY103" s="13">
        <v>0.1</v>
      </c>
      <c r="TYZ103" s="13">
        <v>0.1</v>
      </c>
      <c r="TZA103" s="13">
        <v>0.1</v>
      </c>
      <c r="TZB103" s="13">
        <v>0.1</v>
      </c>
      <c r="TZC103" s="13">
        <v>0.1</v>
      </c>
      <c r="TZD103" s="13">
        <v>0.1</v>
      </c>
      <c r="TZE103" s="13">
        <v>0.1</v>
      </c>
      <c r="TZF103" s="13">
        <v>0.1</v>
      </c>
      <c r="TZG103" s="13">
        <v>0.1</v>
      </c>
      <c r="TZH103" s="13">
        <v>0.1</v>
      </c>
      <c r="TZI103" s="13">
        <v>0.1</v>
      </c>
      <c r="TZJ103" s="13">
        <v>0.1</v>
      </c>
      <c r="TZK103" s="13">
        <v>0.1</v>
      </c>
      <c r="TZL103" s="13">
        <v>0.1</v>
      </c>
      <c r="TZM103" s="13">
        <v>0.1</v>
      </c>
      <c r="TZN103" s="13">
        <v>0.1</v>
      </c>
      <c r="TZO103" s="13">
        <v>0.1</v>
      </c>
      <c r="TZP103" s="13">
        <v>0.1</v>
      </c>
      <c r="TZQ103" s="13">
        <v>0.1</v>
      </c>
      <c r="TZR103" s="13">
        <v>0.1</v>
      </c>
      <c r="TZS103" s="13">
        <v>0.1</v>
      </c>
      <c r="TZT103" s="13">
        <v>0.1</v>
      </c>
      <c r="TZU103" s="13">
        <v>0.1</v>
      </c>
      <c r="TZV103" s="13">
        <v>0.1</v>
      </c>
      <c r="TZW103" s="13">
        <v>0.1</v>
      </c>
      <c r="TZX103" s="13">
        <v>0.1</v>
      </c>
      <c r="TZY103" s="13">
        <v>0.1</v>
      </c>
      <c r="TZZ103" s="13">
        <v>0.1</v>
      </c>
      <c r="UAA103" s="13">
        <v>0.1</v>
      </c>
      <c r="UAB103" s="13">
        <v>0.1</v>
      </c>
      <c r="UAC103" s="13">
        <v>0.1</v>
      </c>
      <c r="UAD103" s="13">
        <v>0.1</v>
      </c>
      <c r="UAE103" s="13">
        <v>0.1</v>
      </c>
      <c r="UAF103" s="13">
        <v>0.1</v>
      </c>
      <c r="UAG103" s="13">
        <v>0.1</v>
      </c>
      <c r="UAH103" s="13">
        <v>0.1</v>
      </c>
      <c r="UAI103" s="13">
        <v>0.1</v>
      </c>
      <c r="UAJ103" s="13">
        <v>0.1</v>
      </c>
      <c r="UAK103" s="13">
        <v>0.1</v>
      </c>
      <c r="UAL103" s="13">
        <v>0.1</v>
      </c>
      <c r="UAM103" s="13">
        <v>0.1</v>
      </c>
      <c r="UAN103" s="13">
        <v>0.1</v>
      </c>
      <c r="UAO103" s="13">
        <v>0.1</v>
      </c>
      <c r="UAP103" s="13">
        <v>0.1</v>
      </c>
      <c r="UAQ103" s="13">
        <v>0.1</v>
      </c>
      <c r="UAR103" s="13">
        <v>0.1</v>
      </c>
      <c r="UAS103" s="13">
        <v>0.1</v>
      </c>
      <c r="UAT103" s="13">
        <v>0.1</v>
      </c>
      <c r="UAU103" s="13">
        <v>0.1</v>
      </c>
      <c r="UAV103" s="13">
        <v>0.1</v>
      </c>
      <c r="UAW103" s="13">
        <v>0.1</v>
      </c>
      <c r="UAX103" s="13">
        <v>0.1</v>
      </c>
      <c r="UAY103" s="13">
        <v>0.1</v>
      </c>
      <c r="UAZ103" s="13">
        <v>0.1</v>
      </c>
      <c r="UBA103" s="13">
        <v>0.1</v>
      </c>
      <c r="UBB103" s="13">
        <v>0.1</v>
      </c>
      <c r="UBC103" s="13">
        <v>0.1</v>
      </c>
      <c r="UBD103" s="13">
        <v>0.1</v>
      </c>
      <c r="UBE103" s="13">
        <v>0.1</v>
      </c>
      <c r="UBF103" s="13">
        <v>0.1</v>
      </c>
      <c r="UBG103" s="13">
        <v>0.1</v>
      </c>
      <c r="UBH103" s="13">
        <v>0.1</v>
      </c>
      <c r="UBI103" s="13">
        <v>0.1</v>
      </c>
      <c r="UBJ103" s="13">
        <v>0.1</v>
      </c>
      <c r="UBK103" s="13">
        <v>0.1</v>
      </c>
      <c r="UBL103" s="13">
        <v>0.1</v>
      </c>
      <c r="UBM103" s="13">
        <v>0.1</v>
      </c>
      <c r="UBN103" s="13">
        <v>0.1</v>
      </c>
      <c r="UBO103" s="13">
        <v>0.1</v>
      </c>
      <c r="UBP103" s="13">
        <v>0.1</v>
      </c>
      <c r="UBQ103" s="13">
        <v>0.1</v>
      </c>
      <c r="UBR103" s="13">
        <v>0.1</v>
      </c>
      <c r="UBS103" s="13">
        <v>0.1</v>
      </c>
      <c r="UBT103" s="13">
        <v>0.1</v>
      </c>
      <c r="UBU103" s="13">
        <v>0.1</v>
      </c>
      <c r="UBV103" s="13">
        <v>0.1</v>
      </c>
      <c r="UBW103" s="13">
        <v>0.1</v>
      </c>
      <c r="UBX103" s="13">
        <v>0.1</v>
      </c>
      <c r="UBY103" s="13">
        <v>0.1</v>
      </c>
      <c r="UBZ103" s="13">
        <v>0.1</v>
      </c>
      <c r="UCA103" s="13">
        <v>0.1</v>
      </c>
      <c r="UCB103" s="13">
        <v>0.1</v>
      </c>
      <c r="UCC103" s="13">
        <v>0.1</v>
      </c>
      <c r="UCD103" s="13">
        <v>0.1</v>
      </c>
      <c r="UCE103" s="13">
        <v>0.1</v>
      </c>
      <c r="UCF103" s="13">
        <v>0.1</v>
      </c>
      <c r="UCG103" s="13">
        <v>0.1</v>
      </c>
      <c r="UCH103" s="13">
        <v>0.1</v>
      </c>
      <c r="UCI103" s="13">
        <v>0.1</v>
      </c>
      <c r="UCJ103" s="13">
        <v>0.1</v>
      </c>
      <c r="UCK103" s="13">
        <v>0.1</v>
      </c>
      <c r="UCL103" s="13">
        <v>0.1</v>
      </c>
      <c r="UCM103" s="13">
        <v>0.1</v>
      </c>
      <c r="UCN103" s="13">
        <v>0.1</v>
      </c>
      <c r="UCO103" s="13">
        <v>0.1</v>
      </c>
      <c r="UCP103" s="13">
        <v>0.1</v>
      </c>
      <c r="UCQ103" s="13">
        <v>0.1</v>
      </c>
      <c r="UCR103" s="13">
        <v>0.1</v>
      </c>
      <c r="UCS103" s="13">
        <v>0.1</v>
      </c>
      <c r="UCT103" s="13">
        <v>0.1</v>
      </c>
      <c r="UCU103" s="13">
        <v>0.1</v>
      </c>
      <c r="UCV103" s="13">
        <v>0.1</v>
      </c>
      <c r="UCW103" s="13">
        <v>0.1</v>
      </c>
      <c r="UCX103" s="13">
        <v>0.1</v>
      </c>
      <c r="UCY103" s="13">
        <v>0.1</v>
      </c>
      <c r="UCZ103" s="13">
        <v>0.1</v>
      </c>
      <c r="UDA103" s="13">
        <v>0.1</v>
      </c>
      <c r="UDB103" s="13">
        <v>0.1</v>
      </c>
      <c r="UDC103" s="13">
        <v>0.1</v>
      </c>
      <c r="UDD103" s="13">
        <v>0.1</v>
      </c>
      <c r="UDE103" s="13">
        <v>0.1</v>
      </c>
      <c r="UDF103" s="13">
        <v>0.1</v>
      </c>
      <c r="UDG103" s="13">
        <v>0.1</v>
      </c>
      <c r="UDH103" s="13">
        <v>0.1</v>
      </c>
      <c r="UDI103" s="13">
        <v>0.1</v>
      </c>
      <c r="UDJ103" s="13">
        <v>0.1</v>
      </c>
      <c r="UDK103" s="13">
        <v>0.1</v>
      </c>
      <c r="UDL103" s="13">
        <v>0.1</v>
      </c>
      <c r="UDM103" s="13">
        <v>0.1</v>
      </c>
      <c r="UDN103" s="13">
        <v>0.1</v>
      </c>
      <c r="UDO103" s="13">
        <v>0.1</v>
      </c>
      <c r="UDP103" s="13">
        <v>0.1</v>
      </c>
      <c r="UDQ103" s="13">
        <v>0.1</v>
      </c>
      <c r="UDR103" s="13">
        <v>0.1</v>
      </c>
      <c r="UDS103" s="13">
        <v>0.1</v>
      </c>
      <c r="UDT103" s="13">
        <v>0.1</v>
      </c>
      <c r="UDU103" s="13">
        <v>0.1</v>
      </c>
      <c r="UDV103" s="13">
        <v>0.1</v>
      </c>
      <c r="UDW103" s="13">
        <v>0.1</v>
      </c>
      <c r="UDX103" s="13">
        <v>0.1</v>
      </c>
      <c r="UDY103" s="13">
        <v>0.1</v>
      </c>
      <c r="UDZ103" s="13">
        <v>0.1</v>
      </c>
      <c r="UEA103" s="13">
        <v>0.1</v>
      </c>
      <c r="UEB103" s="13">
        <v>0.1</v>
      </c>
      <c r="UEC103" s="13">
        <v>0.1</v>
      </c>
      <c r="UED103" s="13">
        <v>0.1</v>
      </c>
      <c r="UEE103" s="13">
        <v>0.1</v>
      </c>
      <c r="UEF103" s="13">
        <v>0.1</v>
      </c>
      <c r="UEG103" s="13">
        <v>0.1</v>
      </c>
      <c r="UEH103" s="13">
        <v>0.1</v>
      </c>
      <c r="UEI103" s="13">
        <v>0.1</v>
      </c>
      <c r="UEJ103" s="13">
        <v>0.1</v>
      </c>
      <c r="UEK103" s="13">
        <v>0.1</v>
      </c>
      <c r="UEL103" s="13">
        <v>0.1</v>
      </c>
      <c r="UEM103" s="13">
        <v>0.1</v>
      </c>
      <c r="UEN103" s="13">
        <v>0.1</v>
      </c>
      <c r="UEO103" s="13">
        <v>0.1</v>
      </c>
      <c r="UEP103" s="13">
        <v>0.1</v>
      </c>
      <c r="UEQ103" s="13">
        <v>0.1</v>
      </c>
      <c r="UER103" s="13">
        <v>0.1</v>
      </c>
      <c r="UES103" s="13">
        <v>0.1</v>
      </c>
      <c r="UET103" s="13">
        <v>0.1</v>
      </c>
      <c r="UEU103" s="13">
        <v>0.1</v>
      </c>
      <c r="UEV103" s="13">
        <v>0.1</v>
      </c>
      <c r="UEW103" s="13">
        <v>0.1</v>
      </c>
      <c r="UEX103" s="13">
        <v>0.1</v>
      </c>
      <c r="UEY103" s="13">
        <v>0.1</v>
      </c>
      <c r="UEZ103" s="13">
        <v>0.1</v>
      </c>
      <c r="UFA103" s="13">
        <v>0.1</v>
      </c>
      <c r="UFB103" s="13">
        <v>0.1</v>
      </c>
      <c r="UFC103" s="13">
        <v>0.1</v>
      </c>
      <c r="UFD103" s="13">
        <v>0.1</v>
      </c>
      <c r="UFE103" s="13">
        <v>0.1</v>
      </c>
      <c r="UFF103" s="13">
        <v>0.1</v>
      </c>
      <c r="UFG103" s="13">
        <v>0.1</v>
      </c>
      <c r="UFH103" s="13">
        <v>0.1</v>
      </c>
      <c r="UFI103" s="13">
        <v>0.1</v>
      </c>
      <c r="UFJ103" s="13">
        <v>0.1</v>
      </c>
      <c r="UFK103" s="13">
        <v>0.1</v>
      </c>
      <c r="UFL103" s="13">
        <v>0.1</v>
      </c>
      <c r="UFM103" s="13">
        <v>0.1</v>
      </c>
      <c r="UFN103" s="13">
        <v>0.1</v>
      </c>
      <c r="UFO103" s="13">
        <v>0.1</v>
      </c>
      <c r="UFP103" s="13">
        <v>0.1</v>
      </c>
      <c r="UFQ103" s="13">
        <v>0.1</v>
      </c>
      <c r="UFR103" s="13">
        <v>0.1</v>
      </c>
      <c r="UFS103" s="13">
        <v>0.1</v>
      </c>
      <c r="UFT103" s="13">
        <v>0.1</v>
      </c>
      <c r="UFU103" s="13">
        <v>0.1</v>
      </c>
      <c r="UFV103" s="13">
        <v>0.1</v>
      </c>
      <c r="UFW103" s="13">
        <v>0.1</v>
      </c>
      <c r="UFX103" s="13">
        <v>0.1</v>
      </c>
      <c r="UFY103" s="13">
        <v>0.1</v>
      </c>
      <c r="UFZ103" s="13">
        <v>0.1</v>
      </c>
      <c r="UGA103" s="13">
        <v>0.1</v>
      </c>
      <c r="UGB103" s="13">
        <v>0.1</v>
      </c>
      <c r="UGC103" s="13">
        <v>0.1</v>
      </c>
      <c r="UGD103" s="13">
        <v>0.1</v>
      </c>
      <c r="UGE103" s="13">
        <v>0.1</v>
      </c>
      <c r="UGF103" s="13">
        <v>0.1</v>
      </c>
      <c r="UGG103" s="13">
        <v>0.1</v>
      </c>
      <c r="UGH103" s="13">
        <v>0.1</v>
      </c>
      <c r="UGI103" s="13">
        <v>0.1</v>
      </c>
      <c r="UGJ103" s="13">
        <v>0.1</v>
      </c>
      <c r="UGK103" s="13">
        <v>0.1</v>
      </c>
      <c r="UGL103" s="13">
        <v>0.1</v>
      </c>
      <c r="UGM103" s="13">
        <v>0.1</v>
      </c>
      <c r="UGN103" s="13">
        <v>0.1</v>
      </c>
      <c r="UGO103" s="13">
        <v>0.1</v>
      </c>
      <c r="UGP103" s="13">
        <v>0.1</v>
      </c>
      <c r="UGQ103" s="13">
        <v>0.1</v>
      </c>
      <c r="UGR103" s="13">
        <v>0.1</v>
      </c>
      <c r="UGS103" s="13">
        <v>0.1</v>
      </c>
      <c r="UGT103" s="13">
        <v>0.1</v>
      </c>
      <c r="UGU103" s="13">
        <v>0.1</v>
      </c>
      <c r="UGV103" s="13">
        <v>0.1</v>
      </c>
      <c r="UGW103" s="13">
        <v>0.1</v>
      </c>
      <c r="UGX103" s="13">
        <v>0.1</v>
      </c>
      <c r="UGY103" s="13">
        <v>0.1</v>
      </c>
      <c r="UGZ103" s="13">
        <v>0.1</v>
      </c>
      <c r="UHA103" s="13">
        <v>0.1</v>
      </c>
      <c r="UHB103" s="13">
        <v>0.1</v>
      </c>
      <c r="UHC103" s="13">
        <v>0.1</v>
      </c>
      <c r="UHD103" s="13">
        <v>0.1</v>
      </c>
      <c r="UHE103" s="13">
        <v>0.1</v>
      </c>
      <c r="UHF103" s="13">
        <v>0.1</v>
      </c>
      <c r="UHG103" s="13">
        <v>0.1</v>
      </c>
      <c r="UHH103" s="13">
        <v>0.1</v>
      </c>
      <c r="UHI103" s="13">
        <v>0.1</v>
      </c>
      <c r="UHJ103" s="13">
        <v>0.1</v>
      </c>
      <c r="UHK103" s="13">
        <v>0.1</v>
      </c>
      <c r="UHL103" s="13">
        <v>0.1</v>
      </c>
      <c r="UHM103" s="13">
        <v>0.1</v>
      </c>
      <c r="UHN103" s="13">
        <v>0.1</v>
      </c>
      <c r="UHO103" s="13">
        <v>0.1</v>
      </c>
      <c r="UHP103" s="13">
        <v>0.1</v>
      </c>
      <c r="UHQ103" s="13">
        <v>0.1</v>
      </c>
      <c r="UHR103" s="13">
        <v>0.1</v>
      </c>
      <c r="UHS103" s="13">
        <v>0.1</v>
      </c>
      <c r="UHT103" s="13">
        <v>0.1</v>
      </c>
      <c r="UHU103" s="13">
        <v>0.1</v>
      </c>
      <c r="UHV103" s="13">
        <v>0.1</v>
      </c>
      <c r="UHW103" s="13">
        <v>0.1</v>
      </c>
      <c r="UHX103" s="13">
        <v>0.1</v>
      </c>
      <c r="UHY103" s="13">
        <v>0.1</v>
      </c>
      <c r="UHZ103" s="13">
        <v>0.1</v>
      </c>
      <c r="UIA103" s="13">
        <v>0.1</v>
      </c>
      <c r="UIB103" s="13">
        <v>0.1</v>
      </c>
      <c r="UIC103" s="13">
        <v>0.1</v>
      </c>
      <c r="UID103" s="13">
        <v>0.1</v>
      </c>
      <c r="UIE103" s="13">
        <v>0.1</v>
      </c>
      <c r="UIF103" s="13">
        <v>0.1</v>
      </c>
      <c r="UIG103" s="13">
        <v>0.1</v>
      </c>
      <c r="UIH103" s="13">
        <v>0.1</v>
      </c>
      <c r="UII103" s="13">
        <v>0.1</v>
      </c>
      <c r="UIJ103" s="13">
        <v>0.1</v>
      </c>
      <c r="UIK103" s="13">
        <v>0.1</v>
      </c>
      <c r="UIL103" s="13">
        <v>0.1</v>
      </c>
      <c r="UIM103" s="13">
        <v>0.1</v>
      </c>
      <c r="UIN103" s="13">
        <v>0.1</v>
      </c>
      <c r="UIO103" s="13">
        <v>0.1</v>
      </c>
      <c r="UIP103" s="13">
        <v>0.1</v>
      </c>
      <c r="UIQ103" s="13">
        <v>0.1</v>
      </c>
      <c r="UIR103" s="13">
        <v>0.1</v>
      </c>
      <c r="UIS103" s="13">
        <v>0.1</v>
      </c>
      <c r="UIT103" s="13">
        <v>0.1</v>
      </c>
      <c r="UIU103" s="13">
        <v>0.1</v>
      </c>
      <c r="UIV103" s="13">
        <v>0.1</v>
      </c>
      <c r="UIW103" s="13">
        <v>0.1</v>
      </c>
      <c r="UIX103" s="13">
        <v>0.1</v>
      </c>
      <c r="UIY103" s="13">
        <v>0.1</v>
      </c>
      <c r="UIZ103" s="13">
        <v>0.1</v>
      </c>
      <c r="UJA103" s="13">
        <v>0.1</v>
      </c>
      <c r="UJB103" s="13">
        <v>0.1</v>
      </c>
      <c r="UJC103" s="13">
        <v>0.1</v>
      </c>
      <c r="UJD103" s="13">
        <v>0.1</v>
      </c>
      <c r="UJE103" s="13">
        <v>0.1</v>
      </c>
      <c r="UJF103" s="13">
        <v>0.1</v>
      </c>
      <c r="UJG103" s="13">
        <v>0.1</v>
      </c>
      <c r="UJH103" s="13">
        <v>0.1</v>
      </c>
      <c r="UJI103" s="13">
        <v>0.1</v>
      </c>
      <c r="UJJ103" s="13">
        <v>0.1</v>
      </c>
      <c r="UJK103" s="13">
        <v>0.1</v>
      </c>
      <c r="UJL103" s="13">
        <v>0.1</v>
      </c>
      <c r="UJM103" s="13">
        <v>0.1</v>
      </c>
      <c r="UJN103" s="13">
        <v>0.1</v>
      </c>
      <c r="UJO103" s="13">
        <v>0.1</v>
      </c>
      <c r="UJP103" s="13">
        <v>0.1</v>
      </c>
      <c r="UJQ103" s="13">
        <v>0.1</v>
      </c>
      <c r="UJR103" s="13">
        <v>0.1</v>
      </c>
      <c r="UJS103" s="13">
        <v>0.1</v>
      </c>
      <c r="UJT103" s="13">
        <v>0.1</v>
      </c>
      <c r="UJU103" s="13">
        <v>0.1</v>
      </c>
      <c r="UJV103" s="13">
        <v>0.1</v>
      </c>
      <c r="UJW103" s="13">
        <v>0.1</v>
      </c>
      <c r="UJX103" s="13">
        <v>0.1</v>
      </c>
      <c r="UJY103" s="13">
        <v>0.1</v>
      </c>
      <c r="UJZ103" s="13">
        <v>0.1</v>
      </c>
      <c r="UKA103" s="13">
        <v>0.1</v>
      </c>
      <c r="UKB103" s="13">
        <v>0.1</v>
      </c>
      <c r="UKC103" s="13">
        <v>0.1</v>
      </c>
      <c r="UKD103" s="13">
        <v>0.1</v>
      </c>
      <c r="UKE103" s="13">
        <v>0.1</v>
      </c>
      <c r="UKF103" s="13">
        <v>0.1</v>
      </c>
      <c r="UKG103" s="13">
        <v>0.1</v>
      </c>
      <c r="UKH103" s="13">
        <v>0.1</v>
      </c>
      <c r="UKI103" s="13">
        <v>0.1</v>
      </c>
      <c r="UKJ103" s="13">
        <v>0.1</v>
      </c>
      <c r="UKK103" s="13">
        <v>0.1</v>
      </c>
      <c r="UKL103" s="13">
        <v>0.1</v>
      </c>
      <c r="UKM103" s="13">
        <v>0.1</v>
      </c>
      <c r="UKN103" s="13">
        <v>0.1</v>
      </c>
      <c r="UKO103" s="13">
        <v>0.1</v>
      </c>
      <c r="UKP103" s="13">
        <v>0.1</v>
      </c>
      <c r="UKQ103" s="13">
        <v>0.1</v>
      </c>
      <c r="UKR103" s="13">
        <v>0.1</v>
      </c>
      <c r="UKS103" s="13">
        <v>0.1</v>
      </c>
      <c r="UKT103" s="13">
        <v>0.1</v>
      </c>
      <c r="UKU103" s="13">
        <v>0.1</v>
      </c>
      <c r="UKV103" s="13">
        <v>0.1</v>
      </c>
      <c r="UKW103" s="13">
        <v>0.1</v>
      </c>
      <c r="UKX103" s="13">
        <v>0.1</v>
      </c>
      <c r="UKY103" s="13">
        <v>0.1</v>
      </c>
      <c r="UKZ103" s="13">
        <v>0.1</v>
      </c>
      <c r="ULA103" s="13">
        <v>0.1</v>
      </c>
      <c r="ULB103" s="13">
        <v>0.1</v>
      </c>
      <c r="ULC103" s="13">
        <v>0.1</v>
      </c>
      <c r="ULD103" s="13">
        <v>0.1</v>
      </c>
      <c r="ULE103" s="13">
        <v>0.1</v>
      </c>
      <c r="ULF103" s="13">
        <v>0.1</v>
      </c>
      <c r="ULG103" s="13">
        <v>0.1</v>
      </c>
      <c r="ULH103" s="13">
        <v>0.1</v>
      </c>
      <c r="ULI103" s="13">
        <v>0.1</v>
      </c>
      <c r="ULJ103" s="13">
        <v>0.1</v>
      </c>
      <c r="ULK103" s="13">
        <v>0.1</v>
      </c>
      <c r="ULL103" s="13">
        <v>0.1</v>
      </c>
      <c r="ULM103" s="13">
        <v>0.1</v>
      </c>
      <c r="ULN103" s="13">
        <v>0.1</v>
      </c>
      <c r="ULO103" s="13">
        <v>0.1</v>
      </c>
      <c r="ULP103" s="13">
        <v>0.1</v>
      </c>
      <c r="ULQ103" s="13">
        <v>0.1</v>
      </c>
      <c r="ULR103" s="13">
        <v>0.1</v>
      </c>
      <c r="ULS103" s="13">
        <v>0.1</v>
      </c>
      <c r="ULT103" s="13">
        <v>0.1</v>
      </c>
      <c r="ULU103" s="13">
        <v>0.1</v>
      </c>
      <c r="ULV103" s="13">
        <v>0.1</v>
      </c>
      <c r="ULW103" s="13">
        <v>0.1</v>
      </c>
      <c r="ULX103" s="13">
        <v>0.1</v>
      </c>
      <c r="ULY103" s="13">
        <v>0.1</v>
      </c>
      <c r="ULZ103" s="13">
        <v>0.1</v>
      </c>
      <c r="UMA103" s="13">
        <v>0.1</v>
      </c>
      <c r="UMB103" s="13">
        <v>0.1</v>
      </c>
      <c r="UMC103" s="13">
        <v>0.1</v>
      </c>
      <c r="UMD103" s="13">
        <v>0.1</v>
      </c>
      <c r="UME103" s="13">
        <v>0.1</v>
      </c>
      <c r="UMF103" s="13">
        <v>0.1</v>
      </c>
      <c r="UMG103" s="13">
        <v>0.1</v>
      </c>
      <c r="UMH103" s="13">
        <v>0.1</v>
      </c>
      <c r="UMI103" s="13">
        <v>0.1</v>
      </c>
      <c r="UMJ103" s="13">
        <v>0.1</v>
      </c>
      <c r="UMK103" s="13">
        <v>0.1</v>
      </c>
      <c r="UML103" s="13">
        <v>0.1</v>
      </c>
      <c r="UMM103" s="13">
        <v>0.1</v>
      </c>
      <c r="UMN103" s="13">
        <v>0.1</v>
      </c>
      <c r="UMO103" s="13">
        <v>0.1</v>
      </c>
      <c r="UMP103" s="13">
        <v>0.1</v>
      </c>
      <c r="UMQ103" s="13">
        <v>0.1</v>
      </c>
      <c r="UMR103" s="13">
        <v>0.1</v>
      </c>
      <c r="UMS103" s="13">
        <v>0.1</v>
      </c>
      <c r="UMT103" s="13">
        <v>0.1</v>
      </c>
      <c r="UMU103" s="13">
        <v>0.1</v>
      </c>
      <c r="UMV103" s="13">
        <v>0.1</v>
      </c>
      <c r="UMW103" s="13">
        <v>0.1</v>
      </c>
      <c r="UMX103" s="13">
        <v>0.1</v>
      </c>
      <c r="UMY103" s="13">
        <v>0.1</v>
      </c>
      <c r="UMZ103" s="13">
        <v>0.1</v>
      </c>
      <c r="UNA103" s="13">
        <v>0.1</v>
      </c>
      <c r="UNB103" s="13">
        <v>0.1</v>
      </c>
      <c r="UNC103" s="13">
        <v>0.1</v>
      </c>
      <c r="UND103" s="13">
        <v>0.1</v>
      </c>
      <c r="UNE103" s="13">
        <v>0.1</v>
      </c>
      <c r="UNF103" s="13">
        <v>0.1</v>
      </c>
      <c r="UNG103" s="13">
        <v>0.1</v>
      </c>
      <c r="UNH103" s="13">
        <v>0.1</v>
      </c>
      <c r="UNI103" s="13">
        <v>0.1</v>
      </c>
      <c r="UNJ103" s="13">
        <v>0.1</v>
      </c>
      <c r="UNK103" s="13">
        <v>0.1</v>
      </c>
      <c r="UNL103" s="13">
        <v>0.1</v>
      </c>
      <c r="UNM103" s="13">
        <v>0.1</v>
      </c>
      <c r="UNN103" s="13">
        <v>0.1</v>
      </c>
      <c r="UNO103" s="13">
        <v>0.1</v>
      </c>
      <c r="UNP103" s="13">
        <v>0.1</v>
      </c>
      <c r="UNQ103" s="13">
        <v>0.1</v>
      </c>
      <c r="UNR103" s="13">
        <v>0.1</v>
      </c>
      <c r="UNS103" s="13">
        <v>0.1</v>
      </c>
      <c r="UNT103" s="13">
        <v>0.1</v>
      </c>
      <c r="UNU103" s="13">
        <v>0.1</v>
      </c>
      <c r="UNV103" s="13">
        <v>0.1</v>
      </c>
      <c r="UNW103" s="13">
        <v>0.1</v>
      </c>
      <c r="UNX103" s="13">
        <v>0.1</v>
      </c>
      <c r="UNY103" s="13">
        <v>0.1</v>
      </c>
      <c r="UNZ103" s="13">
        <v>0.1</v>
      </c>
      <c r="UOA103" s="13">
        <v>0.1</v>
      </c>
      <c r="UOB103" s="13">
        <v>0.1</v>
      </c>
      <c r="UOC103" s="13">
        <v>0.1</v>
      </c>
      <c r="UOD103" s="13">
        <v>0.1</v>
      </c>
      <c r="UOE103" s="13">
        <v>0.1</v>
      </c>
      <c r="UOF103" s="13">
        <v>0.1</v>
      </c>
      <c r="UOG103" s="13">
        <v>0.1</v>
      </c>
      <c r="UOH103" s="13">
        <v>0.1</v>
      </c>
      <c r="UOI103" s="13">
        <v>0.1</v>
      </c>
      <c r="UOJ103" s="13">
        <v>0.1</v>
      </c>
      <c r="UOK103" s="13">
        <v>0.1</v>
      </c>
      <c r="UOL103" s="13">
        <v>0.1</v>
      </c>
      <c r="UOM103" s="13">
        <v>0.1</v>
      </c>
      <c r="UON103" s="13">
        <v>0.1</v>
      </c>
      <c r="UOO103" s="13">
        <v>0.1</v>
      </c>
      <c r="UOP103" s="13">
        <v>0.1</v>
      </c>
      <c r="UOQ103" s="13">
        <v>0.1</v>
      </c>
      <c r="UOR103" s="13">
        <v>0.1</v>
      </c>
      <c r="UOS103" s="13">
        <v>0.1</v>
      </c>
      <c r="UOT103" s="13">
        <v>0.1</v>
      </c>
      <c r="UOU103" s="13">
        <v>0.1</v>
      </c>
      <c r="UOV103" s="13">
        <v>0.1</v>
      </c>
      <c r="UOW103" s="13">
        <v>0.1</v>
      </c>
      <c r="UOX103" s="13">
        <v>0.1</v>
      </c>
      <c r="UOY103" s="13">
        <v>0.1</v>
      </c>
      <c r="UOZ103" s="13">
        <v>0.1</v>
      </c>
      <c r="UPA103" s="13">
        <v>0.1</v>
      </c>
      <c r="UPB103" s="13">
        <v>0.1</v>
      </c>
      <c r="UPC103" s="13">
        <v>0.1</v>
      </c>
      <c r="UPD103" s="13">
        <v>0.1</v>
      </c>
      <c r="UPE103" s="13">
        <v>0.1</v>
      </c>
      <c r="UPF103" s="13">
        <v>0.1</v>
      </c>
      <c r="UPG103" s="13">
        <v>0.1</v>
      </c>
      <c r="UPH103" s="13">
        <v>0.1</v>
      </c>
      <c r="UPI103" s="13">
        <v>0.1</v>
      </c>
      <c r="UPJ103" s="13">
        <v>0.1</v>
      </c>
      <c r="UPK103" s="13">
        <v>0.1</v>
      </c>
      <c r="UPL103" s="13">
        <v>0.1</v>
      </c>
      <c r="UPM103" s="13">
        <v>0.1</v>
      </c>
      <c r="UPN103" s="13">
        <v>0.1</v>
      </c>
      <c r="UPO103" s="13">
        <v>0.1</v>
      </c>
      <c r="UPP103" s="13">
        <v>0.1</v>
      </c>
      <c r="UPQ103" s="13">
        <v>0.1</v>
      </c>
      <c r="UPR103" s="13">
        <v>0.1</v>
      </c>
      <c r="UPS103" s="13">
        <v>0.1</v>
      </c>
      <c r="UPT103" s="13">
        <v>0.1</v>
      </c>
      <c r="UPU103" s="13">
        <v>0.1</v>
      </c>
      <c r="UPV103" s="13">
        <v>0.1</v>
      </c>
      <c r="UPW103" s="13">
        <v>0.1</v>
      </c>
      <c r="UPX103" s="13">
        <v>0.1</v>
      </c>
      <c r="UPY103" s="13">
        <v>0.1</v>
      </c>
      <c r="UPZ103" s="13">
        <v>0.1</v>
      </c>
      <c r="UQA103" s="13">
        <v>0.1</v>
      </c>
      <c r="UQB103" s="13">
        <v>0.1</v>
      </c>
      <c r="UQC103" s="13">
        <v>0.1</v>
      </c>
      <c r="UQD103" s="13">
        <v>0.1</v>
      </c>
      <c r="UQE103" s="13">
        <v>0.1</v>
      </c>
      <c r="UQF103" s="13">
        <v>0.1</v>
      </c>
      <c r="UQG103" s="13">
        <v>0.1</v>
      </c>
      <c r="UQH103" s="13">
        <v>0.1</v>
      </c>
      <c r="UQI103" s="13">
        <v>0.1</v>
      </c>
      <c r="UQJ103" s="13">
        <v>0.1</v>
      </c>
      <c r="UQK103" s="13">
        <v>0.1</v>
      </c>
      <c r="UQL103" s="13">
        <v>0.1</v>
      </c>
      <c r="UQM103" s="13">
        <v>0.1</v>
      </c>
      <c r="UQN103" s="13">
        <v>0.1</v>
      </c>
      <c r="UQO103" s="13">
        <v>0.1</v>
      </c>
      <c r="UQP103" s="13">
        <v>0.1</v>
      </c>
      <c r="UQQ103" s="13">
        <v>0.1</v>
      </c>
      <c r="UQR103" s="13">
        <v>0.1</v>
      </c>
      <c r="UQS103" s="13">
        <v>0.1</v>
      </c>
      <c r="UQT103" s="13">
        <v>0.1</v>
      </c>
      <c r="UQU103" s="13">
        <v>0.1</v>
      </c>
      <c r="UQV103" s="13">
        <v>0.1</v>
      </c>
      <c r="UQW103" s="13">
        <v>0.1</v>
      </c>
      <c r="UQX103" s="13">
        <v>0.1</v>
      </c>
      <c r="UQY103" s="13">
        <v>0.1</v>
      </c>
      <c r="UQZ103" s="13">
        <v>0.1</v>
      </c>
      <c r="URA103" s="13">
        <v>0.1</v>
      </c>
      <c r="URB103" s="13">
        <v>0.1</v>
      </c>
      <c r="URC103" s="13">
        <v>0.1</v>
      </c>
      <c r="URD103" s="13">
        <v>0.1</v>
      </c>
      <c r="URE103" s="13">
        <v>0.1</v>
      </c>
      <c r="URF103" s="13">
        <v>0.1</v>
      </c>
      <c r="URG103" s="13">
        <v>0.1</v>
      </c>
      <c r="URH103" s="13">
        <v>0.1</v>
      </c>
      <c r="URI103" s="13">
        <v>0.1</v>
      </c>
      <c r="URJ103" s="13">
        <v>0.1</v>
      </c>
      <c r="URK103" s="13">
        <v>0.1</v>
      </c>
      <c r="URL103" s="13">
        <v>0.1</v>
      </c>
      <c r="URM103" s="13">
        <v>0.1</v>
      </c>
      <c r="URN103" s="13">
        <v>0.1</v>
      </c>
      <c r="URO103" s="13">
        <v>0.1</v>
      </c>
      <c r="URP103" s="13">
        <v>0.1</v>
      </c>
      <c r="URQ103" s="13">
        <v>0.1</v>
      </c>
      <c r="URR103" s="13">
        <v>0.1</v>
      </c>
      <c r="URS103" s="13">
        <v>0.1</v>
      </c>
      <c r="URT103" s="13">
        <v>0.1</v>
      </c>
      <c r="URU103" s="13">
        <v>0.1</v>
      </c>
      <c r="URV103" s="13">
        <v>0.1</v>
      </c>
      <c r="URW103" s="13">
        <v>0.1</v>
      </c>
      <c r="URX103" s="13">
        <v>0.1</v>
      </c>
      <c r="URY103" s="13">
        <v>0.1</v>
      </c>
      <c r="URZ103" s="13">
        <v>0.1</v>
      </c>
      <c r="USA103" s="13">
        <v>0.1</v>
      </c>
      <c r="USB103" s="13">
        <v>0.1</v>
      </c>
      <c r="USC103" s="13">
        <v>0.1</v>
      </c>
      <c r="USD103" s="13">
        <v>0.1</v>
      </c>
      <c r="USE103" s="13">
        <v>0.1</v>
      </c>
      <c r="USF103" s="13">
        <v>0.1</v>
      </c>
      <c r="USG103" s="13">
        <v>0.1</v>
      </c>
      <c r="USH103" s="13">
        <v>0.1</v>
      </c>
      <c r="USI103" s="13">
        <v>0.1</v>
      </c>
      <c r="USJ103" s="13">
        <v>0.1</v>
      </c>
      <c r="USK103" s="13">
        <v>0.1</v>
      </c>
      <c r="USL103" s="13">
        <v>0.1</v>
      </c>
      <c r="USM103" s="13">
        <v>0.1</v>
      </c>
      <c r="USN103" s="13">
        <v>0.1</v>
      </c>
      <c r="USO103" s="13">
        <v>0.1</v>
      </c>
      <c r="USP103" s="13">
        <v>0.1</v>
      </c>
      <c r="USQ103" s="13">
        <v>0.1</v>
      </c>
      <c r="USR103" s="13">
        <v>0.1</v>
      </c>
      <c r="USS103" s="13">
        <v>0.1</v>
      </c>
      <c r="UST103" s="13">
        <v>0.1</v>
      </c>
      <c r="USU103" s="13">
        <v>0.1</v>
      </c>
      <c r="USV103" s="13">
        <v>0.1</v>
      </c>
      <c r="USW103" s="13">
        <v>0.1</v>
      </c>
      <c r="USX103" s="13">
        <v>0.1</v>
      </c>
      <c r="USY103" s="13">
        <v>0.1</v>
      </c>
      <c r="USZ103" s="13">
        <v>0.1</v>
      </c>
      <c r="UTA103" s="13">
        <v>0.1</v>
      </c>
      <c r="UTB103" s="13">
        <v>0.1</v>
      </c>
      <c r="UTC103" s="13">
        <v>0.1</v>
      </c>
      <c r="UTD103" s="13">
        <v>0.1</v>
      </c>
      <c r="UTE103" s="13">
        <v>0.1</v>
      </c>
      <c r="UTF103" s="13">
        <v>0.1</v>
      </c>
      <c r="UTG103" s="13">
        <v>0.1</v>
      </c>
      <c r="UTH103" s="13">
        <v>0.1</v>
      </c>
      <c r="UTI103" s="13">
        <v>0.1</v>
      </c>
      <c r="UTJ103" s="13">
        <v>0.1</v>
      </c>
      <c r="UTK103" s="13">
        <v>0.1</v>
      </c>
      <c r="UTL103" s="13">
        <v>0.1</v>
      </c>
      <c r="UTM103" s="13">
        <v>0.1</v>
      </c>
      <c r="UTN103" s="13">
        <v>0.1</v>
      </c>
      <c r="UTO103" s="13">
        <v>0.1</v>
      </c>
      <c r="UTP103" s="13">
        <v>0.1</v>
      </c>
      <c r="UTQ103" s="13">
        <v>0.1</v>
      </c>
      <c r="UTR103" s="13">
        <v>0.1</v>
      </c>
      <c r="UTS103" s="13">
        <v>0.1</v>
      </c>
      <c r="UTT103" s="13">
        <v>0.1</v>
      </c>
      <c r="UTU103" s="13">
        <v>0.1</v>
      </c>
      <c r="UTV103" s="13">
        <v>0.1</v>
      </c>
      <c r="UTW103" s="13">
        <v>0.1</v>
      </c>
      <c r="UTX103" s="13">
        <v>0.1</v>
      </c>
      <c r="UTY103" s="13">
        <v>0.1</v>
      </c>
      <c r="UTZ103" s="13">
        <v>0.1</v>
      </c>
      <c r="UUA103" s="13">
        <v>0.1</v>
      </c>
      <c r="UUB103" s="13">
        <v>0.1</v>
      </c>
      <c r="UUC103" s="13">
        <v>0.1</v>
      </c>
      <c r="UUD103" s="13">
        <v>0.1</v>
      </c>
      <c r="UUE103" s="13">
        <v>0.1</v>
      </c>
      <c r="UUF103" s="13">
        <v>0.1</v>
      </c>
      <c r="UUG103" s="13">
        <v>0.1</v>
      </c>
      <c r="UUH103" s="13">
        <v>0.1</v>
      </c>
      <c r="UUI103" s="13">
        <v>0.1</v>
      </c>
      <c r="UUJ103" s="13">
        <v>0.1</v>
      </c>
      <c r="UUK103" s="13">
        <v>0.1</v>
      </c>
      <c r="UUL103" s="13">
        <v>0.1</v>
      </c>
      <c r="UUM103" s="13">
        <v>0.1</v>
      </c>
      <c r="UUN103" s="13">
        <v>0.1</v>
      </c>
      <c r="UUO103" s="13">
        <v>0.1</v>
      </c>
      <c r="UUP103" s="13">
        <v>0.1</v>
      </c>
      <c r="UUQ103" s="13">
        <v>0.1</v>
      </c>
      <c r="UUR103" s="13">
        <v>0.1</v>
      </c>
      <c r="UUS103" s="13">
        <v>0.1</v>
      </c>
      <c r="UUT103" s="13">
        <v>0.1</v>
      </c>
      <c r="UUU103" s="13">
        <v>0.1</v>
      </c>
      <c r="UUV103" s="13">
        <v>0.1</v>
      </c>
      <c r="UUW103" s="13">
        <v>0.1</v>
      </c>
      <c r="UUX103" s="13">
        <v>0.1</v>
      </c>
      <c r="UUY103" s="13">
        <v>0.1</v>
      </c>
      <c r="UUZ103" s="13">
        <v>0.1</v>
      </c>
      <c r="UVA103" s="13">
        <v>0.1</v>
      </c>
      <c r="UVB103" s="13">
        <v>0.1</v>
      </c>
      <c r="UVC103" s="13">
        <v>0.1</v>
      </c>
      <c r="UVD103" s="13">
        <v>0.1</v>
      </c>
      <c r="UVE103" s="13">
        <v>0.1</v>
      </c>
      <c r="UVF103" s="13">
        <v>0.1</v>
      </c>
      <c r="UVG103" s="13">
        <v>0.1</v>
      </c>
      <c r="UVH103" s="13">
        <v>0.1</v>
      </c>
      <c r="UVI103" s="13">
        <v>0.1</v>
      </c>
      <c r="UVJ103" s="13">
        <v>0.1</v>
      </c>
      <c r="UVK103" s="13">
        <v>0.1</v>
      </c>
      <c r="UVL103" s="13">
        <v>0.1</v>
      </c>
      <c r="UVM103" s="13">
        <v>0.1</v>
      </c>
      <c r="UVN103" s="13">
        <v>0.1</v>
      </c>
      <c r="UVO103" s="13">
        <v>0.1</v>
      </c>
      <c r="UVP103" s="13">
        <v>0.1</v>
      </c>
      <c r="UVQ103" s="13">
        <v>0.1</v>
      </c>
      <c r="UVR103" s="13">
        <v>0.1</v>
      </c>
      <c r="UVS103" s="13">
        <v>0.1</v>
      </c>
      <c r="UVT103" s="13">
        <v>0.1</v>
      </c>
      <c r="UVU103" s="13">
        <v>0.1</v>
      </c>
      <c r="UVV103" s="13">
        <v>0.1</v>
      </c>
      <c r="UVW103" s="13">
        <v>0.1</v>
      </c>
      <c r="UVX103" s="13">
        <v>0.1</v>
      </c>
      <c r="UVY103" s="13">
        <v>0.1</v>
      </c>
      <c r="UVZ103" s="13">
        <v>0.1</v>
      </c>
      <c r="UWA103" s="13">
        <v>0.1</v>
      </c>
      <c r="UWB103" s="13">
        <v>0.1</v>
      </c>
      <c r="UWC103" s="13">
        <v>0.1</v>
      </c>
      <c r="UWD103" s="13">
        <v>0.1</v>
      </c>
      <c r="UWE103" s="13">
        <v>0.1</v>
      </c>
      <c r="UWF103" s="13">
        <v>0.1</v>
      </c>
      <c r="UWG103" s="13">
        <v>0.1</v>
      </c>
      <c r="UWH103" s="13">
        <v>0.1</v>
      </c>
      <c r="UWI103" s="13">
        <v>0.1</v>
      </c>
      <c r="UWJ103" s="13">
        <v>0.1</v>
      </c>
      <c r="UWK103" s="13">
        <v>0.1</v>
      </c>
      <c r="UWL103" s="13">
        <v>0.1</v>
      </c>
      <c r="UWM103" s="13">
        <v>0.1</v>
      </c>
      <c r="UWN103" s="13">
        <v>0.1</v>
      </c>
      <c r="UWO103" s="13">
        <v>0.1</v>
      </c>
      <c r="UWP103" s="13">
        <v>0.1</v>
      </c>
      <c r="UWQ103" s="13">
        <v>0.1</v>
      </c>
      <c r="UWR103" s="13">
        <v>0.1</v>
      </c>
      <c r="UWS103" s="13">
        <v>0.1</v>
      </c>
      <c r="UWT103" s="13">
        <v>0.1</v>
      </c>
      <c r="UWU103" s="13">
        <v>0.1</v>
      </c>
      <c r="UWV103" s="13">
        <v>0.1</v>
      </c>
      <c r="UWW103" s="13">
        <v>0.1</v>
      </c>
      <c r="UWX103" s="13">
        <v>0.1</v>
      </c>
      <c r="UWY103" s="13">
        <v>0.1</v>
      </c>
      <c r="UWZ103" s="13">
        <v>0.1</v>
      </c>
      <c r="UXA103" s="13">
        <v>0.1</v>
      </c>
      <c r="UXB103" s="13">
        <v>0.1</v>
      </c>
      <c r="UXC103" s="13">
        <v>0.1</v>
      </c>
      <c r="UXD103" s="13">
        <v>0.1</v>
      </c>
      <c r="UXE103" s="13">
        <v>0.1</v>
      </c>
      <c r="UXF103" s="13">
        <v>0.1</v>
      </c>
      <c r="UXG103" s="13">
        <v>0.1</v>
      </c>
      <c r="UXH103" s="13">
        <v>0.1</v>
      </c>
      <c r="UXI103" s="13">
        <v>0.1</v>
      </c>
      <c r="UXJ103" s="13">
        <v>0.1</v>
      </c>
      <c r="UXK103" s="13">
        <v>0.1</v>
      </c>
      <c r="UXL103" s="13">
        <v>0.1</v>
      </c>
      <c r="UXM103" s="13">
        <v>0.1</v>
      </c>
      <c r="UXN103" s="13">
        <v>0.1</v>
      </c>
      <c r="UXO103" s="13">
        <v>0.1</v>
      </c>
      <c r="UXP103" s="13">
        <v>0.1</v>
      </c>
      <c r="UXQ103" s="13">
        <v>0.1</v>
      </c>
      <c r="UXR103" s="13">
        <v>0.1</v>
      </c>
      <c r="UXS103" s="13">
        <v>0.1</v>
      </c>
      <c r="UXT103" s="13">
        <v>0.1</v>
      </c>
      <c r="UXU103" s="13">
        <v>0.1</v>
      </c>
      <c r="UXV103" s="13">
        <v>0.1</v>
      </c>
      <c r="UXW103" s="13">
        <v>0.1</v>
      </c>
      <c r="UXX103" s="13">
        <v>0.1</v>
      </c>
      <c r="UXY103" s="13">
        <v>0.1</v>
      </c>
      <c r="UXZ103" s="13">
        <v>0.1</v>
      </c>
      <c r="UYA103" s="13">
        <v>0.1</v>
      </c>
      <c r="UYB103" s="13">
        <v>0.1</v>
      </c>
      <c r="UYC103" s="13">
        <v>0.1</v>
      </c>
      <c r="UYD103" s="13">
        <v>0.1</v>
      </c>
      <c r="UYE103" s="13">
        <v>0.1</v>
      </c>
      <c r="UYF103" s="13">
        <v>0.1</v>
      </c>
      <c r="UYG103" s="13">
        <v>0.1</v>
      </c>
      <c r="UYH103" s="13">
        <v>0.1</v>
      </c>
      <c r="UYI103" s="13">
        <v>0.1</v>
      </c>
      <c r="UYJ103" s="13">
        <v>0.1</v>
      </c>
      <c r="UYK103" s="13">
        <v>0.1</v>
      </c>
      <c r="UYL103" s="13">
        <v>0.1</v>
      </c>
      <c r="UYM103" s="13">
        <v>0.1</v>
      </c>
      <c r="UYN103" s="13">
        <v>0.1</v>
      </c>
      <c r="UYO103" s="13">
        <v>0.1</v>
      </c>
      <c r="UYP103" s="13">
        <v>0.1</v>
      </c>
      <c r="UYQ103" s="13">
        <v>0.1</v>
      </c>
      <c r="UYR103" s="13">
        <v>0.1</v>
      </c>
      <c r="UYS103" s="13">
        <v>0.1</v>
      </c>
      <c r="UYT103" s="13">
        <v>0.1</v>
      </c>
      <c r="UYU103" s="13">
        <v>0.1</v>
      </c>
      <c r="UYV103" s="13">
        <v>0.1</v>
      </c>
      <c r="UYW103" s="13">
        <v>0.1</v>
      </c>
      <c r="UYX103" s="13">
        <v>0.1</v>
      </c>
      <c r="UYY103" s="13">
        <v>0.1</v>
      </c>
      <c r="UYZ103" s="13">
        <v>0.1</v>
      </c>
      <c r="UZA103" s="13">
        <v>0.1</v>
      </c>
      <c r="UZB103" s="13">
        <v>0.1</v>
      </c>
      <c r="UZC103" s="13">
        <v>0.1</v>
      </c>
      <c r="UZD103" s="13">
        <v>0.1</v>
      </c>
      <c r="UZE103" s="13">
        <v>0.1</v>
      </c>
      <c r="UZF103" s="13">
        <v>0.1</v>
      </c>
      <c r="UZG103" s="13">
        <v>0.1</v>
      </c>
      <c r="UZH103" s="13">
        <v>0.1</v>
      </c>
      <c r="UZI103" s="13">
        <v>0.1</v>
      </c>
      <c r="UZJ103" s="13">
        <v>0.1</v>
      </c>
      <c r="UZK103" s="13">
        <v>0.1</v>
      </c>
      <c r="UZL103" s="13">
        <v>0.1</v>
      </c>
      <c r="UZM103" s="13">
        <v>0.1</v>
      </c>
      <c r="UZN103" s="13">
        <v>0.1</v>
      </c>
      <c r="UZO103" s="13">
        <v>0.1</v>
      </c>
      <c r="UZP103" s="13">
        <v>0.1</v>
      </c>
      <c r="UZQ103" s="13">
        <v>0.1</v>
      </c>
      <c r="UZR103" s="13">
        <v>0.1</v>
      </c>
      <c r="UZS103" s="13">
        <v>0.1</v>
      </c>
      <c r="UZT103" s="13">
        <v>0.1</v>
      </c>
      <c r="UZU103" s="13">
        <v>0.1</v>
      </c>
      <c r="UZV103" s="13">
        <v>0.1</v>
      </c>
      <c r="UZW103" s="13">
        <v>0.1</v>
      </c>
      <c r="UZX103" s="13">
        <v>0.1</v>
      </c>
      <c r="UZY103" s="13">
        <v>0.1</v>
      </c>
      <c r="UZZ103" s="13">
        <v>0.1</v>
      </c>
      <c r="VAA103" s="13">
        <v>0.1</v>
      </c>
      <c r="VAB103" s="13">
        <v>0.1</v>
      </c>
      <c r="VAC103" s="13">
        <v>0.1</v>
      </c>
      <c r="VAD103" s="13">
        <v>0.1</v>
      </c>
      <c r="VAE103" s="13">
        <v>0.1</v>
      </c>
      <c r="VAF103" s="13">
        <v>0.1</v>
      </c>
      <c r="VAG103" s="13">
        <v>0.1</v>
      </c>
      <c r="VAH103" s="13">
        <v>0.1</v>
      </c>
      <c r="VAI103" s="13">
        <v>0.1</v>
      </c>
      <c r="VAJ103" s="13">
        <v>0.1</v>
      </c>
      <c r="VAK103" s="13">
        <v>0.1</v>
      </c>
      <c r="VAL103" s="13">
        <v>0.1</v>
      </c>
      <c r="VAM103" s="13">
        <v>0.1</v>
      </c>
      <c r="VAN103" s="13">
        <v>0.1</v>
      </c>
      <c r="VAO103" s="13">
        <v>0.1</v>
      </c>
      <c r="VAP103" s="13">
        <v>0.1</v>
      </c>
      <c r="VAQ103" s="13">
        <v>0.1</v>
      </c>
      <c r="VAR103" s="13">
        <v>0.1</v>
      </c>
      <c r="VAS103" s="13">
        <v>0.1</v>
      </c>
      <c r="VAT103" s="13">
        <v>0.1</v>
      </c>
      <c r="VAU103" s="13">
        <v>0.1</v>
      </c>
      <c r="VAV103" s="13">
        <v>0.1</v>
      </c>
      <c r="VAW103" s="13">
        <v>0.1</v>
      </c>
      <c r="VAX103" s="13">
        <v>0.1</v>
      </c>
      <c r="VAY103" s="13">
        <v>0.1</v>
      </c>
      <c r="VAZ103" s="13">
        <v>0.1</v>
      </c>
      <c r="VBA103" s="13">
        <v>0.1</v>
      </c>
      <c r="VBB103" s="13">
        <v>0.1</v>
      </c>
      <c r="VBC103" s="13">
        <v>0.1</v>
      </c>
      <c r="VBD103" s="13">
        <v>0.1</v>
      </c>
      <c r="VBE103" s="13">
        <v>0.1</v>
      </c>
      <c r="VBF103" s="13">
        <v>0.1</v>
      </c>
      <c r="VBG103" s="13">
        <v>0.1</v>
      </c>
      <c r="VBH103" s="13">
        <v>0.1</v>
      </c>
      <c r="VBI103" s="13">
        <v>0.1</v>
      </c>
      <c r="VBJ103" s="13">
        <v>0.1</v>
      </c>
      <c r="VBK103" s="13">
        <v>0.1</v>
      </c>
      <c r="VBL103" s="13">
        <v>0.1</v>
      </c>
      <c r="VBM103" s="13">
        <v>0.1</v>
      </c>
      <c r="VBN103" s="13">
        <v>0.1</v>
      </c>
      <c r="VBO103" s="13">
        <v>0.1</v>
      </c>
      <c r="VBP103" s="13">
        <v>0.1</v>
      </c>
      <c r="VBQ103" s="13">
        <v>0.1</v>
      </c>
      <c r="VBR103" s="13">
        <v>0.1</v>
      </c>
      <c r="VBS103" s="13">
        <v>0.1</v>
      </c>
      <c r="VBT103" s="13">
        <v>0.1</v>
      </c>
      <c r="VBU103" s="13">
        <v>0.1</v>
      </c>
      <c r="VBV103" s="13">
        <v>0.1</v>
      </c>
      <c r="VBW103" s="13">
        <v>0.1</v>
      </c>
      <c r="VBX103" s="13">
        <v>0.1</v>
      </c>
      <c r="VBY103" s="13">
        <v>0.1</v>
      </c>
      <c r="VBZ103" s="13">
        <v>0.1</v>
      </c>
      <c r="VCA103" s="13">
        <v>0.1</v>
      </c>
      <c r="VCB103" s="13">
        <v>0.1</v>
      </c>
      <c r="VCC103" s="13">
        <v>0.1</v>
      </c>
      <c r="VCD103" s="13">
        <v>0.1</v>
      </c>
      <c r="VCE103" s="13">
        <v>0.1</v>
      </c>
      <c r="VCF103" s="13">
        <v>0.1</v>
      </c>
      <c r="VCG103" s="13">
        <v>0.1</v>
      </c>
      <c r="VCH103" s="13">
        <v>0.1</v>
      </c>
      <c r="VCI103" s="13">
        <v>0.1</v>
      </c>
      <c r="VCJ103" s="13">
        <v>0.1</v>
      </c>
      <c r="VCK103" s="13">
        <v>0.1</v>
      </c>
      <c r="VCL103" s="13">
        <v>0.1</v>
      </c>
      <c r="VCM103" s="13">
        <v>0.1</v>
      </c>
      <c r="VCN103" s="13">
        <v>0.1</v>
      </c>
      <c r="VCO103" s="13">
        <v>0.1</v>
      </c>
      <c r="VCP103" s="13">
        <v>0.1</v>
      </c>
      <c r="VCQ103" s="13">
        <v>0.1</v>
      </c>
      <c r="VCR103" s="13">
        <v>0.1</v>
      </c>
      <c r="VCS103" s="13">
        <v>0.1</v>
      </c>
      <c r="VCT103" s="13">
        <v>0.1</v>
      </c>
      <c r="VCU103" s="13">
        <v>0.1</v>
      </c>
      <c r="VCV103" s="13">
        <v>0.1</v>
      </c>
      <c r="VCW103" s="13">
        <v>0.1</v>
      </c>
      <c r="VCX103" s="13">
        <v>0.1</v>
      </c>
      <c r="VCY103" s="13">
        <v>0.1</v>
      </c>
      <c r="VCZ103" s="13">
        <v>0.1</v>
      </c>
      <c r="VDA103" s="13">
        <v>0.1</v>
      </c>
      <c r="VDB103" s="13">
        <v>0.1</v>
      </c>
      <c r="VDC103" s="13">
        <v>0.1</v>
      </c>
      <c r="VDD103" s="13">
        <v>0.1</v>
      </c>
      <c r="VDE103" s="13">
        <v>0.1</v>
      </c>
      <c r="VDF103" s="13">
        <v>0.1</v>
      </c>
      <c r="VDG103" s="13">
        <v>0.1</v>
      </c>
      <c r="VDH103" s="13">
        <v>0.1</v>
      </c>
      <c r="VDI103" s="13">
        <v>0.1</v>
      </c>
      <c r="VDJ103" s="13">
        <v>0.1</v>
      </c>
      <c r="VDK103" s="13">
        <v>0.1</v>
      </c>
      <c r="VDL103" s="13">
        <v>0.1</v>
      </c>
      <c r="VDM103" s="13">
        <v>0.1</v>
      </c>
      <c r="VDN103" s="13">
        <v>0.1</v>
      </c>
      <c r="VDO103" s="13">
        <v>0.1</v>
      </c>
      <c r="VDP103" s="13">
        <v>0.1</v>
      </c>
      <c r="VDQ103" s="13">
        <v>0.1</v>
      </c>
      <c r="VDR103" s="13">
        <v>0.1</v>
      </c>
      <c r="VDS103" s="13">
        <v>0.1</v>
      </c>
      <c r="VDT103" s="13">
        <v>0.1</v>
      </c>
      <c r="VDU103" s="13">
        <v>0.1</v>
      </c>
      <c r="VDV103" s="13">
        <v>0.1</v>
      </c>
      <c r="VDW103" s="13">
        <v>0.1</v>
      </c>
      <c r="VDX103" s="13">
        <v>0.1</v>
      </c>
      <c r="VDY103" s="13">
        <v>0.1</v>
      </c>
      <c r="VDZ103" s="13">
        <v>0.1</v>
      </c>
      <c r="VEA103" s="13">
        <v>0.1</v>
      </c>
      <c r="VEB103" s="13">
        <v>0.1</v>
      </c>
      <c r="VEC103" s="13">
        <v>0.1</v>
      </c>
      <c r="VED103" s="13">
        <v>0.1</v>
      </c>
      <c r="VEE103" s="13">
        <v>0.1</v>
      </c>
      <c r="VEF103" s="13">
        <v>0.1</v>
      </c>
      <c r="VEG103" s="13">
        <v>0.1</v>
      </c>
      <c r="VEH103" s="13">
        <v>0.1</v>
      </c>
      <c r="VEI103" s="13">
        <v>0.1</v>
      </c>
      <c r="VEJ103" s="13">
        <v>0.1</v>
      </c>
      <c r="VEK103" s="13">
        <v>0.1</v>
      </c>
      <c r="VEL103" s="13">
        <v>0.1</v>
      </c>
      <c r="VEM103" s="13">
        <v>0.1</v>
      </c>
      <c r="VEN103" s="13">
        <v>0.1</v>
      </c>
      <c r="VEO103" s="13">
        <v>0.1</v>
      </c>
      <c r="VEP103" s="13">
        <v>0.1</v>
      </c>
      <c r="VEQ103" s="13">
        <v>0.1</v>
      </c>
      <c r="VER103" s="13">
        <v>0.1</v>
      </c>
      <c r="VES103" s="13">
        <v>0.1</v>
      </c>
      <c r="VET103" s="13">
        <v>0.1</v>
      </c>
      <c r="VEU103" s="13">
        <v>0.1</v>
      </c>
      <c r="VEV103" s="13">
        <v>0.1</v>
      </c>
      <c r="VEW103" s="13">
        <v>0.1</v>
      </c>
      <c r="VEX103" s="13">
        <v>0.1</v>
      </c>
      <c r="VEY103" s="13">
        <v>0.1</v>
      </c>
      <c r="VEZ103" s="13">
        <v>0.1</v>
      </c>
      <c r="VFA103" s="13">
        <v>0.1</v>
      </c>
      <c r="VFB103" s="13">
        <v>0.1</v>
      </c>
      <c r="VFC103" s="13">
        <v>0.1</v>
      </c>
      <c r="VFD103" s="13">
        <v>0.1</v>
      </c>
      <c r="VFE103" s="13">
        <v>0.1</v>
      </c>
      <c r="VFF103" s="13">
        <v>0.1</v>
      </c>
      <c r="VFG103" s="13">
        <v>0.1</v>
      </c>
      <c r="VFH103" s="13">
        <v>0.1</v>
      </c>
      <c r="VFI103" s="13">
        <v>0.1</v>
      </c>
      <c r="VFJ103" s="13">
        <v>0.1</v>
      </c>
      <c r="VFK103" s="13">
        <v>0.1</v>
      </c>
      <c r="VFL103" s="13">
        <v>0.1</v>
      </c>
      <c r="VFM103" s="13">
        <v>0.1</v>
      </c>
      <c r="VFN103" s="13">
        <v>0.1</v>
      </c>
      <c r="VFO103" s="13">
        <v>0.1</v>
      </c>
      <c r="VFP103" s="13">
        <v>0.1</v>
      </c>
      <c r="VFQ103" s="13">
        <v>0.1</v>
      </c>
      <c r="VFR103" s="13">
        <v>0.1</v>
      </c>
      <c r="VFS103" s="13">
        <v>0.1</v>
      </c>
      <c r="VFT103" s="13">
        <v>0.1</v>
      </c>
      <c r="VFU103" s="13">
        <v>0.1</v>
      </c>
      <c r="VFV103" s="13">
        <v>0.1</v>
      </c>
      <c r="VFW103" s="13">
        <v>0.1</v>
      </c>
      <c r="VFX103" s="13">
        <v>0.1</v>
      </c>
      <c r="VFY103" s="13">
        <v>0.1</v>
      </c>
      <c r="VFZ103" s="13">
        <v>0.1</v>
      </c>
      <c r="VGA103" s="13">
        <v>0.1</v>
      </c>
      <c r="VGB103" s="13">
        <v>0.1</v>
      </c>
      <c r="VGC103" s="13">
        <v>0.1</v>
      </c>
      <c r="VGD103" s="13">
        <v>0.1</v>
      </c>
      <c r="VGE103" s="13">
        <v>0.1</v>
      </c>
      <c r="VGF103" s="13">
        <v>0.1</v>
      </c>
      <c r="VGG103" s="13">
        <v>0.1</v>
      </c>
      <c r="VGH103" s="13">
        <v>0.1</v>
      </c>
      <c r="VGI103" s="13">
        <v>0.1</v>
      </c>
      <c r="VGJ103" s="13">
        <v>0.1</v>
      </c>
      <c r="VGK103" s="13">
        <v>0.1</v>
      </c>
      <c r="VGL103" s="13">
        <v>0.1</v>
      </c>
      <c r="VGM103" s="13">
        <v>0.1</v>
      </c>
      <c r="VGN103" s="13">
        <v>0.1</v>
      </c>
      <c r="VGO103" s="13">
        <v>0.1</v>
      </c>
      <c r="VGP103" s="13">
        <v>0.1</v>
      </c>
      <c r="VGQ103" s="13">
        <v>0.1</v>
      </c>
      <c r="VGR103" s="13">
        <v>0.1</v>
      </c>
      <c r="VGS103" s="13">
        <v>0.1</v>
      </c>
      <c r="VGT103" s="13">
        <v>0.1</v>
      </c>
      <c r="VGU103" s="13">
        <v>0.1</v>
      </c>
      <c r="VGV103" s="13">
        <v>0.1</v>
      </c>
      <c r="VGW103" s="13">
        <v>0.1</v>
      </c>
      <c r="VGX103" s="13">
        <v>0.1</v>
      </c>
      <c r="VGY103" s="13">
        <v>0.1</v>
      </c>
      <c r="VGZ103" s="13">
        <v>0.1</v>
      </c>
      <c r="VHA103" s="13">
        <v>0.1</v>
      </c>
      <c r="VHB103" s="13">
        <v>0.1</v>
      </c>
      <c r="VHC103" s="13">
        <v>0.1</v>
      </c>
      <c r="VHD103" s="13">
        <v>0.1</v>
      </c>
      <c r="VHE103" s="13">
        <v>0.1</v>
      </c>
      <c r="VHF103" s="13">
        <v>0.1</v>
      </c>
      <c r="VHG103" s="13">
        <v>0.1</v>
      </c>
      <c r="VHH103" s="13">
        <v>0.1</v>
      </c>
      <c r="VHI103" s="13">
        <v>0.1</v>
      </c>
      <c r="VHJ103" s="13">
        <v>0.1</v>
      </c>
      <c r="VHK103" s="13">
        <v>0.1</v>
      </c>
      <c r="VHL103" s="13">
        <v>0.1</v>
      </c>
      <c r="VHM103" s="13">
        <v>0.1</v>
      </c>
      <c r="VHN103" s="13">
        <v>0.1</v>
      </c>
      <c r="VHO103" s="13">
        <v>0.1</v>
      </c>
      <c r="VHP103" s="13">
        <v>0.1</v>
      </c>
      <c r="VHQ103" s="13">
        <v>0.1</v>
      </c>
      <c r="VHR103" s="13">
        <v>0.1</v>
      </c>
      <c r="VHS103" s="13">
        <v>0.1</v>
      </c>
      <c r="VHT103" s="13">
        <v>0.1</v>
      </c>
      <c r="VHU103" s="13">
        <v>0.1</v>
      </c>
      <c r="VHV103" s="13">
        <v>0.1</v>
      </c>
      <c r="VHW103" s="13">
        <v>0.1</v>
      </c>
      <c r="VHX103" s="13">
        <v>0.1</v>
      </c>
      <c r="VHY103" s="13">
        <v>0.1</v>
      </c>
      <c r="VHZ103" s="13">
        <v>0.1</v>
      </c>
      <c r="VIA103" s="13">
        <v>0.1</v>
      </c>
      <c r="VIB103" s="13">
        <v>0.1</v>
      </c>
      <c r="VIC103" s="13">
        <v>0.1</v>
      </c>
      <c r="VID103" s="13">
        <v>0.1</v>
      </c>
      <c r="VIE103" s="13">
        <v>0.1</v>
      </c>
      <c r="VIF103" s="13">
        <v>0.1</v>
      </c>
      <c r="VIG103" s="13">
        <v>0.1</v>
      </c>
      <c r="VIH103" s="13">
        <v>0.1</v>
      </c>
      <c r="VII103" s="13">
        <v>0.1</v>
      </c>
      <c r="VIJ103" s="13">
        <v>0.1</v>
      </c>
      <c r="VIK103" s="13">
        <v>0.1</v>
      </c>
      <c r="VIL103" s="13">
        <v>0.1</v>
      </c>
      <c r="VIM103" s="13">
        <v>0.1</v>
      </c>
      <c r="VIN103" s="13">
        <v>0.1</v>
      </c>
      <c r="VIO103" s="13">
        <v>0.1</v>
      </c>
      <c r="VIP103" s="13">
        <v>0.1</v>
      </c>
      <c r="VIQ103" s="13">
        <v>0.1</v>
      </c>
      <c r="VIR103" s="13">
        <v>0.1</v>
      </c>
      <c r="VIS103" s="13">
        <v>0.1</v>
      </c>
      <c r="VIT103" s="13">
        <v>0.1</v>
      </c>
      <c r="VIU103" s="13">
        <v>0.1</v>
      </c>
      <c r="VIV103" s="13">
        <v>0.1</v>
      </c>
      <c r="VIW103" s="13">
        <v>0.1</v>
      </c>
      <c r="VIX103" s="13">
        <v>0.1</v>
      </c>
      <c r="VIY103" s="13">
        <v>0.1</v>
      </c>
      <c r="VIZ103" s="13">
        <v>0.1</v>
      </c>
      <c r="VJA103" s="13">
        <v>0.1</v>
      </c>
      <c r="VJB103" s="13">
        <v>0.1</v>
      </c>
      <c r="VJC103" s="13">
        <v>0.1</v>
      </c>
      <c r="VJD103" s="13">
        <v>0.1</v>
      </c>
      <c r="VJE103" s="13">
        <v>0.1</v>
      </c>
      <c r="VJF103" s="13">
        <v>0.1</v>
      </c>
      <c r="VJG103" s="13">
        <v>0.1</v>
      </c>
      <c r="VJH103" s="13">
        <v>0.1</v>
      </c>
      <c r="VJI103" s="13">
        <v>0.1</v>
      </c>
      <c r="VJJ103" s="13">
        <v>0.1</v>
      </c>
      <c r="VJK103" s="13">
        <v>0.1</v>
      </c>
      <c r="VJL103" s="13">
        <v>0.1</v>
      </c>
      <c r="VJM103" s="13">
        <v>0.1</v>
      </c>
      <c r="VJN103" s="13">
        <v>0.1</v>
      </c>
      <c r="VJO103" s="13">
        <v>0.1</v>
      </c>
      <c r="VJP103" s="13">
        <v>0.1</v>
      </c>
      <c r="VJQ103" s="13">
        <v>0.1</v>
      </c>
      <c r="VJR103" s="13">
        <v>0.1</v>
      </c>
      <c r="VJS103" s="13">
        <v>0.1</v>
      </c>
      <c r="VJT103" s="13">
        <v>0.1</v>
      </c>
      <c r="VJU103" s="13">
        <v>0.1</v>
      </c>
      <c r="VJV103" s="13">
        <v>0.1</v>
      </c>
      <c r="VJW103" s="13">
        <v>0.1</v>
      </c>
      <c r="VJX103" s="13">
        <v>0.1</v>
      </c>
      <c r="VJY103" s="13">
        <v>0.1</v>
      </c>
      <c r="VJZ103" s="13">
        <v>0.1</v>
      </c>
      <c r="VKA103" s="13">
        <v>0.1</v>
      </c>
      <c r="VKB103" s="13">
        <v>0.1</v>
      </c>
      <c r="VKC103" s="13">
        <v>0.1</v>
      </c>
      <c r="VKD103" s="13">
        <v>0.1</v>
      </c>
      <c r="VKE103" s="13">
        <v>0.1</v>
      </c>
      <c r="VKF103" s="13">
        <v>0.1</v>
      </c>
      <c r="VKG103" s="13">
        <v>0.1</v>
      </c>
      <c r="VKH103" s="13">
        <v>0.1</v>
      </c>
      <c r="VKI103" s="13">
        <v>0.1</v>
      </c>
      <c r="VKJ103" s="13">
        <v>0.1</v>
      </c>
      <c r="VKK103" s="13">
        <v>0.1</v>
      </c>
      <c r="VKL103" s="13">
        <v>0.1</v>
      </c>
      <c r="VKM103" s="13">
        <v>0.1</v>
      </c>
      <c r="VKN103" s="13">
        <v>0.1</v>
      </c>
      <c r="VKO103" s="13">
        <v>0.1</v>
      </c>
      <c r="VKP103" s="13">
        <v>0.1</v>
      </c>
      <c r="VKQ103" s="13">
        <v>0.1</v>
      </c>
      <c r="VKR103" s="13">
        <v>0.1</v>
      </c>
      <c r="VKS103" s="13">
        <v>0.1</v>
      </c>
      <c r="VKT103" s="13">
        <v>0.1</v>
      </c>
      <c r="VKU103" s="13">
        <v>0.1</v>
      </c>
      <c r="VKV103" s="13">
        <v>0.1</v>
      </c>
      <c r="VKW103" s="13">
        <v>0.1</v>
      </c>
      <c r="VKX103" s="13">
        <v>0.1</v>
      </c>
      <c r="VKY103" s="13">
        <v>0.1</v>
      </c>
      <c r="VKZ103" s="13">
        <v>0.1</v>
      </c>
      <c r="VLA103" s="13">
        <v>0.1</v>
      </c>
      <c r="VLB103" s="13">
        <v>0.1</v>
      </c>
      <c r="VLC103" s="13">
        <v>0.1</v>
      </c>
      <c r="VLD103" s="13">
        <v>0.1</v>
      </c>
      <c r="VLE103" s="13">
        <v>0.1</v>
      </c>
      <c r="VLF103" s="13">
        <v>0.1</v>
      </c>
      <c r="VLG103" s="13">
        <v>0.1</v>
      </c>
      <c r="VLH103" s="13">
        <v>0.1</v>
      </c>
      <c r="VLI103" s="13">
        <v>0.1</v>
      </c>
      <c r="VLJ103" s="13">
        <v>0.1</v>
      </c>
      <c r="VLK103" s="13">
        <v>0.1</v>
      </c>
      <c r="VLL103" s="13">
        <v>0.1</v>
      </c>
      <c r="VLM103" s="13">
        <v>0.1</v>
      </c>
      <c r="VLN103" s="13">
        <v>0.1</v>
      </c>
      <c r="VLO103" s="13">
        <v>0.1</v>
      </c>
      <c r="VLP103" s="13">
        <v>0.1</v>
      </c>
      <c r="VLQ103" s="13">
        <v>0.1</v>
      </c>
      <c r="VLR103" s="13">
        <v>0.1</v>
      </c>
      <c r="VLS103" s="13">
        <v>0.1</v>
      </c>
      <c r="VLT103" s="13">
        <v>0.1</v>
      </c>
      <c r="VLU103" s="13">
        <v>0.1</v>
      </c>
      <c r="VLV103" s="13">
        <v>0.1</v>
      </c>
      <c r="VLW103" s="13">
        <v>0.1</v>
      </c>
      <c r="VLX103" s="13">
        <v>0.1</v>
      </c>
      <c r="VLY103" s="13">
        <v>0.1</v>
      </c>
      <c r="VLZ103" s="13">
        <v>0.1</v>
      </c>
      <c r="VMA103" s="13">
        <v>0.1</v>
      </c>
      <c r="VMB103" s="13">
        <v>0.1</v>
      </c>
      <c r="VMC103" s="13">
        <v>0.1</v>
      </c>
      <c r="VMD103" s="13">
        <v>0.1</v>
      </c>
      <c r="VME103" s="13">
        <v>0.1</v>
      </c>
      <c r="VMF103" s="13">
        <v>0.1</v>
      </c>
      <c r="VMG103" s="13">
        <v>0.1</v>
      </c>
      <c r="VMH103" s="13">
        <v>0.1</v>
      </c>
      <c r="VMI103" s="13">
        <v>0.1</v>
      </c>
      <c r="VMJ103" s="13">
        <v>0.1</v>
      </c>
      <c r="VMK103" s="13">
        <v>0.1</v>
      </c>
      <c r="VML103" s="13">
        <v>0.1</v>
      </c>
      <c r="VMM103" s="13">
        <v>0.1</v>
      </c>
      <c r="VMN103" s="13">
        <v>0.1</v>
      </c>
      <c r="VMO103" s="13">
        <v>0.1</v>
      </c>
      <c r="VMP103" s="13">
        <v>0.1</v>
      </c>
      <c r="VMQ103" s="13">
        <v>0.1</v>
      </c>
      <c r="VMR103" s="13">
        <v>0.1</v>
      </c>
      <c r="VMS103" s="13">
        <v>0.1</v>
      </c>
      <c r="VMT103" s="13">
        <v>0.1</v>
      </c>
      <c r="VMU103" s="13">
        <v>0.1</v>
      </c>
      <c r="VMV103" s="13">
        <v>0.1</v>
      </c>
      <c r="VMW103" s="13">
        <v>0.1</v>
      </c>
      <c r="VMX103" s="13">
        <v>0.1</v>
      </c>
      <c r="VMY103" s="13">
        <v>0.1</v>
      </c>
      <c r="VMZ103" s="13">
        <v>0.1</v>
      </c>
      <c r="VNA103" s="13">
        <v>0.1</v>
      </c>
      <c r="VNB103" s="13">
        <v>0.1</v>
      </c>
      <c r="VNC103" s="13">
        <v>0.1</v>
      </c>
      <c r="VND103" s="13">
        <v>0.1</v>
      </c>
      <c r="VNE103" s="13">
        <v>0.1</v>
      </c>
      <c r="VNF103" s="13">
        <v>0.1</v>
      </c>
      <c r="VNG103" s="13">
        <v>0.1</v>
      </c>
      <c r="VNH103" s="13">
        <v>0.1</v>
      </c>
      <c r="VNI103" s="13">
        <v>0.1</v>
      </c>
      <c r="VNJ103" s="13">
        <v>0.1</v>
      </c>
      <c r="VNK103" s="13">
        <v>0.1</v>
      </c>
      <c r="VNL103" s="13">
        <v>0.1</v>
      </c>
      <c r="VNM103" s="13">
        <v>0.1</v>
      </c>
      <c r="VNN103" s="13">
        <v>0.1</v>
      </c>
      <c r="VNO103" s="13">
        <v>0.1</v>
      </c>
      <c r="VNP103" s="13">
        <v>0.1</v>
      </c>
      <c r="VNQ103" s="13">
        <v>0.1</v>
      </c>
      <c r="VNR103" s="13">
        <v>0.1</v>
      </c>
      <c r="VNS103" s="13">
        <v>0.1</v>
      </c>
      <c r="VNT103" s="13">
        <v>0.1</v>
      </c>
      <c r="VNU103" s="13">
        <v>0.1</v>
      </c>
      <c r="VNV103" s="13">
        <v>0.1</v>
      </c>
      <c r="VNW103" s="13">
        <v>0.1</v>
      </c>
      <c r="VNX103" s="13">
        <v>0.1</v>
      </c>
      <c r="VNY103" s="13">
        <v>0.1</v>
      </c>
      <c r="VNZ103" s="13">
        <v>0.1</v>
      </c>
      <c r="VOA103" s="13">
        <v>0.1</v>
      </c>
      <c r="VOB103" s="13">
        <v>0.1</v>
      </c>
      <c r="VOC103" s="13">
        <v>0.1</v>
      </c>
      <c r="VOD103" s="13">
        <v>0.1</v>
      </c>
      <c r="VOE103" s="13">
        <v>0.1</v>
      </c>
      <c r="VOF103" s="13">
        <v>0.1</v>
      </c>
      <c r="VOG103" s="13">
        <v>0.1</v>
      </c>
      <c r="VOH103" s="13">
        <v>0.1</v>
      </c>
      <c r="VOI103" s="13">
        <v>0.1</v>
      </c>
      <c r="VOJ103" s="13">
        <v>0.1</v>
      </c>
      <c r="VOK103" s="13">
        <v>0.1</v>
      </c>
      <c r="VOL103" s="13">
        <v>0.1</v>
      </c>
      <c r="VOM103" s="13">
        <v>0.1</v>
      </c>
      <c r="VON103" s="13">
        <v>0.1</v>
      </c>
      <c r="VOO103" s="13">
        <v>0.1</v>
      </c>
      <c r="VOP103" s="13">
        <v>0.1</v>
      </c>
      <c r="VOQ103" s="13">
        <v>0.1</v>
      </c>
      <c r="VOR103" s="13">
        <v>0.1</v>
      </c>
      <c r="VOS103" s="13">
        <v>0.1</v>
      </c>
      <c r="VOT103" s="13">
        <v>0.1</v>
      </c>
      <c r="VOU103" s="13">
        <v>0.1</v>
      </c>
      <c r="VOV103" s="13">
        <v>0.1</v>
      </c>
      <c r="VOW103" s="13">
        <v>0.1</v>
      </c>
      <c r="VOX103" s="13">
        <v>0.1</v>
      </c>
      <c r="VOY103" s="13">
        <v>0.1</v>
      </c>
      <c r="VOZ103" s="13">
        <v>0.1</v>
      </c>
      <c r="VPA103" s="13">
        <v>0.1</v>
      </c>
      <c r="VPB103" s="13">
        <v>0.1</v>
      </c>
      <c r="VPC103" s="13">
        <v>0.1</v>
      </c>
      <c r="VPD103" s="13">
        <v>0.1</v>
      </c>
      <c r="VPE103" s="13">
        <v>0.1</v>
      </c>
      <c r="VPF103" s="13">
        <v>0.1</v>
      </c>
      <c r="VPG103" s="13">
        <v>0.1</v>
      </c>
      <c r="VPH103" s="13">
        <v>0.1</v>
      </c>
      <c r="VPI103" s="13">
        <v>0.1</v>
      </c>
      <c r="VPJ103" s="13">
        <v>0.1</v>
      </c>
      <c r="VPK103" s="13">
        <v>0.1</v>
      </c>
      <c r="VPL103" s="13">
        <v>0.1</v>
      </c>
      <c r="VPM103" s="13">
        <v>0.1</v>
      </c>
      <c r="VPN103" s="13">
        <v>0.1</v>
      </c>
      <c r="VPO103" s="13">
        <v>0.1</v>
      </c>
      <c r="VPP103" s="13">
        <v>0.1</v>
      </c>
      <c r="VPQ103" s="13">
        <v>0.1</v>
      </c>
      <c r="VPR103" s="13">
        <v>0.1</v>
      </c>
      <c r="VPS103" s="13">
        <v>0.1</v>
      </c>
      <c r="VPT103" s="13">
        <v>0.1</v>
      </c>
      <c r="VPU103" s="13">
        <v>0.1</v>
      </c>
      <c r="VPV103" s="13">
        <v>0.1</v>
      </c>
      <c r="VPW103" s="13">
        <v>0.1</v>
      </c>
      <c r="VPX103" s="13">
        <v>0.1</v>
      </c>
      <c r="VPY103" s="13">
        <v>0.1</v>
      </c>
      <c r="VPZ103" s="13">
        <v>0.1</v>
      </c>
      <c r="VQA103" s="13">
        <v>0.1</v>
      </c>
      <c r="VQB103" s="13">
        <v>0.1</v>
      </c>
      <c r="VQC103" s="13">
        <v>0.1</v>
      </c>
      <c r="VQD103" s="13">
        <v>0.1</v>
      </c>
      <c r="VQE103" s="13">
        <v>0.1</v>
      </c>
      <c r="VQF103" s="13">
        <v>0.1</v>
      </c>
      <c r="VQG103" s="13">
        <v>0.1</v>
      </c>
      <c r="VQH103" s="13">
        <v>0.1</v>
      </c>
      <c r="VQI103" s="13">
        <v>0.1</v>
      </c>
      <c r="VQJ103" s="13">
        <v>0.1</v>
      </c>
      <c r="VQK103" s="13">
        <v>0.1</v>
      </c>
      <c r="VQL103" s="13">
        <v>0.1</v>
      </c>
      <c r="VQM103" s="13">
        <v>0.1</v>
      </c>
      <c r="VQN103" s="13">
        <v>0.1</v>
      </c>
      <c r="VQO103" s="13">
        <v>0.1</v>
      </c>
      <c r="VQP103" s="13">
        <v>0.1</v>
      </c>
      <c r="VQQ103" s="13">
        <v>0.1</v>
      </c>
      <c r="VQR103" s="13">
        <v>0.1</v>
      </c>
      <c r="VQS103" s="13">
        <v>0.1</v>
      </c>
      <c r="VQT103" s="13">
        <v>0.1</v>
      </c>
      <c r="VQU103" s="13">
        <v>0.1</v>
      </c>
      <c r="VQV103" s="13">
        <v>0.1</v>
      </c>
      <c r="VQW103" s="13">
        <v>0.1</v>
      </c>
      <c r="VQX103" s="13">
        <v>0.1</v>
      </c>
      <c r="VQY103" s="13">
        <v>0.1</v>
      </c>
      <c r="VQZ103" s="13">
        <v>0.1</v>
      </c>
      <c r="VRA103" s="13">
        <v>0.1</v>
      </c>
      <c r="VRB103" s="13">
        <v>0.1</v>
      </c>
      <c r="VRC103" s="13">
        <v>0.1</v>
      </c>
      <c r="VRD103" s="13">
        <v>0.1</v>
      </c>
      <c r="VRE103" s="13">
        <v>0.1</v>
      </c>
      <c r="VRF103" s="13">
        <v>0.1</v>
      </c>
      <c r="VRG103" s="13">
        <v>0.1</v>
      </c>
      <c r="VRH103" s="13">
        <v>0.1</v>
      </c>
      <c r="VRI103" s="13">
        <v>0.1</v>
      </c>
      <c r="VRJ103" s="13">
        <v>0.1</v>
      </c>
      <c r="VRK103" s="13">
        <v>0.1</v>
      </c>
      <c r="VRL103" s="13">
        <v>0.1</v>
      </c>
      <c r="VRM103" s="13">
        <v>0.1</v>
      </c>
      <c r="VRN103" s="13">
        <v>0.1</v>
      </c>
      <c r="VRO103" s="13">
        <v>0.1</v>
      </c>
      <c r="VRP103" s="13">
        <v>0.1</v>
      </c>
      <c r="VRQ103" s="13">
        <v>0.1</v>
      </c>
      <c r="VRR103" s="13">
        <v>0.1</v>
      </c>
      <c r="VRS103" s="13">
        <v>0.1</v>
      </c>
      <c r="VRT103" s="13">
        <v>0.1</v>
      </c>
      <c r="VRU103" s="13">
        <v>0.1</v>
      </c>
      <c r="VRV103" s="13">
        <v>0.1</v>
      </c>
      <c r="VRW103" s="13">
        <v>0.1</v>
      </c>
      <c r="VRX103" s="13">
        <v>0.1</v>
      </c>
      <c r="VRY103" s="13">
        <v>0.1</v>
      </c>
      <c r="VRZ103" s="13">
        <v>0.1</v>
      </c>
      <c r="VSA103" s="13">
        <v>0.1</v>
      </c>
      <c r="VSB103" s="13">
        <v>0.1</v>
      </c>
      <c r="VSC103" s="13">
        <v>0.1</v>
      </c>
      <c r="VSD103" s="13">
        <v>0.1</v>
      </c>
      <c r="VSE103" s="13">
        <v>0.1</v>
      </c>
      <c r="VSF103" s="13">
        <v>0.1</v>
      </c>
      <c r="VSG103" s="13">
        <v>0.1</v>
      </c>
      <c r="VSH103" s="13">
        <v>0.1</v>
      </c>
      <c r="VSI103" s="13">
        <v>0.1</v>
      </c>
      <c r="VSJ103" s="13">
        <v>0.1</v>
      </c>
      <c r="VSK103" s="13">
        <v>0.1</v>
      </c>
      <c r="VSL103" s="13">
        <v>0.1</v>
      </c>
      <c r="VSM103" s="13">
        <v>0.1</v>
      </c>
      <c r="VSN103" s="13">
        <v>0.1</v>
      </c>
      <c r="VSO103" s="13">
        <v>0.1</v>
      </c>
      <c r="VSP103" s="13">
        <v>0.1</v>
      </c>
      <c r="VSQ103" s="13">
        <v>0.1</v>
      </c>
      <c r="VSR103" s="13">
        <v>0.1</v>
      </c>
      <c r="VSS103" s="13">
        <v>0.1</v>
      </c>
      <c r="VST103" s="13">
        <v>0.1</v>
      </c>
      <c r="VSU103" s="13">
        <v>0.1</v>
      </c>
      <c r="VSV103" s="13">
        <v>0.1</v>
      </c>
      <c r="VSW103" s="13">
        <v>0.1</v>
      </c>
      <c r="VSX103" s="13">
        <v>0.1</v>
      </c>
      <c r="VSY103" s="13">
        <v>0.1</v>
      </c>
      <c r="VSZ103" s="13">
        <v>0.1</v>
      </c>
      <c r="VTA103" s="13">
        <v>0.1</v>
      </c>
      <c r="VTB103" s="13">
        <v>0.1</v>
      </c>
      <c r="VTC103" s="13">
        <v>0.1</v>
      </c>
      <c r="VTD103" s="13">
        <v>0.1</v>
      </c>
      <c r="VTE103" s="13">
        <v>0.1</v>
      </c>
      <c r="VTF103" s="13">
        <v>0.1</v>
      </c>
      <c r="VTG103" s="13">
        <v>0.1</v>
      </c>
      <c r="VTH103" s="13">
        <v>0.1</v>
      </c>
      <c r="VTI103" s="13">
        <v>0.1</v>
      </c>
      <c r="VTJ103" s="13">
        <v>0.1</v>
      </c>
      <c r="VTK103" s="13">
        <v>0.1</v>
      </c>
      <c r="VTL103" s="13">
        <v>0.1</v>
      </c>
      <c r="VTM103" s="13">
        <v>0.1</v>
      </c>
      <c r="VTN103" s="13">
        <v>0.1</v>
      </c>
      <c r="VTO103" s="13">
        <v>0.1</v>
      </c>
      <c r="VTP103" s="13">
        <v>0.1</v>
      </c>
      <c r="VTQ103" s="13">
        <v>0.1</v>
      </c>
      <c r="VTR103" s="13">
        <v>0.1</v>
      </c>
      <c r="VTS103" s="13">
        <v>0.1</v>
      </c>
      <c r="VTT103" s="13">
        <v>0.1</v>
      </c>
      <c r="VTU103" s="13">
        <v>0.1</v>
      </c>
      <c r="VTV103" s="13">
        <v>0.1</v>
      </c>
      <c r="VTW103" s="13">
        <v>0.1</v>
      </c>
      <c r="VTX103" s="13">
        <v>0.1</v>
      </c>
      <c r="VTY103" s="13">
        <v>0.1</v>
      </c>
      <c r="VTZ103" s="13">
        <v>0.1</v>
      </c>
      <c r="VUA103" s="13">
        <v>0.1</v>
      </c>
      <c r="VUB103" s="13">
        <v>0.1</v>
      </c>
      <c r="VUC103" s="13">
        <v>0.1</v>
      </c>
      <c r="VUD103" s="13">
        <v>0.1</v>
      </c>
      <c r="VUE103" s="13">
        <v>0.1</v>
      </c>
      <c r="VUF103" s="13">
        <v>0.1</v>
      </c>
      <c r="VUG103" s="13">
        <v>0.1</v>
      </c>
      <c r="VUH103" s="13">
        <v>0.1</v>
      </c>
      <c r="VUI103" s="13">
        <v>0.1</v>
      </c>
      <c r="VUJ103" s="13">
        <v>0.1</v>
      </c>
      <c r="VUK103" s="13">
        <v>0.1</v>
      </c>
      <c r="VUL103" s="13">
        <v>0.1</v>
      </c>
      <c r="VUM103" s="13">
        <v>0.1</v>
      </c>
      <c r="VUN103" s="13">
        <v>0.1</v>
      </c>
      <c r="VUO103" s="13">
        <v>0.1</v>
      </c>
      <c r="VUP103" s="13">
        <v>0.1</v>
      </c>
      <c r="VUQ103" s="13">
        <v>0.1</v>
      </c>
      <c r="VUR103" s="13">
        <v>0.1</v>
      </c>
      <c r="VUS103" s="13">
        <v>0.1</v>
      </c>
      <c r="VUT103" s="13">
        <v>0.1</v>
      </c>
      <c r="VUU103" s="13">
        <v>0.1</v>
      </c>
      <c r="VUV103" s="13">
        <v>0.1</v>
      </c>
      <c r="VUW103" s="13">
        <v>0.1</v>
      </c>
      <c r="VUX103" s="13">
        <v>0.1</v>
      </c>
      <c r="VUY103" s="13">
        <v>0.1</v>
      </c>
      <c r="VUZ103" s="13">
        <v>0.1</v>
      </c>
      <c r="VVA103" s="13">
        <v>0.1</v>
      </c>
      <c r="VVB103" s="13">
        <v>0.1</v>
      </c>
      <c r="VVC103" s="13">
        <v>0.1</v>
      </c>
      <c r="VVD103" s="13">
        <v>0.1</v>
      </c>
      <c r="VVE103" s="13">
        <v>0.1</v>
      </c>
      <c r="VVF103" s="13">
        <v>0.1</v>
      </c>
      <c r="VVG103" s="13">
        <v>0.1</v>
      </c>
      <c r="VVH103" s="13">
        <v>0.1</v>
      </c>
      <c r="VVI103" s="13">
        <v>0.1</v>
      </c>
      <c r="VVJ103" s="13">
        <v>0.1</v>
      </c>
      <c r="VVK103" s="13">
        <v>0.1</v>
      </c>
      <c r="VVL103" s="13">
        <v>0.1</v>
      </c>
      <c r="VVM103" s="13">
        <v>0.1</v>
      </c>
      <c r="VVN103" s="13">
        <v>0.1</v>
      </c>
      <c r="VVO103" s="13">
        <v>0.1</v>
      </c>
      <c r="VVP103" s="13">
        <v>0.1</v>
      </c>
      <c r="VVQ103" s="13">
        <v>0.1</v>
      </c>
      <c r="VVR103" s="13">
        <v>0.1</v>
      </c>
      <c r="VVS103" s="13">
        <v>0.1</v>
      </c>
      <c r="VVT103" s="13">
        <v>0.1</v>
      </c>
      <c r="VVU103" s="13">
        <v>0.1</v>
      </c>
      <c r="VVV103" s="13">
        <v>0.1</v>
      </c>
      <c r="VVW103" s="13">
        <v>0.1</v>
      </c>
      <c r="VVX103" s="13">
        <v>0.1</v>
      </c>
      <c r="VVY103" s="13">
        <v>0.1</v>
      </c>
      <c r="VVZ103" s="13">
        <v>0.1</v>
      </c>
      <c r="VWA103" s="13">
        <v>0.1</v>
      </c>
      <c r="VWB103" s="13">
        <v>0.1</v>
      </c>
      <c r="VWC103" s="13">
        <v>0.1</v>
      </c>
      <c r="VWD103" s="13">
        <v>0.1</v>
      </c>
      <c r="VWE103" s="13">
        <v>0.1</v>
      </c>
      <c r="VWF103" s="13">
        <v>0.1</v>
      </c>
      <c r="VWG103" s="13">
        <v>0.1</v>
      </c>
      <c r="VWH103" s="13">
        <v>0.1</v>
      </c>
      <c r="VWI103" s="13">
        <v>0.1</v>
      </c>
      <c r="VWJ103" s="13">
        <v>0.1</v>
      </c>
      <c r="VWK103" s="13">
        <v>0.1</v>
      </c>
      <c r="VWL103" s="13">
        <v>0.1</v>
      </c>
      <c r="VWM103" s="13">
        <v>0.1</v>
      </c>
      <c r="VWN103" s="13">
        <v>0.1</v>
      </c>
      <c r="VWO103" s="13">
        <v>0.1</v>
      </c>
      <c r="VWP103" s="13">
        <v>0.1</v>
      </c>
      <c r="VWQ103" s="13">
        <v>0.1</v>
      </c>
      <c r="VWR103" s="13">
        <v>0.1</v>
      </c>
      <c r="VWS103" s="13">
        <v>0.1</v>
      </c>
      <c r="VWT103" s="13">
        <v>0.1</v>
      </c>
      <c r="VWU103" s="13">
        <v>0.1</v>
      </c>
      <c r="VWV103" s="13">
        <v>0.1</v>
      </c>
      <c r="VWW103" s="13">
        <v>0.1</v>
      </c>
      <c r="VWX103" s="13">
        <v>0.1</v>
      </c>
      <c r="VWY103" s="13">
        <v>0.1</v>
      </c>
      <c r="VWZ103" s="13">
        <v>0.1</v>
      </c>
      <c r="VXA103" s="13">
        <v>0.1</v>
      </c>
      <c r="VXB103" s="13">
        <v>0.1</v>
      </c>
      <c r="VXC103" s="13">
        <v>0.1</v>
      </c>
      <c r="VXD103" s="13">
        <v>0.1</v>
      </c>
      <c r="VXE103" s="13">
        <v>0.1</v>
      </c>
      <c r="VXF103" s="13">
        <v>0.1</v>
      </c>
      <c r="VXG103" s="13">
        <v>0.1</v>
      </c>
      <c r="VXH103" s="13">
        <v>0.1</v>
      </c>
      <c r="VXI103" s="13">
        <v>0.1</v>
      </c>
      <c r="VXJ103" s="13">
        <v>0.1</v>
      </c>
      <c r="VXK103" s="13">
        <v>0.1</v>
      </c>
      <c r="VXL103" s="13">
        <v>0.1</v>
      </c>
      <c r="VXM103" s="13">
        <v>0.1</v>
      </c>
      <c r="VXN103" s="13">
        <v>0.1</v>
      </c>
      <c r="VXO103" s="13">
        <v>0.1</v>
      </c>
      <c r="VXP103" s="13">
        <v>0.1</v>
      </c>
      <c r="VXQ103" s="13">
        <v>0.1</v>
      </c>
      <c r="VXR103" s="13">
        <v>0.1</v>
      </c>
      <c r="VXS103" s="13">
        <v>0.1</v>
      </c>
      <c r="VXT103" s="13">
        <v>0.1</v>
      </c>
      <c r="VXU103" s="13">
        <v>0.1</v>
      </c>
      <c r="VXV103" s="13">
        <v>0.1</v>
      </c>
      <c r="VXW103" s="13">
        <v>0.1</v>
      </c>
      <c r="VXX103" s="13">
        <v>0.1</v>
      </c>
      <c r="VXY103" s="13">
        <v>0.1</v>
      </c>
      <c r="VXZ103" s="13">
        <v>0.1</v>
      </c>
      <c r="VYA103" s="13">
        <v>0.1</v>
      </c>
      <c r="VYB103" s="13">
        <v>0.1</v>
      </c>
      <c r="VYC103" s="13">
        <v>0.1</v>
      </c>
      <c r="VYD103" s="13">
        <v>0.1</v>
      </c>
      <c r="VYE103" s="13">
        <v>0.1</v>
      </c>
      <c r="VYF103" s="13">
        <v>0.1</v>
      </c>
      <c r="VYG103" s="13">
        <v>0.1</v>
      </c>
      <c r="VYH103" s="13">
        <v>0.1</v>
      </c>
      <c r="VYI103" s="13">
        <v>0.1</v>
      </c>
      <c r="VYJ103" s="13">
        <v>0.1</v>
      </c>
      <c r="VYK103" s="13">
        <v>0.1</v>
      </c>
      <c r="VYL103" s="13">
        <v>0.1</v>
      </c>
      <c r="VYM103" s="13">
        <v>0.1</v>
      </c>
      <c r="VYN103" s="13">
        <v>0.1</v>
      </c>
      <c r="VYO103" s="13">
        <v>0.1</v>
      </c>
      <c r="VYP103" s="13">
        <v>0.1</v>
      </c>
      <c r="VYQ103" s="13">
        <v>0.1</v>
      </c>
      <c r="VYR103" s="13">
        <v>0.1</v>
      </c>
      <c r="VYS103" s="13">
        <v>0.1</v>
      </c>
      <c r="VYT103" s="13">
        <v>0.1</v>
      </c>
      <c r="VYU103" s="13">
        <v>0.1</v>
      </c>
      <c r="VYV103" s="13">
        <v>0.1</v>
      </c>
      <c r="VYW103" s="13">
        <v>0.1</v>
      </c>
      <c r="VYX103" s="13">
        <v>0.1</v>
      </c>
      <c r="VYY103" s="13">
        <v>0.1</v>
      </c>
      <c r="VYZ103" s="13">
        <v>0.1</v>
      </c>
      <c r="VZA103" s="13">
        <v>0.1</v>
      </c>
      <c r="VZB103" s="13">
        <v>0.1</v>
      </c>
      <c r="VZC103" s="13">
        <v>0.1</v>
      </c>
      <c r="VZD103" s="13">
        <v>0.1</v>
      </c>
      <c r="VZE103" s="13">
        <v>0.1</v>
      </c>
      <c r="VZF103" s="13">
        <v>0.1</v>
      </c>
      <c r="VZG103" s="13">
        <v>0.1</v>
      </c>
      <c r="VZH103" s="13">
        <v>0.1</v>
      </c>
      <c r="VZI103" s="13">
        <v>0.1</v>
      </c>
      <c r="VZJ103" s="13">
        <v>0.1</v>
      </c>
      <c r="VZK103" s="13">
        <v>0.1</v>
      </c>
      <c r="VZL103" s="13">
        <v>0.1</v>
      </c>
      <c r="VZM103" s="13">
        <v>0.1</v>
      </c>
      <c r="VZN103" s="13">
        <v>0.1</v>
      </c>
      <c r="VZO103" s="13">
        <v>0.1</v>
      </c>
      <c r="VZP103" s="13">
        <v>0.1</v>
      </c>
      <c r="VZQ103" s="13">
        <v>0.1</v>
      </c>
      <c r="VZR103" s="13">
        <v>0.1</v>
      </c>
      <c r="VZS103" s="13">
        <v>0.1</v>
      </c>
      <c r="VZT103" s="13">
        <v>0.1</v>
      </c>
      <c r="VZU103" s="13">
        <v>0.1</v>
      </c>
      <c r="VZV103" s="13">
        <v>0.1</v>
      </c>
      <c r="VZW103" s="13">
        <v>0.1</v>
      </c>
      <c r="VZX103" s="13">
        <v>0.1</v>
      </c>
      <c r="VZY103" s="13">
        <v>0.1</v>
      </c>
      <c r="VZZ103" s="13">
        <v>0.1</v>
      </c>
      <c r="WAA103" s="13">
        <v>0.1</v>
      </c>
      <c r="WAB103" s="13">
        <v>0.1</v>
      </c>
      <c r="WAC103" s="13">
        <v>0.1</v>
      </c>
      <c r="WAD103" s="13">
        <v>0.1</v>
      </c>
      <c r="WAE103" s="13">
        <v>0.1</v>
      </c>
      <c r="WAF103" s="13">
        <v>0.1</v>
      </c>
      <c r="WAG103" s="13">
        <v>0.1</v>
      </c>
      <c r="WAH103" s="13">
        <v>0.1</v>
      </c>
      <c r="WAI103" s="13">
        <v>0.1</v>
      </c>
      <c r="WAJ103" s="13">
        <v>0.1</v>
      </c>
      <c r="WAK103" s="13">
        <v>0.1</v>
      </c>
      <c r="WAL103" s="13">
        <v>0.1</v>
      </c>
      <c r="WAM103" s="13">
        <v>0.1</v>
      </c>
      <c r="WAN103" s="13">
        <v>0.1</v>
      </c>
      <c r="WAO103" s="13">
        <v>0.1</v>
      </c>
      <c r="WAP103" s="13">
        <v>0.1</v>
      </c>
      <c r="WAQ103" s="13">
        <v>0.1</v>
      </c>
      <c r="WAR103" s="13">
        <v>0.1</v>
      </c>
      <c r="WAS103" s="13">
        <v>0.1</v>
      </c>
      <c r="WAT103" s="13">
        <v>0.1</v>
      </c>
      <c r="WAU103" s="13">
        <v>0.1</v>
      </c>
      <c r="WAV103" s="13">
        <v>0.1</v>
      </c>
      <c r="WAW103" s="13">
        <v>0.1</v>
      </c>
      <c r="WAX103" s="13">
        <v>0.1</v>
      </c>
      <c r="WAY103" s="13">
        <v>0.1</v>
      </c>
      <c r="WAZ103" s="13">
        <v>0.1</v>
      </c>
      <c r="WBA103" s="13">
        <v>0.1</v>
      </c>
      <c r="WBB103" s="13">
        <v>0.1</v>
      </c>
      <c r="WBC103" s="13">
        <v>0.1</v>
      </c>
      <c r="WBD103" s="13">
        <v>0.1</v>
      </c>
      <c r="WBE103" s="13">
        <v>0.1</v>
      </c>
      <c r="WBF103" s="13">
        <v>0.1</v>
      </c>
      <c r="WBG103" s="13">
        <v>0.1</v>
      </c>
      <c r="WBH103" s="13">
        <v>0.1</v>
      </c>
      <c r="WBI103" s="13">
        <v>0.1</v>
      </c>
      <c r="WBJ103" s="13">
        <v>0.1</v>
      </c>
      <c r="WBK103" s="13">
        <v>0.1</v>
      </c>
      <c r="WBL103" s="13">
        <v>0.1</v>
      </c>
      <c r="WBM103" s="13">
        <v>0.1</v>
      </c>
      <c r="WBN103" s="13">
        <v>0.1</v>
      </c>
      <c r="WBO103" s="13">
        <v>0.1</v>
      </c>
      <c r="WBP103" s="13">
        <v>0.1</v>
      </c>
      <c r="WBQ103" s="13">
        <v>0.1</v>
      </c>
      <c r="WBR103" s="13">
        <v>0.1</v>
      </c>
      <c r="WBS103" s="13">
        <v>0.1</v>
      </c>
      <c r="WBT103" s="13">
        <v>0.1</v>
      </c>
      <c r="WBU103" s="13">
        <v>0.1</v>
      </c>
      <c r="WBV103" s="13">
        <v>0.1</v>
      </c>
      <c r="WBW103" s="13">
        <v>0.1</v>
      </c>
      <c r="WBX103" s="13">
        <v>0.1</v>
      </c>
      <c r="WBY103" s="13">
        <v>0.1</v>
      </c>
      <c r="WBZ103" s="13">
        <v>0.1</v>
      </c>
      <c r="WCA103" s="13">
        <v>0.1</v>
      </c>
      <c r="WCB103" s="13">
        <v>0.1</v>
      </c>
      <c r="WCC103" s="13">
        <v>0.1</v>
      </c>
      <c r="WCD103" s="13">
        <v>0.1</v>
      </c>
      <c r="WCE103" s="13">
        <v>0.1</v>
      </c>
      <c r="WCF103" s="13">
        <v>0.1</v>
      </c>
      <c r="WCG103" s="13">
        <v>0.1</v>
      </c>
      <c r="WCH103" s="13">
        <v>0.1</v>
      </c>
      <c r="WCI103" s="13">
        <v>0.1</v>
      </c>
      <c r="WCJ103" s="13">
        <v>0.1</v>
      </c>
      <c r="WCK103" s="13">
        <v>0.1</v>
      </c>
      <c r="WCL103" s="13">
        <v>0.1</v>
      </c>
      <c r="WCM103" s="13">
        <v>0.1</v>
      </c>
      <c r="WCN103" s="13">
        <v>0.1</v>
      </c>
      <c r="WCO103" s="13">
        <v>0.1</v>
      </c>
      <c r="WCP103" s="13">
        <v>0.1</v>
      </c>
      <c r="WCQ103" s="13">
        <v>0.1</v>
      </c>
      <c r="WCR103" s="13">
        <v>0.1</v>
      </c>
      <c r="WCS103" s="13">
        <v>0.1</v>
      </c>
      <c r="WCT103" s="13">
        <v>0.1</v>
      </c>
      <c r="WCU103" s="13">
        <v>0.1</v>
      </c>
      <c r="WCV103" s="13">
        <v>0.1</v>
      </c>
      <c r="WCW103" s="13">
        <v>0.1</v>
      </c>
      <c r="WCX103" s="13">
        <v>0.1</v>
      </c>
      <c r="WCY103" s="13">
        <v>0.1</v>
      </c>
      <c r="WCZ103" s="13">
        <v>0.1</v>
      </c>
      <c r="WDA103" s="13">
        <v>0.1</v>
      </c>
      <c r="WDB103" s="13">
        <v>0.1</v>
      </c>
      <c r="WDC103" s="13">
        <v>0.1</v>
      </c>
      <c r="WDD103" s="13">
        <v>0.1</v>
      </c>
      <c r="WDE103" s="13">
        <v>0.1</v>
      </c>
      <c r="WDF103" s="13">
        <v>0.1</v>
      </c>
      <c r="WDG103" s="13">
        <v>0.1</v>
      </c>
      <c r="WDH103" s="13">
        <v>0.1</v>
      </c>
      <c r="WDI103" s="13">
        <v>0.1</v>
      </c>
      <c r="WDJ103" s="13">
        <v>0.1</v>
      </c>
      <c r="WDK103" s="13">
        <v>0.1</v>
      </c>
      <c r="WDL103" s="13">
        <v>0.1</v>
      </c>
      <c r="WDM103" s="13">
        <v>0.1</v>
      </c>
      <c r="WDN103" s="13">
        <v>0.1</v>
      </c>
      <c r="WDO103" s="13">
        <v>0.1</v>
      </c>
      <c r="WDP103" s="13">
        <v>0.1</v>
      </c>
      <c r="WDQ103" s="13">
        <v>0.1</v>
      </c>
      <c r="WDR103" s="13">
        <v>0.1</v>
      </c>
      <c r="WDS103" s="13">
        <v>0.1</v>
      </c>
      <c r="WDT103" s="13">
        <v>0.1</v>
      </c>
      <c r="WDU103" s="13">
        <v>0.1</v>
      </c>
      <c r="WDV103" s="13">
        <v>0.1</v>
      </c>
      <c r="WDW103" s="13">
        <v>0.1</v>
      </c>
      <c r="WDX103" s="13">
        <v>0.1</v>
      </c>
      <c r="WDY103" s="13">
        <v>0.1</v>
      </c>
      <c r="WDZ103" s="13">
        <v>0.1</v>
      </c>
      <c r="WEA103" s="13">
        <v>0.1</v>
      </c>
      <c r="WEB103" s="13">
        <v>0.1</v>
      </c>
      <c r="WEC103" s="13">
        <v>0.1</v>
      </c>
      <c r="WED103" s="13">
        <v>0.1</v>
      </c>
      <c r="WEE103" s="13">
        <v>0.1</v>
      </c>
      <c r="WEF103" s="13">
        <v>0.1</v>
      </c>
      <c r="WEG103" s="13">
        <v>0.1</v>
      </c>
      <c r="WEH103" s="13">
        <v>0.1</v>
      </c>
      <c r="WEI103" s="13">
        <v>0.1</v>
      </c>
      <c r="WEJ103" s="13">
        <v>0.1</v>
      </c>
      <c r="WEK103" s="13">
        <v>0.1</v>
      </c>
      <c r="WEL103" s="13">
        <v>0.1</v>
      </c>
      <c r="WEM103" s="13">
        <v>0.1</v>
      </c>
      <c r="WEN103" s="13">
        <v>0.1</v>
      </c>
      <c r="WEO103" s="13">
        <v>0.1</v>
      </c>
      <c r="WEP103" s="13">
        <v>0.1</v>
      </c>
      <c r="WEQ103" s="13">
        <v>0.1</v>
      </c>
      <c r="WER103" s="13">
        <v>0.1</v>
      </c>
      <c r="WES103" s="13">
        <v>0.1</v>
      </c>
      <c r="WET103" s="13">
        <v>0.1</v>
      </c>
      <c r="WEU103" s="13">
        <v>0.1</v>
      </c>
      <c r="WEV103" s="13">
        <v>0.1</v>
      </c>
      <c r="WEW103" s="13">
        <v>0.1</v>
      </c>
      <c r="WEX103" s="13">
        <v>0.1</v>
      </c>
      <c r="WEY103" s="13">
        <v>0.1</v>
      </c>
      <c r="WEZ103" s="13">
        <v>0.1</v>
      </c>
      <c r="WFA103" s="13">
        <v>0.1</v>
      </c>
      <c r="WFB103" s="13">
        <v>0.1</v>
      </c>
      <c r="WFC103" s="13">
        <v>0.1</v>
      </c>
      <c r="WFD103" s="13">
        <v>0.1</v>
      </c>
      <c r="WFE103" s="13">
        <v>0.1</v>
      </c>
      <c r="WFF103" s="13">
        <v>0.1</v>
      </c>
      <c r="WFG103" s="13">
        <v>0.1</v>
      </c>
      <c r="WFH103" s="13">
        <v>0.1</v>
      </c>
      <c r="WFI103" s="13">
        <v>0.1</v>
      </c>
      <c r="WFJ103" s="13">
        <v>0.1</v>
      </c>
      <c r="WFK103" s="13">
        <v>0.1</v>
      </c>
      <c r="WFL103" s="13">
        <v>0.1</v>
      </c>
      <c r="WFM103" s="13">
        <v>0.1</v>
      </c>
      <c r="WFN103" s="13">
        <v>0.1</v>
      </c>
      <c r="WFO103" s="13">
        <v>0.1</v>
      </c>
      <c r="WFP103" s="13">
        <v>0.1</v>
      </c>
      <c r="WFQ103" s="13">
        <v>0.1</v>
      </c>
      <c r="WFR103" s="13">
        <v>0.1</v>
      </c>
      <c r="WFS103" s="13">
        <v>0.1</v>
      </c>
      <c r="WFT103" s="13">
        <v>0.1</v>
      </c>
      <c r="WFU103" s="13">
        <v>0.1</v>
      </c>
      <c r="WFV103" s="13">
        <v>0.1</v>
      </c>
      <c r="WFW103" s="13">
        <v>0.1</v>
      </c>
      <c r="WFX103" s="13">
        <v>0.1</v>
      </c>
      <c r="WFY103" s="13">
        <v>0.1</v>
      </c>
      <c r="WFZ103" s="13">
        <v>0.1</v>
      </c>
      <c r="WGA103" s="13">
        <v>0.1</v>
      </c>
      <c r="WGB103" s="13">
        <v>0.1</v>
      </c>
      <c r="WGC103" s="13">
        <v>0.1</v>
      </c>
      <c r="WGD103" s="13">
        <v>0.1</v>
      </c>
      <c r="WGE103" s="13">
        <v>0.1</v>
      </c>
      <c r="WGF103" s="13">
        <v>0.1</v>
      </c>
      <c r="WGG103" s="13">
        <v>0.1</v>
      </c>
      <c r="WGH103" s="13">
        <v>0.1</v>
      </c>
      <c r="WGI103" s="13">
        <v>0.1</v>
      </c>
      <c r="WGJ103" s="13">
        <v>0.1</v>
      </c>
      <c r="WGK103" s="13">
        <v>0.1</v>
      </c>
      <c r="WGL103" s="13">
        <v>0.1</v>
      </c>
      <c r="WGM103" s="13">
        <v>0.1</v>
      </c>
      <c r="WGN103" s="13">
        <v>0.1</v>
      </c>
      <c r="WGO103" s="13">
        <v>0.1</v>
      </c>
      <c r="WGP103" s="13">
        <v>0.1</v>
      </c>
      <c r="WGQ103" s="13">
        <v>0.1</v>
      </c>
      <c r="WGR103" s="13">
        <v>0.1</v>
      </c>
      <c r="WGS103" s="13">
        <v>0.1</v>
      </c>
      <c r="WGT103" s="13">
        <v>0.1</v>
      </c>
      <c r="WGU103" s="13">
        <v>0.1</v>
      </c>
      <c r="WGV103" s="13">
        <v>0.1</v>
      </c>
      <c r="WGW103" s="13">
        <v>0.1</v>
      </c>
      <c r="WGX103" s="13">
        <v>0.1</v>
      </c>
      <c r="WGY103" s="13">
        <v>0.1</v>
      </c>
      <c r="WGZ103" s="13">
        <v>0.1</v>
      </c>
      <c r="WHA103" s="13">
        <v>0.1</v>
      </c>
      <c r="WHB103" s="13">
        <v>0.1</v>
      </c>
      <c r="WHC103" s="13">
        <v>0.1</v>
      </c>
      <c r="WHD103" s="13">
        <v>0.1</v>
      </c>
      <c r="WHE103" s="13">
        <v>0.1</v>
      </c>
      <c r="WHF103" s="13">
        <v>0.1</v>
      </c>
      <c r="WHG103" s="13">
        <v>0.1</v>
      </c>
      <c r="WHH103" s="13">
        <v>0.1</v>
      </c>
      <c r="WHI103" s="13">
        <v>0.1</v>
      </c>
      <c r="WHJ103" s="13">
        <v>0.1</v>
      </c>
      <c r="WHK103" s="13">
        <v>0.1</v>
      </c>
      <c r="WHL103" s="13">
        <v>0.1</v>
      </c>
      <c r="WHM103" s="13">
        <v>0.1</v>
      </c>
      <c r="WHN103" s="13">
        <v>0.1</v>
      </c>
      <c r="WHO103" s="13">
        <v>0.1</v>
      </c>
      <c r="WHP103" s="13">
        <v>0.1</v>
      </c>
      <c r="WHQ103" s="13">
        <v>0.1</v>
      </c>
      <c r="WHR103" s="13">
        <v>0.1</v>
      </c>
      <c r="WHS103" s="13">
        <v>0.1</v>
      </c>
      <c r="WHT103" s="13">
        <v>0.1</v>
      </c>
      <c r="WHU103" s="13">
        <v>0.1</v>
      </c>
      <c r="WHV103" s="13">
        <v>0.1</v>
      </c>
      <c r="WHW103" s="13">
        <v>0.1</v>
      </c>
      <c r="WHX103" s="13">
        <v>0.1</v>
      </c>
      <c r="WHY103" s="13">
        <v>0.1</v>
      </c>
      <c r="WHZ103" s="13">
        <v>0.1</v>
      </c>
      <c r="WIA103" s="13">
        <v>0.1</v>
      </c>
      <c r="WIB103" s="13">
        <v>0.1</v>
      </c>
      <c r="WIC103" s="13">
        <v>0.1</v>
      </c>
      <c r="WID103" s="13">
        <v>0.1</v>
      </c>
      <c r="WIE103" s="13">
        <v>0.1</v>
      </c>
      <c r="WIF103" s="13">
        <v>0.1</v>
      </c>
      <c r="WIG103" s="13">
        <v>0.1</v>
      </c>
      <c r="WIH103" s="13">
        <v>0.1</v>
      </c>
      <c r="WII103" s="13">
        <v>0.1</v>
      </c>
      <c r="WIJ103" s="13">
        <v>0.1</v>
      </c>
      <c r="WIK103" s="13">
        <v>0.1</v>
      </c>
      <c r="WIL103" s="13">
        <v>0.1</v>
      </c>
      <c r="WIM103" s="13">
        <v>0.1</v>
      </c>
      <c r="WIN103" s="13">
        <v>0.1</v>
      </c>
      <c r="WIO103" s="13">
        <v>0.1</v>
      </c>
      <c r="WIP103" s="13">
        <v>0.1</v>
      </c>
      <c r="WIQ103" s="13">
        <v>0.1</v>
      </c>
      <c r="WIR103" s="13">
        <v>0.1</v>
      </c>
      <c r="WIS103" s="13">
        <v>0.1</v>
      </c>
      <c r="WIT103" s="13">
        <v>0.1</v>
      </c>
      <c r="WIU103" s="13">
        <v>0.1</v>
      </c>
      <c r="WIV103" s="13">
        <v>0.1</v>
      </c>
      <c r="WIW103" s="13">
        <v>0.1</v>
      </c>
      <c r="WIX103" s="13">
        <v>0.1</v>
      </c>
      <c r="WIY103" s="13">
        <v>0.1</v>
      </c>
      <c r="WIZ103" s="13">
        <v>0.1</v>
      </c>
      <c r="WJA103" s="13">
        <v>0.1</v>
      </c>
      <c r="WJB103" s="13">
        <v>0.1</v>
      </c>
      <c r="WJC103" s="13">
        <v>0.1</v>
      </c>
      <c r="WJD103" s="13">
        <v>0.1</v>
      </c>
      <c r="WJE103" s="13">
        <v>0.1</v>
      </c>
      <c r="WJF103" s="13">
        <v>0.1</v>
      </c>
      <c r="WJG103" s="13">
        <v>0.1</v>
      </c>
      <c r="WJH103" s="13">
        <v>0.1</v>
      </c>
      <c r="WJI103" s="13">
        <v>0.1</v>
      </c>
      <c r="WJJ103" s="13">
        <v>0.1</v>
      </c>
      <c r="WJK103" s="13">
        <v>0.1</v>
      </c>
      <c r="WJL103" s="13">
        <v>0.1</v>
      </c>
      <c r="WJM103" s="13">
        <v>0.1</v>
      </c>
      <c r="WJN103" s="13">
        <v>0.1</v>
      </c>
      <c r="WJO103" s="13">
        <v>0.1</v>
      </c>
      <c r="WJP103" s="13">
        <v>0.1</v>
      </c>
      <c r="WJQ103" s="13">
        <v>0.1</v>
      </c>
      <c r="WJR103" s="13">
        <v>0.1</v>
      </c>
      <c r="WJS103" s="13">
        <v>0.1</v>
      </c>
      <c r="WJT103" s="13">
        <v>0.1</v>
      </c>
      <c r="WJU103" s="13">
        <v>0.1</v>
      </c>
      <c r="WJV103" s="13">
        <v>0.1</v>
      </c>
      <c r="WJW103" s="13">
        <v>0.1</v>
      </c>
      <c r="WJX103" s="13">
        <v>0.1</v>
      </c>
      <c r="WJY103" s="13">
        <v>0.1</v>
      </c>
      <c r="WJZ103" s="13">
        <v>0.1</v>
      </c>
      <c r="WKA103" s="13">
        <v>0.1</v>
      </c>
      <c r="WKB103" s="13">
        <v>0.1</v>
      </c>
      <c r="WKC103" s="13">
        <v>0.1</v>
      </c>
      <c r="WKD103" s="13">
        <v>0.1</v>
      </c>
      <c r="WKE103" s="13">
        <v>0.1</v>
      </c>
      <c r="WKF103" s="13">
        <v>0.1</v>
      </c>
      <c r="WKG103" s="13">
        <v>0.1</v>
      </c>
      <c r="WKH103" s="13">
        <v>0.1</v>
      </c>
      <c r="WKI103" s="13">
        <v>0.1</v>
      </c>
      <c r="WKJ103" s="13">
        <v>0.1</v>
      </c>
      <c r="WKK103" s="13">
        <v>0.1</v>
      </c>
      <c r="WKL103" s="13">
        <v>0.1</v>
      </c>
      <c r="WKM103" s="13">
        <v>0.1</v>
      </c>
      <c r="WKN103" s="13">
        <v>0.1</v>
      </c>
      <c r="WKO103" s="13">
        <v>0.1</v>
      </c>
      <c r="WKP103" s="13">
        <v>0.1</v>
      </c>
      <c r="WKQ103" s="13">
        <v>0.1</v>
      </c>
      <c r="WKR103" s="13">
        <v>0.1</v>
      </c>
      <c r="WKS103" s="13">
        <v>0.1</v>
      </c>
      <c r="WKT103" s="13">
        <v>0.1</v>
      </c>
      <c r="WKU103" s="13">
        <v>0.1</v>
      </c>
      <c r="WKV103" s="13">
        <v>0.1</v>
      </c>
      <c r="WKW103" s="13">
        <v>0.1</v>
      </c>
      <c r="WKX103" s="13">
        <v>0.1</v>
      </c>
      <c r="WKY103" s="13">
        <v>0.1</v>
      </c>
      <c r="WKZ103" s="13">
        <v>0.1</v>
      </c>
      <c r="WLA103" s="13">
        <v>0.1</v>
      </c>
      <c r="WLB103" s="13">
        <v>0.1</v>
      </c>
      <c r="WLC103" s="13">
        <v>0.1</v>
      </c>
      <c r="WLD103" s="13">
        <v>0.1</v>
      </c>
      <c r="WLE103" s="13">
        <v>0.1</v>
      </c>
      <c r="WLF103" s="13">
        <v>0.1</v>
      </c>
      <c r="WLG103" s="13">
        <v>0.1</v>
      </c>
      <c r="WLH103" s="13">
        <v>0.1</v>
      </c>
      <c r="WLI103" s="13">
        <v>0.1</v>
      </c>
      <c r="WLJ103" s="13">
        <v>0.1</v>
      </c>
      <c r="WLK103" s="13">
        <v>0.1</v>
      </c>
      <c r="WLL103" s="13">
        <v>0.1</v>
      </c>
      <c r="WLM103" s="13">
        <v>0.1</v>
      </c>
      <c r="WLN103" s="13">
        <v>0.1</v>
      </c>
      <c r="WLO103" s="13">
        <v>0.1</v>
      </c>
      <c r="WLP103" s="13">
        <v>0.1</v>
      </c>
      <c r="WLQ103" s="13">
        <v>0.1</v>
      </c>
      <c r="WLR103" s="13">
        <v>0.1</v>
      </c>
      <c r="WLS103" s="13">
        <v>0.1</v>
      </c>
      <c r="WLT103" s="13">
        <v>0.1</v>
      </c>
      <c r="WLU103" s="13">
        <v>0.1</v>
      </c>
      <c r="WLV103" s="13">
        <v>0.1</v>
      </c>
      <c r="WLW103" s="13">
        <v>0.1</v>
      </c>
      <c r="WLX103" s="13">
        <v>0.1</v>
      </c>
      <c r="WLY103" s="13">
        <v>0.1</v>
      </c>
      <c r="WLZ103" s="13">
        <v>0.1</v>
      </c>
      <c r="WMA103" s="13">
        <v>0.1</v>
      </c>
      <c r="WMB103" s="13">
        <v>0.1</v>
      </c>
      <c r="WMC103" s="13">
        <v>0.1</v>
      </c>
      <c r="WMD103" s="13">
        <v>0.1</v>
      </c>
      <c r="WME103" s="13">
        <v>0.1</v>
      </c>
      <c r="WMF103" s="13">
        <v>0.1</v>
      </c>
      <c r="WMG103" s="13">
        <v>0.1</v>
      </c>
      <c r="WMH103" s="13">
        <v>0.1</v>
      </c>
      <c r="WMI103" s="13">
        <v>0.1</v>
      </c>
      <c r="WMJ103" s="13">
        <v>0.1</v>
      </c>
      <c r="WMK103" s="13">
        <v>0.1</v>
      </c>
      <c r="WML103" s="13">
        <v>0.1</v>
      </c>
      <c r="WMM103" s="13">
        <v>0.1</v>
      </c>
      <c r="WMN103" s="13">
        <v>0.1</v>
      </c>
      <c r="WMO103" s="13">
        <v>0.1</v>
      </c>
      <c r="WMP103" s="13">
        <v>0.1</v>
      </c>
      <c r="WMQ103" s="13">
        <v>0.1</v>
      </c>
      <c r="WMR103" s="13">
        <v>0.1</v>
      </c>
      <c r="WMS103" s="13">
        <v>0.1</v>
      </c>
      <c r="WMT103" s="13">
        <v>0.1</v>
      </c>
      <c r="WMU103" s="13">
        <v>0.1</v>
      </c>
      <c r="WMV103" s="13">
        <v>0.1</v>
      </c>
      <c r="WMW103" s="13">
        <v>0.1</v>
      </c>
      <c r="WMX103" s="13">
        <v>0.1</v>
      </c>
      <c r="WMY103" s="13">
        <v>0.1</v>
      </c>
      <c r="WMZ103" s="13">
        <v>0.1</v>
      </c>
      <c r="WNA103" s="13">
        <v>0.1</v>
      </c>
      <c r="WNB103" s="13">
        <v>0.1</v>
      </c>
      <c r="WNC103" s="13">
        <v>0.1</v>
      </c>
      <c r="WND103" s="13">
        <v>0.1</v>
      </c>
      <c r="WNE103" s="13">
        <v>0.1</v>
      </c>
      <c r="WNF103" s="13">
        <v>0.1</v>
      </c>
      <c r="WNG103" s="13">
        <v>0.1</v>
      </c>
      <c r="WNH103" s="13">
        <v>0.1</v>
      </c>
      <c r="WNI103" s="13">
        <v>0.1</v>
      </c>
      <c r="WNJ103" s="13">
        <v>0.1</v>
      </c>
      <c r="WNK103" s="13">
        <v>0.1</v>
      </c>
      <c r="WNL103" s="13">
        <v>0.1</v>
      </c>
      <c r="WNM103" s="13">
        <v>0.1</v>
      </c>
      <c r="WNN103" s="13">
        <v>0.1</v>
      </c>
      <c r="WNO103" s="13">
        <v>0.1</v>
      </c>
      <c r="WNP103" s="13">
        <v>0.1</v>
      </c>
      <c r="WNQ103" s="13">
        <v>0.1</v>
      </c>
      <c r="WNR103" s="13">
        <v>0.1</v>
      </c>
      <c r="WNS103" s="13">
        <v>0.1</v>
      </c>
      <c r="WNT103" s="13">
        <v>0.1</v>
      </c>
      <c r="WNU103" s="13">
        <v>0.1</v>
      </c>
      <c r="WNV103" s="13">
        <v>0.1</v>
      </c>
      <c r="WNW103" s="13">
        <v>0.1</v>
      </c>
      <c r="WNX103" s="13">
        <v>0.1</v>
      </c>
      <c r="WNY103" s="13">
        <v>0.1</v>
      </c>
      <c r="WNZ103" s="13">
        <v>0.1</v>
      </c>
      <c r="WOA103" s="13">
        <v>0.1</v>
      </c>
      <c r="WOB103" s="13">
        <v>0.1</v>
      </c>
      <c r="WOC103" s="13">
        <v>0.1</v>
      </c>
      <c r="WOD103" s="13">
        <v>0.1</v>
      </c>
      <c r="WOE103" s="13">
        <v>0.1</v>
      </c>
      <c r="WOF103" s="13">
        <v>0.1</v>
      </c>
      <c r="WOG103" s="13">
        <v>0.1</v>
      </c>
      <c r="WOH103" s="13">
        <v>0.1</v>
      </c>
      <c r="WOI103" s="13">
        <v>0.1</v>
      </c>
      <c r="WOJ103" s="13">
        <v>0.1</v>
      </c>
      <c r="WOK103" s="13">
        <v>0.1</v>
      </c>
      <c r="WOL103" s="13">
        <v>0.1</v>
      </c>
      <c r="WOM103" s="13">
        <v>0.1</v>
      </c>
      <c r="WON103" s="13">
        <v>0.1</v>
      </c>
      <c r="WOO103" s="13">
        <v>0.1</v>
      </c>
      <c r="WOP103" s="13">
        <v>0.1</v>
      </c>
      <c r="WOQ103" s="13">
        <v>0.1</v>
      </c>
      <c r="WOR103" s="13">
        <v>0.1</v>
      </c>
      <c r="WOS103" s="13">
        <v>0.1</v>
      </c>
      <c r="WOT103" s="13">
        <v>0.1</v>
      </c>
      <c r="WOU103" s="13">
        <v>0.1</v>
      </c>
      <c r="WOV103" s="13">
        <v>0.1</v>
      </c>
      <c r="WOW103" s="13">
        <v>0.1</v>
      </c>
      <c r="WOX103" s="13">
        <v>0.1</v>
      </c>
      <c r="WOY103" s="13">
        <v>0.1</v>
      </c>
      <c r="WOZ103" s="13">
        <v>0.1</v>
      </c>
      <c r="WPA103" s="13">
        <v>0.1</v>
      </c>
      <c r="WPB103" s="13">
        <v>0.1</v>
      </c>
      <c r="WPC103" s="13">
        <v>0.1</v>
      </c>
      <c r="WPD103" s="13">
        <v>0.1</v>
      </c>
      <c r="WPE103" s="13">
        <v>0.1</v>
      </c>
      <c r="WPF103" s="13">
        <v>0.1</v>
      </c>
      <c r="WPG103" s="13">
        <v>0.1</v>
      </c>
      <c r="WPH103" s="13">
        <v>0.1</v>
      </c>
      <c r="WPI103" s="13">
        <v>0.1</v>
      </c>
      <c r="WPJ103" s="13">
        <v>0.1</v>
      </c>
      <c r="WPK103" s="13">
        <v>0.1</v>
      </c>
      <c r="WPL103" s="13">
        <v>0.1</v>
      </c>
      <c r="WPM103" s="13">
        <v>0.1</v>
      </c>
      <c r="WPN103" s="13">
        <v>0.1</v>
      </c>
      <c r="WPO103" s="13">
        <v>0.1</v>
      </c>
      <c r="WPP103" s="13">
        <v>0.1</v>
      </c>
      <c r="WPQ103" s="13">
        <v>0.1</v>
      </c>
      <c r="WPR103" s="13">
        <v>0.1</v>
      </c>
      <c r="WPS103" s="13">
        <v>0.1</v>
      </c>
      <c r="WPT103" s="13">
        <v>0.1</v>
      </c>
      <c r="WPU103" s="13">
        <v>0.1</v>
      </c>
      <c r="WPV103" s="13">
        <v>0.1</v>
      </c>
      <c r="WPW103" s="13">
        <v>0.1</v>
      </c>
      <c r="WPX103" s="13">
        <v>0.1</v>
      </c>
      <c r="WPY103" s="13">
        <v>0.1</v>
      </c>
      <c r="WPZ103" s="13">
        <v>0.1</v>
      </c>
      <c r="WQA103" s="13">
        <v>0.1</v>
      </c>
      <c r="WQB103" s="13">
        <v>0.1</v>
      </c>
      <c r="WQC103" s="13">
        <v>0.1</v>
      </c>
      <c r="WQD103" s="13">
        <v>0.1</v>
      </c>
      <c r="WQE103" s="13">
        <v>0.1</v>
      </c>
      <c r="WQF103" s="13">
        <v>0.1</v>
      </c>
      <c r="WQG103" s="13">
        <v>0.1</v>
      </c>
      <c r="WQH103" s="13">
        <v>0.1</v>
      </c>
      <c r="WQI103" s="13">
        <v>0.1</v>
      </c>
      <c r="WQJ103" s="13">
        <v>0.1</v>
      </c>
      <c r="WQK103" s="13">
        <v>0.1</v>
      </c>
      <c r="WQL103" s="13">
        <v>0.1</v>
      </c>
      <c r="WQM103" s="13">
        <v>0.1</v>
      </c>
      <c r="WQN103" s="13">
        <v>0.1</v>
      </c>
      <c r="WQO103" s="13">
        <v>0.1</v>
      </c>
      <c r="WQP103" s="13">
        <v>0.1</v>
      </c>
      <c r="WQQ103" s="13">
        <v>0.1</v>
      </c>
      <c r="WQR103" s="13">
        <v>0.1</v>
      </c>
      <c r="WQS103" s="13">
        <v>0.1</v>
      </c>
      <c r="WQT103" s="13">
        <v>0.1</v>
      </c>
      <c r="WQU103" s="13">
        <v>0.1</v>
      </c>
      <c r="WQV103" s="13">
        <v>0.1</v>
      </c>
      <c r="WQW103" s="13">
        <v>0.1</v>
      </c>
      <c r="WQX103" s="13">
        <v>0.1</v>
      </c>
      <c r="WQY103" s="13">
        <v>0.1</v>
      </c>
      <c r="WQZ103" s="13">
        <v>0.1</v>
      </c>
      <c r="WRA103" s="13">
        <v>0.1</v>
      </c>
      <c r="WRB103" s="13">
        <v>0.1</v>
      </c>
      <c r="WRC103" s="13">
        <v>0.1</v>
      </c>
      <c r="WRD103" s="13">
        <v>0.1</v>
      </c>
      <c r="WRE103" s="13">
        <v>0.1</v>
      </c>
      <c r="WRF103" s="13">
        <v>0.1</v>
      </c>
      <c r="WRG103" s="13">
        <v>0.1</v>
      </c>
      <c r="WRH103" s="13">
        <v>0.1</v>
      </c>
      <c r="WRI103" s="13">
        <v>0.1</v>
      </c>
      <c r="WRJ103" s="13">
        <v>0.1</v>
      </c>
      <c r="WRK103" s="13">
        <v>0.1</v>
      </c>
      <c r="WRL103" s="13">
        <v>0.1</v>
      </c>
      <c r="WRM103" s="13">
        <v>0.1</v>
      </c>
      <c r="WRN103" s="13">
        <v>0.1</v>
      </c>
      <c r="WRO103" s="13">
        <v>0.1</v>
      </c>
      <c r="WRP103" s="13">
        <v>0.1</v>
      </c>
      <c r="WRQ103" s="13">
        <v>0.1</v>
      </c>
      <c r="WRR103" s="13">
        <v>0.1</v>
      </c>
      <c r="WRS103" s="13">
        <v>0.1</v>
      </c>
      <c r="WRT103" s="13">
        <v>0.1</v>
      </c>
      <c r="WRU103" s="13">
        <v>0.1</v>
      </c>
      <c r="WRV103" s="13">
        <v>0.1</v>
      </c>
      <c r="WRW103" s="13">
        <v>0.1</v>
      </c>
      <c r="WRX103" s="13">
        <v>0.1</v>
      </c>
      <c r="WRY103" s="13">
        <v>0.1</v>
      </c>
      <c r="WRZ103" s="13">
        <v>0.1</v>
      </c>
      <c r="WSA103" s="13">
        <v>0.1</v>
      </c>
      <c r="WSB103" s="13">
        <v>0.1</v>
      </c>
      <c r="WSC103" s="13">
        <v>0.1</v>
      </c>
      <c r="WSD103" s="13">
        <v>0.1</v>
      </c>
      <c r="WSE103" s="13">
        <v>0.1</v>
      </c>
      <c r="WSF103" s="13">
        <v>0.1</v>
      </c>
      <c r="WSG103" s="13">
        <v>0.1</v>
      </c>
      <c r="WSH103" s="13">
        <v>0.1</v>
      </c>
      <c r="WSI103" s="13">
        <v>0.1</v>
      </c>
      <c r="WSJ103" s="13">
        <v>0.1</v>
      </c>
      <c r="WSK103" s="13">
        <v>0.1</v>
      </c>
      <c r="WSL103" s="13">
        <v>0.1</v>
      </c>
      <c r="WSM103" s="13">
        <v>0.1</v>
      </c>
      <c r="WSN103" s="13">
        <v>0.1</v>
      </c>
      <c r="WSO103" s="13">
        <v>0.1</v>
      </c>
      <c r="WSP103" s="13">
        <v>0.1</v>
      </c>
      <c r="WSQ103" s="13">
        <v>0.1</v>
      </c>
      <c r="WSR103" s="13">
        <v>0.1</v>
      </c>
      <c r="WSS103" s="13">
        <v>0.1</v>
      </c>
      <c r="WST103" s="13">
        <v>0.1</v>
      </c>
      <c r="WSU103" s="13">
        <v>0.1</v>
      </c>
      <c r="WSV103" s="13">
        <v>0.1</v>
      </c>
      <c r="WSW103" s="13">
        <v>0.1</v>
      </c>
      <c r="WSX103" s="13">
        <v>0.1</v>
      </c>
      <c r="WSY103" s="13">
        <v>0.1</v>
      </c>
      <c r="WSZ103" s="13">
        <v>0.1</v>
      </c>
      <c r="WTA103" s="13">
        <v>0.1</v>
      </c>
      <c r="WTB103" s="13">
        <v>0.1</v>
      </c>
      <c r="WTC103" s="13">
        <v>0.1</v>
      </c>
      <c r="WTD103" s="13">
        <v>0.1</v>
      </c>
      <c r="WTE103" s="13">
        <v>0.1</v>
      </c>
      <c r="WTF103" s="13">
        <v>0.1</v>
      </c>
      <c r="WTG103" s="13">
        <v>0.1</v>
      </c>
      <c r="WTH103" s="13">
        <v>0.1</v>
      </c>
      <c r="WTI103" s="13">
        <v>0.1</v>
      </c>
      <c r="WTJ103" s="13">
        <v>0.1</v>
      </c>
      <c r="WTK103" s="13">
        <v>0.1</v>
      </c>
      <c r="WTL103" s="13">
        <v>0.1</v>
      </c>
      <c r="WTM103" s="13">
        <v>0.1</v>
      </c>
      <c r="WTN103" s="13">
        <v>0.1</v>
      </c>
      <c r="WTO103" s="13">
        <v>0.1</v>
      </c>
      <c r="WTP103" s="13">
        <v>0.1</v>
      </c>
      <c r="WTQ103" s="13">
        <v>0.1</v>
      </c>
      <c r="WTR103" s="13">
        <v>0.1</v>
      </c>
      <c r="WTS103" s="13">
        <v>0.1</v>
      </c>
      <c r="WTT103" s="13">
        <v>0.1</v>
      </c>
      <c r="WTU103" s="13">
        <v>0.1</v>
      </c>
      <c r="WTV103" s="13">
        <v>0.1</v>
      </c>
      <c r="WTW103" s="13">
        <v>0.1</v>
      </c>
      <c r="WTX103" s="13">
        <v>0.1</v>
      </c>
      <c r="WTY103" s="13">
        <v>0.1</v>
      </c>
      <c r="WTZ103" s="13">
        <v>0.1</v>
      </c>
      <c r="WUA103" s="13">
        <v>0.1</v>
      </c>
      <c r="WUB103" s="13">
        <v>0.1</v>
      </c>
      <c r="WUC103" s="13">
        <v>0.1</v>
      </c>
      <c r="WUD103" s="13">
        <v>0.1</v>
      </c>
      <c r="WUE103" s="13">
        <v>0.1</v>
      </c>
      <c r="WUF103" s="13">
        <v>0.1</v>
      </c>
      <c r="WUG103" s="13">
        <v>0.1</v>
      </c>
      <c r="WUH103" s="13">
        <v>0.1</v>
      </c>
      <c r="WUI103" s="13">
        <v>0.1</v>
      </c>
      <c r="WUJ103" s="13">
        <v>0.1</v>
      </c>
      <c r="WUK103" s="13">
        <v>0.1</v>
      </c>
      <c r="WUL103" s="13">
        <v>0.1</v>
      </c>
      <c r="WUM103" s="13">
        <v>0.1</v>
      </c>
      <c r="WUN103" s="13">
        <v>0.1</v>
      </c>
      <c r="WUO103" s="13">
        <v>0.1</v>
      </c>
      <c r="WUP103" s="13">
        <v>0.1</v>
      </c>
      <c r="WUQ103" s="13">
        <v>0.1</v>
      </c>
      <c r="WUR103" s="13">
        <v>0.1</v>
      </c>
      <c r="WUS103" s="13">
        <v>0.1</v>
      </c>
      <c r="WUT103" s="13">
        <v>0.1</v>
      </c>
      <c r="WUU103" s="13">
        <v>0.1</v>
      </c>
      <c r="WUV103" s="13">
        <v>0.1</v>
      </c>
      <c r="WUW103" s="13">
        <v>0.1</v>
      </c>
      <c r="WUX103" s="13">
        <v>0.1</v>
      </c>
      <c r="WUY103" s="13">
        <v>0.1</v>
      </c>
      <c r="WUZ103" s="13">
        <v>0.1</v>
      </c>
      <c r="WVA103" s="13">
        <v>0.1</v>
      </c>
      <c r="WVB103" s="13">
        <v>0.1</v>
      </c>
      <c r="WVC103" s="13">
        <v>0.1</v>
      </c>
      <c r="WVD103" s="13">
        <v>0.1</v>
      </c>
      <c r="WVE103" s="13">
        <v>0.1</v>
      </c>
      <c r="WVF103" s="13">
        <v>0.1</v>
      </c>
      <c r="WVG103" s="13">
        <v>0.1</v>
      </c>
      <c r="WVH103" s="13">
        <v>0.1</v>
      </c>
      <c r="WVI103" s="13">
        <v>0.1</v>
      </c>
      <c r="WVJ103" s="13">
        <v>0.1</v>
      </c>
      <c r="WVK103" s="13">
        <v>0.1</v>
      </c>
      <c r="WVL103" s="13">
        <v>0.1</v>
      </c>
      <c r="WVM103" s="13">
        <v>0.1</v>
      </c>
      <c r="WVN103" s="13">
        <v>0.1</v>
      </c>
      <c r="WVO103" s="13">
        <v>0.1</v>
      </c>
      <c r="WVP103" s="13">
        <v>0.1</v>
      </c>
      <c r="WVQ103" s="13">
        <v>0.1</v>
      </c>
      <c r="WVR103" s="13">
        <v>0.1</v>
      </c>
      <c r="WVS103" s="13">
        <v>0.1</v>
      </c>
      <c r="WVT103" s="13">
        <v>0.1</v>
      </c>
      <c r="WVU103" s="13">
        <v>0.1</v>
      </c>
      <c r="WVV103" s="13">
        <v>0.1</v>
      </c>
      <c r="WVW103" s="13">
        <v>0.1</v>
      </c>
      <c r="WVX103" s="13">
        <v>0.1</v>
      </c>
      <c r="WVY103" s="13">
        <v>0.1</v>
      </c>
      <c r="WVZ103" s="13">
        <v>0.1</v>
      </c>
      <c r="WWA103" s="13">
        <v>0.1</v>
      </c>
      <c r="WWB103" s="13">
        <v>0.1</v>
      </c>
      <c r="WWC103" s="13">
        <v>0.1</v>
      </c>
      <c r="WWD103" s="13">
        <v>0.1</v>
      </c>
      <c r="WWE103" s="13">
        <v>0.1</v>
      </c>
      <c r="WWF103" s="13">
        <v>0.1</v>
      </c>
      <c r="WWG103" s="13">
        <v>0.1</v>
      </c>
      <c r="WWH103" s="13">
        <v>0.1</v>
      </c>
      <c r="WWI103" s="13">
        <v>0.1</v>
      </c>
      <c r="WWJ103" s="13">
        <v>0.1</v>
      </c>
      <c r="WWK103" s="13">
        <v>0.1</v>
      </c>
      <c r="WWL103" s="13">
        <v>0.1</v>
      </c>
      <c r="WWM103" s="13">
        <v>0.1</v>
      </c>
      <c r="WWN103" s="13">
        <v>0.1</v>
      </c>
      <c r="WWO103" s="13">
        <v>0.1</v>
      </c>
      <c r="WWP103" s="13">
        <v>0.1</v>
      </c>
      <c r="WWQ103" s="13">
        <v>0.1</v>
      </c>
      <c r="WWR103" s="13">
        <v>0.1</v>
      </c>
      <c r="WWS103" s="13">
        <v>0.1</v>
      </c>
      <c r="WWT103" s="13">
        <v>0.1</v>
      </c>
      <c r="WWU103" s="13">
        <v>0.1</v>
      </c>
      <c r="WWV103" s="13">
        <v>0.1</v>
      </c>
      <c r="WWW103" s="13">
        <v>0.1</v>
      </c>
      <c r="WWX103" s="13">
        <v>0.1</v>
      </c>
      <c r="WWY103" s="13">
        <v>0.1</v>
      </c>
      <c r="WWZ103" s="13">
        <v>0.1</v>
      </c>
      <c r="WXA103" s="13">
        <v>0.1</v>
      </c>
      <c r="WXB103" s="13">
        <v>0.1</v>
      </c>
      <c r="WXC103" s="13">
        <v>0.1</v>
      </c>
      <c r="WXD103" s="13">
        <v>0.1</v>
      </c>
      <c r="WXE103" s="13">
        <v>0.1</v>
      </c>
      <c r="WXF103" s="13">
        <v>0.1</v>
      </c>
      <c r="WXG103" s="13">
        <v>0.1</v>
      </c>
      <c r="WXH103" s="13">
        <v>0.1</v>
      </c>
      <c r="WXI103" s="13">
        <v>0.1</v>
      </c>
      <c r="WXJ103" s="13">
        <v>0.1</v>
      </c>
      <c r="WXK103" s="13">
        <v>0.1</v>
      </c>
      <c r="WXL103" s="13">
        <v>0.1</v>
      </c>
      <c r="WXM103" s="13">
        <v>0.1</v>
      </c>
      <c r="WXN103" s="13">
        <v>0.1</v>
      </c>
      <c r="WXO103" s="13">
        <v>0.1</v>
      </c>
      <c r="WXP103" s="13">
        <v>0.1</v>
      </c>
      <c r="WXQ103" s="13">
        <v>0.1</v>
      </c>
      <c r="WXR103" s="13">
        <v>0.1</v>
      </c>
      <c r="WXS103" s="13">
        <v>0.1</v>
      </c>
      <c r="WXT103" s="13">
        <v>0.1</v>
      </c>
      <c r="WXU103" s="13">
        <v>0.1</v>
      </c>
      <c r="WXV103" s="13">
        <v>0.1</v>
      </c>
      <c r="WXW103" s="13">
        <v>0.1</v>
      </c>
      <c r="WXX103" s="13">
        <v>0.1</v>
      </c>
      <c r="WXY103" s="13">
        <v>0.1</v>
      </c>
      <c r="WXZ103" s="13">
        <v>0.1</v>
      </c>
      <c r="WYA103" s="13">
        <v>0.1</v>
      </c>
      <c r="WYB103" s="13">
        <v>0.1</v>
      </c>
      <c r="WYC103" s="13">
        <v>0.1</v>
      </c>
      <c r="WYD103" s="13">
        <v>0.1</v>
      </c>
      <c r="WYE103" s="13">
        <v>0.1</v>
      </c>
      <c r="WYF103" s="13">
        <v>0.1</v>
      </c>
      <c r="WYG103" s="13">
        <v>0.1</v>
      </c>
      <c r="WYH103" s="13">
        <v>0.1</v>
      </c>
      <c r="WYI103" s="13">
        <v>0.1</v>
      </c>
      <c r="WYJ103" s="13">
        <v>0.1</v>
      </c>
      <c r="WYK103" s="13">
        <v>0.1</v>
      </c>
      <c r="WYL103" s="13">
        <v>0.1</v>
      </c>
      <c r="WYM103" s="13">
        <v>0.1</v>
      </c>
      <c r="WYN103" s="13">
        <v>0.1</v>
      </c>
      <c r="WYO103" s="13">
        <v>0.1</v>
      </c>
      <c r="WYP103" s="13">
        <v>0.1</v>
      </c>
      <c r="WYQ103" s="13">
        <v>0.1</v>
      </c>
      <c r="WYR103" s="13">
        <v>0.1</v>
      </c>
      <c r="WYS103" s="13">
        <v>0.1</v>
      </c>
      <c r="WYT103" s="13">
        <v>0.1</v>
      </c>
      <c r="WYU103" s="13">
        <v>0.1</v>
      </c>
      <c r="WYV103" s="13">
        <v>0.1</v>
      </c>
      <c r="WYW103" s="13">
        <v>0.1</v>
      </c>
      <c r="WYX103" s="13">
        <v>0.1</v>
      </c>
      <c r="WYY103" s="13">
        <v>0.1</v>
      </c>
      <c r="WYZ103" s="13">
        <v>0.1</v>
      </c>
      <c r="WZA103" s="13">
        <v>0.1</v>
      </c>
      <c r="WZB103" s="13">
        <v>0.1</v>
      </c>
      <c r="WZC103" s="13">
        <v>0.1</v>
      </c>
      <c r="WZD103" s="13">
        <v>0.1</v>
      </c>
      <c r="WZE103" s="13">
        <v>0.1</v>
      </c>
      <c r="WZF103" s="13">
        <v>0.1</v>
      </c>
      <c r="WZG103" s="13">
        <v>0.1</v>
      </c>
      <c r="WZH103" s="13">
        <v>0.1</v>
      </c>
      <c r="WZI103" s="13">
        <v>0.1</v>
      </c>
      <c r="WZJ103" s="13">
        <v>0.1</v>
      </c>
      <c r="WZK103" s="13">
        <v>0.1</v>
      </c>
      <c r="WZL103" s="13">
        <v>0.1</v>
      </c>
      <c r="WZM103" s="13">
        <v>0.1</v>
      </c>
      <c r="WZN103" s="13">
        <v>0.1</v>
      </c>
      <c r="WZO103" s="13">
        <v>0.1</v>
      </c>
      <c r="WZP103" s="13">
        <v>0.1</v>
      </c>
      <c r="WZQ103" s="13">
        <v>0.1</v>
      </c>
      <c r="WZR103" s="13">
        <v>0.1</v>
      </c>
      <c r="WZS103" s="13">
        <v>0.1</v>
      </c>
      <c r="WZT103" s="13">
        <v>0.1</v>
      </c>
      <c r="WZU103" s="13">
        <v>0.1</v>
      </c>
      <c r="WZV103" s="13">
        <v>0.1</v>
      </c>
      <c r="WZW103" s="13">
        <v>0.1</v>
      </c>
      <c r="WZX103" s="13">
        <v>0.1</v>
      </c>
      <c r="WZY103" s="13">
        <v>0.1</v>
      </c>
      <c r="WZZ103" s="13">
        <v>0.1</v>
      </c>
      <c r="XAA103" s="13">
        <v>0.1</v>
      </c>
      <c r="XAB103" s="13">
        <v>0.1</v>
      </c>
      <c r="XAC103" s="13">
        <v>0.1</v>
      </c>
      <c r="XAD103" s="13">
        <v>0.1</v>
      </c>
      <c r="XAE103" s="13">
        <v>0.1</v>
      </c>
      <c r="XAF103" s="13">
        <v>0.1</v>
      </c>
      <c r="XAG103" s="13">
        <v>0.1</v>
      </c>
      <c r="XAH103" s="13">
        <v>0.1</v>
      </c>
      <c r="XAI103" s="13">
        <v>0.1</v>
      </c>
      <c r="XAJ103" s="13">
        <v>0.1</v>
      </c>
      <c r="XAK103" s="13">
        <v>0.1</v>
      </c>
      <c r="XAL103" s="13">
        <v>0.1</v>
      </c>
      <c r="XAM103" s="13">
        <v>0.1</v>
      </c>
      <c r="XAN103" s="13">
        <v>0.1</v>
      </c>
      <c r="XAO103" s="13">
        <v>0.1</v>
      </c>
      <c r="XAP103" s="13">
        <v>0.1</v>
      </c>
      <c r="XAQ103" s="13">
        <v>0.1</v>
      </c>
      <c r="XAR103" s="13">
        <v>0.1</v>
      </c>
      <c r="XAS103" s="13">
        <v>0.1</v>
      </c>
      <c r="XAT103" s="13">
        <v>0.1</v>
      </c>
      <c r="XAU103" s="13">
        <v>0.1</v>
      </c>
      <c r="XAV103" s="13">
        <v>0.1</v>
      </c>
      <c r="XAW103" s="13">
        <v>0.1</v>
      </c>
      <c r="XAX103" s="13">
        <v>0.1</v>
      </c>
      <c r="XAY103" s="13">
        <v>0.1</v>
      </c>
      <c r="XAZ103" s="13">
        <v>0.1</v>
      </c>
      <c r="XBA103" s="13">
        <v>0.1</v>
      </c>
      <c r="XBB103" s="13">
        <v>0.1</v>
      </c>
      <c r="XBC103" s="13">
        <v>0.1</v>
      </c>
      <c r="XBD103" s="13">
        <v>0.1</v>
      </c>
      <c r="XBE103" s="13">
        <v>0.1</v>
      </c>
      <c r="XBF103" s="13">
        <v>0.1</v>
      </c>
      <c r="XBG103" s="13">
        <v>0.1</v>
      </c>
      <c r="XBH103" s="13">
        <v>0.1</v>
      </c>
      <c r="XBI103" s="13">
        <v>0.1</v>
      </c>
      <c r="XBJ103" s="13">
        <v>0.1</v>
      </c>
      <c r="XBK103" s="13">
        <v>0.1</v>
      </c>
      <c r="XBL103" s="13">
        <v>0.1</v>
      </c>
      <c r="XBM103" s="13">
        <v>0.1</v>
      </c>
      <c r="XBN103" s="13">
        <v>0.1</v>
      </c>
      <c r="XBO103" s="13">
        <v>0.1</v>
      </c>
      <c r="XBP103" s="13">
        <v>0.1</v>
      </c>
      <c r="XBQ103" s="13">
        <v>0.1</v>
      </c>
      <c r="XBR103" s="13">
        <v>0.1</v>
      </c>
      <c r="XBS103" s="13">
        <v>0.1</v>
      </c>
      <c r="XBT103" s="13">
        <v>0.1</v>
      </c>
      <c r="XBU103" s="13">
        <v>0.1</v>
      </c>
      <c r="XBV103" s="13">
        <v>0.1</v>
      </c>
      <c r="XBW103" s="13">
        <v>0.1</v>
      </c>
      <c r="XBX103" s="13">
        <v>0.1</v>
      </c>
      <c r="XBY103" s="13">
        <v>0.1</v>
      </c>
      <c r="XBZ103" s="13">
        <v>0.1</v>
      </c>
      <c r="XCA103" s="13">
        <v>0.1</v>
      </c>
      <c r="XCB103" s="13">
        <v>0.1</v>
      </c>
      <c r="XCC103" s="13">
        <v>0.1</v>
      </c>
      <c r="XCD103" s="13">
        <v>0.1</v>
      </c>
      <c r="XCE103" s="13">
        <v>0.1</v>
      </c>
      <c r="XCF103" s="13">
        <v>0.1</v>
      </c>
      <c r="XCG103" s="13">
        <v>0.1</v>
      </c>
      <c r="XCH103" s="13">
        <v>0.1</v>
      </c>
      <c r="XCI103" s="13">
        <v>0.1</v>
      </c>
      <c r="XCJ103" s="13">
        <v>0.1</v>
      </c>
      <c r="XCK103" s="13">
        <v>0.1</v>
      </c>
      <c r="XCL103" s="13">
        <v>0.1</v>
      </c>
      <c r="XCM103" s="13">
        <v>0.1</v>
      </c>
      <c r="XCN103" s="13">
        <v>0.1</v>
      </c>
      <c r="XCO103" s="13">
        <v>0.1</v>
      </c>
      <c r="XCP103" s="13">
        <v>0.1</v>
      </c>
      <c r="XCQ103" s="13">
        <v>0.1</v>
      </c>
      <c r="XCR103" s="13">
        <v>0.1</v>
      </c>
      <c r="XCS103" s="13">
        <v>0.1</v>
      </c>
      <c r="XCT103" s="13">
        <v>0.1</v>
      </c>
      <c r="XCU103" s="13">
        <v>0.1</v>
      </c>
      <c r="XCV103" s="13">
        <v>0.1</v>
      </c>
      <c r="XCW103" s="13">
        <v>0.1</v>
      </c>
      <c r="XCX103" s="13">
        <v>0.1</v>
      </c>
      <c r="XCY103" s="13">
        <v>0.1</v>
      </c>
      <c r="XCZ103" s="13">
        <v>0.1</v>
      </c>
      <c r="XDA103" s="13">
        <v>0.1</v>
      </c>
      <c r="XDB103" s="13">
        <v>0.1</v>
      </c>
      <c r="XDC103" s="13">
        <v>0.1</v>
      </c>
      <c r="XDD103" s="13">
        <v>0.1</v>
      </c>
      <c r="XDE103" s="13">
        <v>0.1</v>
      </c>
      <c r="XDF103" s="13">
        <v>0.1</v>
      </c>
      <c r="XDG103" s="13">
        <v>0.1</v>
      </c>
      <c r="XDH103" s="13">
        <v>0.1</v>
      </c>
      <c r="XDI103" s="13">
        <v>0.1</v>
      </c>
      <c r="XDJ103" s="13">
        <v>0.1</v>
      </c>
      <c r="XDK103" s="13">
        <v>0.1</v>
      </c>
      <c r="XDL103" s="13">
        <v>0.1</v>
      </c>
      <c r="XDM103" s="13">
        <v>0.1</v>
      </c>
      <c r="XDN103" s="13">
        <v>0.1</v>
      </c>
      <c r="XDO103" s="13">
        <v>0.1</v>
      </c>
      <c r="XDP103" s="13">
        <v>0.1</v>
      </c>
      <c r="XDQ103" s="13">
        <v>0.1</v>
      </c>
      <c r="XDR103" s="13">
        <v>0.1</v>
      </c>
      <c r="XDS103" s="13">
        <v>0.1</v>
      </c>
      <c r="XDT103" s="13">
        <v>0.1</v>
      </c>
      <c r="XDU103" s="13">
        <v>0.1</v>
      </c>
      <c r="XDV103" s="13">
        <v>0.1</v>
      </c>
      <c r="XDW103" s="13">
        <v>0.1</v>
      </c>
      <c r="XDX103" s="13">
        <v>0.1</v>
      </c>
      <c r="XDY103" s="13">
        <v>0.1</v>
      </c>
      <c r="XDZ103" s="13">
        <v>0.1</v>
      </c>
      <c r="XEA103" s="13">
        <v>0.1</v>
      </c>
      <c r="XEB103" s="13">
        <v>0.1</v>
      </c>
      <c r="XEC103" s="13">
        <v>0.1</v>
      </c>
      <c r="XED103" s="13">
        <v>0.1</v>
      </c>
      <c r="XEE103" s="13">
        <v>0.1</v>
      </c>
      <c r="XEF103" s="13">
        <v>0.1</v>
      </c>
      <c r="XEG103" s="13">
        <v>0.1</v>
      </c>
      <c r="XEH103" s="13">
        <v>0.1</v>
      </c>
      <c r="XEI103" s="13">
        <v>0.1</v>
      </c>
      <c r="XEJ103" s="13">
        <v>0.1</v>
      </c>
      <c r="XEK103" s="13">
        <v>0.1</v>
      </c>
      <c r="XEL103" s="13">
        <v>0.1</v>
      </c>
      <c r="XEM103" s="13">
        <v>0.1</v>
      </c>
      <c r="XEN103" s="13">
        <v>0.1</v>
      </c>
      <c r="XEO103" s="13">
        <v>0.1</v>
      </c>
      <c r="XEP103" s="13">
        <v>0.1</v>
      </c>
      <c r="XEQ103" s="13">
        <v>0.1</v>
      </c>
      <c r="XER103" s="13">
        <v>0.1</v>
      </c>
      <c r="XES103" s="13">
        <v>0.1</v>
      </c>
      <c r="XET103" s="13">
        <v>0.1</v>
      </c>
      <c r="XEU103" s="13">
        <v>0.1</v>
      </c>
      <c r="XEV103" s="13">
        <v>0.1</v>
      </c>
      <c r="XEW103" s="13">
        <v>0.1</v>
      </c>
      <c r="XEX103" s="13">
        <v>0.1</v>
      </c>
      <c r="XEY103" s="13">
        <v>0.1</v>
      </c>
      <c r="XEZ103" s="13">
        <v>0.1</v>
      </c>
      <c r="XFA103" s="13">
        <v>0.1</v>
      </c>
      <c r="XFB103" s="13">
        <v>0.1</v>
      </c>
      <c r="XFC103" s="13">
        <v>0.1</v>
      </c>
      <c r="XFD103" s="13">
        <v>0.1</v>
      </c>
    </row>
    <row r="104" spans="1:16384" s="2" customFormat="1" ht="14.25" customHeight="1">
      <c r="A104" s="284"/>
      <c r="B104" s="285" t="s">
        <v>111</v>
      </c>
      <c r="C104" s="3" t="s">
        <v>112</v>
      </c>
      <c r="D104" s="3" t="str">
        <f>VLOOKUP(FR_CH[[#This Row],[Product Line]],Prod_T6[],5,0)</f>
        <v>TCL</v>
      </c>
      <c r="E104" s="2" t="s">
        <v>54</v>
      </c>
      <c r="F104" s="2" t="s">
        <v>121</v>
      </c>
      <c r="G104" s="1" t="s">
        <v>120</v>
      </c>
      <c r="H104" s="1"/>
      <c r="I104" s="40" t="s">
        <v>117</v>
      </c>
      <c r="J104" s="13"/>
      <c r="K104" s="13"/>
      <c r="L104" s="13"/>
      <c r="M104" s="13">
        <v>1.3</v>
      </c>
      <c r="N104" s="13">
        <v>1.3</v>
      </c>
      <c r="O104" s="13">
        <v>1.3</v>
      </c>
      <c r="P104" s="13">
        <v>0.1</v>
      </c>
      <c r="Q104" s="13">
        <v>0.1</v>
      </c>
      <c r="R104" s="13">
        <v>0.1</v>
      </c>
      <c r="S104" s="32">
        <f>SUM(FR_CH[[#This Row],[26M04]:[26M06]])</f>
        <v>0</v>
      </c>
      <c r="T104" s="69">
        <f>SUM(FR_CH[[#This Row],[26M07]:[26M09]])</f>
        <v>3.9000000000000004</v>
      </c>
      <c r="U104" s="69">
        <f>SUM(FR_CH[[#This Row],[26M10]:[26M12]])</f>
        <v>0.30000000000000004</v>
      </c>
      <c r="V104" s="256"/>
      <c r="W104" s="256"/>
      <c r="X104" s="256"/>
      <c r="Y104" s="256"/>
      <c r="Z104" s="256"/>
      <c r="AA104" s="256"/>
      <c r="AB104" s="256">
        <f>SUM(FR_CH[[#This Row],[27M01]:[27M03]])</f>
        <v>0</v>
      </c>
      <c r="AC104" s="256">
        <f>SUM(FR_CH[[#This Row],[27M01]:[27M03]])</f>
        <v>0</v>
      </c>
      <c r="AD104" s="256" t="str">
        <f>IF(SUM(FR_CH[[#This Row],[26Q2]:[26Q4]])+SUM(FR_CH[[#This Row],[27Q1]:[27Q2]])=0,"No FSCT",IF(AND(SUM(FR_CH[[#This Row],[26Q2]:[26Q4]])&gt;0,SUM(FR_CH[[#This Row],[27Q1]:[27Q2]])=0),"YES","NO"))</f>
        <v>YES</v>
      </c>
      <c r="AE104" s="85" t="str">
        <f>VLOOKUP(FR_CH[[#This Row],[Product Line]],Prod_T6[],4,0)</f>
        <v>PV</v>
      </c>
      <c r="AF104" s="3"/>
      <c r="AG104" s="3"/>
      <c r="AH104" s="3"/>
    </row>
    <row r="105" spans="1:16384" s="2" customFormat="1" ht="14.25" customHeight="1">
      <c r="A105" s="284"/>
      <c r="B105" s="285" t="s">
        <v>111</v>
      </c>
      <c r="C105" s="3" t="s">
        <v>112</v>
      </c>
      <c r="D105" s="3" t="str">
        <f>VLOOKUP(FR_CH[[#This Row],[Product Line]],Prod_T6[],5,0)</f>
        <v>Sunpower</v>
      </c>
      <c r="E105" s="2" t="s">
        <v>118</v>
      </c>
      <c r="F105" s="2" t="s">
        <v>119</v>
      </c>
      <c r="G105" s="1" t="s">
        <v>120</v>
      </c>
      <c r="H105" s="1"/>
      <c r="I105" s="15" t="s">
        <v>117</v>
      </c>
      <c r="J105" s="13">
        <v>0.2</v>
      </c>
      <c r="K105" s="13">
        <v>0</v>
      </c>
      <c r="L105" s="13">
        <v>0.2</v>
      </c>
      <c r="M105" s="13">
        <v>0.4</v>
      </c>
      <c r="N105" s="13">
        <v>0.4</v>
      </c>
      <c r="O105" s="13">
        <v>0.4</v>
      </c>
      <c r="P105" s="13">
        <v>0.1</v>
      </c>
      <c r="Q105" s="13">
        <v>0.1</v>
      </c>
      <c r="R105" s="13">
        <v>0.1</v>
      </c>
      <c r="S105" s="32">
        <f>SUM(FR_CH[[#This Row],[26M04]:[26M06]])</f>
        <v>0.4</v>
      </c>
      <c r="T105" s="69">
        <f>SUM(FR_CH[[#This Row],[26M07]:[26M09]])</f>
        <v>1.2000000000000002</v>
      </c>
      <c r="U105" s="69">
        <f>SUM(FR_CH[[#This Row],[26M10]:[26M12]])</f>
        <v>0.30000000000000004</v>
      </c>
      <c r="V105" s="256"/>
      <c r="W105" s="256"/>
      <c r="X105" s="256"/>
      <c r="Y105" s="256"/>
      <c r="Z105" s="256"/>
      <c r="AA105" s="256"/>
      <c r="AB105" s="256">
        <f>SUM(FR_CH[[#This Row],[27M01]:[27M03]])</f>
        <v>0</v>
      </c>
      <c r="AC105" s="256">
        <f>SUM(FR_CH[[#This Row],[27M01]:[27M03]])</f>
        <v>0</v>
      </c>
      <c r="AD105" s="256" t="str">
        <f>IF(SUM(FR_CH[[#This Row],[26Q2]:[26Q4]])+SUM(FR_CH[[#This Row],[27Q1]:[27Q2]])=0,"No FSCT",IF(AND(SUM(FR_CH[[#This Row],[26Q2]:[26Q4]])&gt;0,SUM(FR_CH[[#This Row],[27Q1]:[27Q2]])=0),"YES","NO"))</f>
        <v>YES</v>
      </c>
      <c r="AE105" s="85" t="str">
        <f>VLOOKUP(FR_CH[[#This Row],[Product Line]],Prod_T6[],4,0)</f>
        <v>PV</v>
      </c>
      <c r="AF105" s="3"/>
      <c r="AG105" s="3"/>
    </row>
    <row r="106" spans="1:16384" s="2" customFormat="1" ht="14.25" customHeight="1">
      <c r="A106" s="284"/>
      <c r="B106" s="285" t="s">
        <v>111</v>
      </c>
      <c r="C106" s="3" t="s">
        <v>112</v>
      </c>
      <c r="D106" s="3" t="str">
        <f>VLOOKUP(FR_CH[[#This Row],[Product Line]],Prod_T6[],5,0)</f>
        <v>TCL</v>
      </c>
      <c r="E106" s="2" t="s">
        <v>113</v>
      </c>
      <c r="F106" s="2" t="s">
        <v>114</v>
      </c>
      <c r="G106" s="1" t="s">
        <v>115</v>
      </c>
      <c r="H106" s="1" t="s">
        <v>116</v>
      </c>
      <c r="I106" s="15" t="s">
        <v>117</v>
      </c>
      <c r="J106" s="13"/>
      <c r="K106" s="13"/>
      <c r="L106" s="13"/>
      <c r="M106" s="13"/>
      <c r="N106" s="13"/>
      <c r="O106" s="13"/>
      <c r="P106" s="13"/>
      <c r="Q106" s="13"/>
      <c r="R106" s="13">
        <v>0.4</v>
      </c>
      <c r="S106" s="32">
        <f>SUM(FR_CH[[#This Row],[26M04]:[26M06]])</f>
        <v>0</v>
      </c>
      <c r="T106" s="69">
        <f>SUM(FR_CH[[#This Row],[26M07]:[26M09]])</f>
        <v>0</v>
      </c>
      <c r="U106" s="69">
        <f>SUM(FR_CH[[#This Row],[26M10]:[26M12]])</f>
        <v>0.4</v>
      </c>
      <c r="V106" s="256"/>
      <c r="W106" s="256"/>
      <c r="X106" s="256"/>
      <c r="Y106" s="256"/>
      <c r="Z106" s="256"/>
      <c r="AA106" s="256"/>
      <c r="AB106" s="256">
        <f>SUM(FR_CH[[#This Row],[27M01]:[27M03]])</f>
        <v>0</v>
      </c>
      <c r="AC106" s="256">
        <f>SUM(FR_CH[[#This Row],[27M01]:[27M03]])</f>
        <v>0</v>
      </c>
      <c r="AD106" s="256" t="str">
        <f>IF(SUM(FR_CH[[#This Row],[26Q2]:[26Q4]])+SUM(FR_CH[[#This Row],[27Q1]:[27Q2]])=0,"No FSCT",IF(AND(SUM(FR_CH[[#This Row],[26Q2]:[26Q4]])&gt;0,SUM(FR_CH[[#This Row],[27Q1]:[27Q2]])=0),"YES","NO"))</f>
        <v>YES</v>
      </c>
      <c r="AE106" s="85" t="str">
        <f>VLOOKUP(FR_CH[[#This Row],[Product Line]],Prod_T6[],4,0)</f>
        <v>PV</v>
      </c>
      <c r="AF106" s="3"/>
      <c r="AG106" s="3"/>
    </row>
    <row r="107" spans="1:16384" s="2" customFormat="1" ht="14.25" customHeight="1">
      <c r="A107" s="29" t="s">
        <v>30</v>
      </c>
      <c r="B107" s="1" t="s">
        <v>188</v>
      </c>
      <c r="C107" s="3" t="s">
        <v>251</v>
      </c>
      <c r="D107" s="3" t="s">
        <v>653</v>
      </c>
      <c r="E107" s="2" t="s">
        <v>113</v>
      </c>
      <c r="F107" s="2" t="s">
        <v>208</v>
      </c>
      <c r="G107" s="1" t="s">
        <v>115</v>
      </c>
      <c r="H107" s="1" t="s">
        <v>252</v>
      </c>
      <c r="I107" s="13" t="s">
        <v>117</v>
      </c>
      <c r="J107" s="13"/>
      <c r="K107" s="13"/>
      <c r="L107" s="13"/>
      <c r="M107" s="13"/>
      <c r="N107" s="13"/>
      <c r="O107" s="13"/>
      <c r="P107" s="32"/>
      <c r="Q107" s="79"/>
      <c r="R107" s="32">
        <v>0</v>
      </c>
      <c r="S107" s="69">
        <v>0</v>
      </c>
      <c r="T107" s="69">
        <v>0</v>
      </c>
      <c r="U107" s="256"/>
      <c r="V107" s="256">
        <v>10</v>
      </c>
      <c r="W107" s="256"/>
      <c r="X107" s="256"/>
      <c r="Y107" s="256"/>
      <c r="Z107" s="256"/>
      <c r="AA107" s="256"/>
      <c r="AB107" s="256">
        <f>SUM(FR_CH[[#This Row],[27M01]:[27M03]])</f>
        <v>10</v>
      </c>
      <c r="AC107" s="256">
        <f>SUM(FR_CH[[#This Row],[27M01]:[27M03]])</f>
        <v>10</v>
      </c>
      <c r="AD107" s="120" t="s">
        <v>654</v>
      </c>
      <c r="AE107" s="3" t="s">
        <v>70</v>
      </c>
      <c r="AF107" s="3"/>
      <c r="AG107" s="3"/>
    </row>
    <row r="108" spans="1:16384" s="2" customFormat="1" ht="14.25" customHeight="1">
      <c r="A108" s="29"/>
      <c r="B108" s="1"/>
      <c r="C108" s="3"/>
      <c r="D108" s="3"/>
      <c r="G108" s="1"/>
      <c r="H108" s="1"/>
      <c r="I108" s="13"/>
      <c r="J108" s="13"/>
      <c r="K108" s="13"/>
      <c r="L108" s="13"/>
      <c r="M108" s="13"/>
      <c r="N108" s="13"/>
      <c r="O108" s="13"/>
      <c r="P108" s="108"/>
      <c r="Q108" s="79"/>
      <c r="R108" s="108"/>
      <c r="S108" s="256"/>
      <c r="T108" s="256"/>
      <c r="U108" s="256"/>
      <c r="V108" s="256"/>
      <c r="W108" s="256"/>
      <c r="X108" s="256"/>
      <c r="Y108" s="256"/>
      <c r="Z108" s="256"/>
      <c r="AA108" s="256"/>
      <c r="AB108" s="256"/>
      <c r="AC108" s="256"/>
      <c r="AD108" s="120"/>
      <c r="AE108" s="3"/>
      <c r="AF108" s="3"/>
      <c r="AG108" s="3"/>
    </row>
    <row r="109" spans="1:16384" s="2" customFormat="1" ht="14.25" customHeight="1">
      <c r="A109" s="29"/>
      <c r="B109" s="1"/>
      <c r="C109" s="3"/>
      <c r="D109" s="3"/>
      <c r="G109" s="1"/>
      <c r="H109" s="1"/>
      <c r="I109" s="13"/>
      <c r="J109" s="13"/>
      <c r="K109" s="13"/>
      <c r="L109" s="13"/>
      <c r="M109" s="13"/>
      <c r="N109" s="13"/>
      <c r="O109" s="13"/>
      <c r="P109" s="108"/>
      <c r="Q109" s="79"/>
      <c r="R109" s="108"/>
      <c r="S109" s="256"/>
      <c r="T109" s="256"/>
      <c r="U109" s="256"/>
      <c r="V109" s="256"/>
      <c r="W109" s="256"/>
      <c r="X109" s="256"/>
      <c r="Y109" s="256"/>
      <c r="Z109" s="256"/>
      <c r="AA109" s="256"/>
      <c r="AB109" s="256"/>
      <c r="AC109" s="256"/>
      <c r="AD109" s="120"/>
      <c r="AE109" s="3"/>
      <c r="AF109" s="3"/>
      <c r="AG109" s="3"/>
    </row>
    <row r="111" spans="1:16384" s="2" customFormat="1" ht="14.25" customHeight="1">
      <c r="B111" s="1"/>
      <c r="C111" s="3"/>
      <c r="D111" s="3"/>
      <c r="G111" s="1"/>
      <c r="H111" s="1"/>
      <c r="I111" s="46"/>
      <c r="S111" s="5"/>
      <c r="X111" s="1"/>
    </row>
    <row r="112" spans="1:16384" s="2" customFormat="1" ht="14.25" customHeight="1">
      <c r="B112" s="1"/>
      <c r="C112" s="3"/>
      <c r="D112" s="3"/>
      <c r="F112" s="2" t="s">
        <v>655</v>
      </c>
      <c r="G112" s="1"/>
      <c r="H112" s="1"/>
      <c r="I112" s="46"/>
      <c r="P112" s="1" t="s">
        <v>656</v>
      </c>
      <c r="S112" s="1" t="s">
        <v>657</v>
      </c>
      <c r="X112" s="1" t="s">
        <v>658</v>
      </c>
    </row>
    <row r="113" spans="6:24" ht="14.25" customHeight="1">
      <c r="F113" s="2" t="s">
        <v>659</v>
      </c>
      <c r="G113" s="1" t="s">
        <v>660</v>
      </c>
      <c r="P113" s="1" t="s">
        <v>661</v>
      </c>
      <c r="S113" s="1" t="s">
        <v>662</v>
      </c>
      <c r="X113" s="1" t="s">
        <v>663</v>
      </c>
    </row>
    <row r="114" spans="6:24" ht="14.25" customHeight="1">
      <c r="P114" s="1" t="s">
        <v>664</v>
      </c>
      <c r="S114" s="1" t="s">
        <v>665</v>
      </c>
      <c r="X114" s="1" t="s">
        <v>666</v>
      </c>
    </row>
    <row r="115" spans="6:24" ht="14.25" customHeight="1">
      <c r="P115" s="1" t="s">
        <v>667</v>
      </c>
      <c r="S115" s="1" t="s">
        <v>668</v>
      </c>
      <c r="X115" s="1"/>
    </row>
    <row r="116" spans="6:24" ht="14.25" customHeight="1">
      <c r="P116" s="1" t="s">
        <v>669</v>
      </c>
      <c r="S116" s="1" t="s">
        <v>670</v>
      </c>
    </row>
    <row r="117" spans="6:24" ht="14.25" customHeight="1">
      <c r="P117" s="1" t="s">
        <v>671</v>
      </c>
      <c r="S117" s="1" t="s">
        <v>672</v>
      </c>
    </row>
    <row r="118" spans="6:24" ht="14.25" customHeight="1">
      <c r="P118" s="1" t="s">
        <v>673</v>
      </c>
      <c r="S118" s="1" t="s">
        <v>674</v>
      </c>
    </row>
    <row r="121" spans="6:24" ht="17.25" customHeight="1"/>
  </sheetData>
  <phoneticPr fontId="58" type="noConversion"/>
  <dataValidations count="4">
    <dataValidation type="list" allowBlank="1" showInputMessage="1" showErrorMessage="1" sqref="A6:A102 A104:A109" xr:uid="{93D9D25D-39E3-4635-8A67-07FE6D7A9DB2}">
      <formula1>Country_List</formula1>
    </dataValidation>
    <dataValidation type="list" allowBlank="1" showInputMessage="1" showErrorMessage="1" sqref="E39:E84 E10:E36 C37:E38 C9:E9 E6:E8 E87:E98 E100:E109" xr:uid="{0A196E78-6F91-46A2-8406-FB4BED3B8880}">
      <formula1>Product_List</formula1>
    </dataValidation>
    <dataValidation type="list" allowBlank="1" showInputMessage="1" showErrorMessage="1" sqref="G6:G109" xr:uid="{DB798095-FB90-406D-9FDA-2F435490B9EC}">
      <formula1>Stage_List</formula1>
    </dataValidation>
    <dataValidation type="list" allowBlank="1" showInputMessage="1" showErrorMessage="1" sqref="B6:B65 B107:B109 B87:B98 B78:B84 F6:F109" xr:uid="{56F8AA04-A0F5-4460-B40F-29DE372F8BD9}">
      <formula1>INDIRECT(A6)</formula1>
    </dataValidation>
  </dataValidations>
  <pageMargins left="0.70866141732283505" right="0.70866141732283505" top="0.74803149606299202" bottom="0.74803149606299202" header="0.31496062992126" footer="0.31496062992126"/>
  <pageSetup paperSize="9" scale="52" orientation="landscape" r:id="rId1"/>
  <legacy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3D40F-FFED-4E2F-86C6-D8DA8BE8E1A1}">
  <sheetPr codeName="Sheet6">
    <tabColor rgb="FFFFFF00"/>
    <pageSetUpPr fitToPage="1"/>
  </sheetPr>
  <dimension ref="A1:AH81"/>
  <sheetViews>
    <sheetView zoomScaleNormal="100" workbookViewId="0">
      <selection activeCell="P81" sqref="P81"/>
    </sheetView>
  </sheetViews>
  <sheetFormatPr defaultColWidth="8.08984375" defaultRowHeight="14.25" customHeight="1" outlineLevelCol="1"/>
  <cols>
    <col min="1" max="1" width="11" style="86" customWidth="1"/>
    <col min="2" max="2" width="15.36328125" style="87" customWidth="1"/>
    <col min="3" max="3" width="9.7265625" style="86" bestFit="1" customWidth="1" outlineLevel="1"/>
    <col min="4" max="4" width="10.36328125" style="86" bestFit="1" customWidth="1"/>
    <col min="5" max="5" width="15.08984375" style="86" customWidth="1"/>
    <col min="6" max="6" width="18.7265625" style="86" customWidth="1"/>
    <col min="7" max="7" width="17.36328125" style="87" bestFit="1" customWidth="1"/>
    <col min="8" max="8" width="12" style="44" customWidth="1"/>
    <col min="9" max="9" width="9.7265625" style="2" customWidth="1"/>
    <col min="10" max="14" width="11.08984375" style="2" hidden="1" customWidth="1" outlineLevel="1"/>
    <col min="15" max="15" width="11.08984375" style="2" customWidth="1" collapsed="1"/>
    <col min="16" max="17" width="11.08984375" style="2" customWidth="1"/>
    <col min="18" max="18" width="11.08984375" style="5" bestFit="1" customWidth="1"/>
    <col min="19" max="20" width="11.36328125" style="5" bestFit="1" customWidth="1"/>
    <col min="21" max="21" width="11.36328125" style="2" bestFit="1" customWidth="1"/>
    <col min="22" max="27" width="12.7265625" style="2" bestFit="1" customWidth="1"/>
    <col min="28" max="29" width="11.36328125" style="2" bestFit="1" customWidth="1"/>
    <col min="30" max="30" width="16.7265625" style="2" bestFit="1" customWidth="1"/>
    <col min="31" max="31" width="19.90625" style="2" bestFit="1" customWidth="1"/>
    <col min="32" max="33" width="8.08984375" style="2"/>
    <col min="34" max="34" width="17.36328125" style="2" bestFit="1" customWidth="1"/>
    <col min="35" max="16384" width="8.08984375" style="2"/>
  </cols>
  <sheetData>
    <row r="1" spans="1:34" ht="14.25" customHeight="1">
      <c r="A1" s="3"/>
      <c r="B1" s="3"/>
      <c r="C1" s="3"/>
      <c r="D1" s="3"/>
      <c r="E1" s="3"/>
      <c r="F1" s="38"/>
      <c r="G1" s="38" t="s">
        <v>622</v>
      </c>
      <c r="H1" s="38"/>
      <c r="I1" s="34"/>
      <c r="J1" s="2" t="s">
        <v>623</v>
      </c>
      <c r="K1" s="2" t="s">
        <v>623</v>
      </c>
      <c r="L1" s="2" t="s">
        <v>623</v>
      </c>
      <c r="M1" s="2" t="s">
        <v>623</v>
      </c>
      <c r="N1" s="2" t="s">
        <v>623</v>
      </c>
      <c r="O1" s="2" t="s">
        <v>623</v>
      </c>
      <c r="P1" s="2" t="s">
        <v>623</v>
      </c>
      <c r="Q1" s="2" t="s">
        <v>623</v>
      </c>
      <c r="R1" s="2" t="s">
        <v>623</v>
      </c>
      <c r="S1" s="2" t="s">
        <v>623</v>
      </c>
      <c r="T1" s="2" t="s">
        <v>623</v>
      </c>
      <c r="U1" s="2" t="s">
        <v>623</v>
      </c>
      <c r="V1" s="2" t="s">
        <v>623</v>
      </c>
      <c r="W1" s="2" t="s">
        <v>623</v>
      </c>
      <c r="X1" s="2" t="s">
        <v>623</v>
      </c>
      <c r="Y1" s="2" t="s">
        <v>623</v>
      </c>
      <c r="Z1" s="2" t="s">
        <v>623</v>
      </c>
      <c r="AA1" s="2" t="s">
        <v>623</v>
      </c>
      <c r="AB1" s="2" t="s">
        <v>623</v>
      </c>
      <c r="AC1" s="2" t="s">
        <v>623</v>
      </c>
      <c r="AE1" s="3"/>
      <c r="AF1" s="3"/>
      <c r="AG1" s="3"/>
      <c r="AH1" s="3"/>
    </row>
    <row r="2" spans="1:34" ht="14.25" customHeight="1">
      <c r="A2" s="3"/>
      <c r="B2" s="3"/>
      <c r="C2" s="3"/>
      <c r="D2" s="3"/>
      <c r="E2" s="3"/>
      <c r="F2" s="38"/>
      <c r="G2" s="38" t="s">
        <v>27</v>
      </c>
      <c r="H2" s="49"/>
      <c r="I2" s="63"/>
      <c r="J2" s="195" cm="1">
        <f t="array" aca="1" ref="J2" ca="1">SUMPRODUCT((EM[Product Category]=$G2)*SUBTOTAL(109,OFFSET(INDEX(EM[26M04],1),ROW(EM[26M04])-MIN(ROW(EM[26M04])),0,1)))</f>
        <v>0</v>
      </c>
      <c r="K2" s="195" cm="1">
        <f t="array" aca="1" ref="K2" ca="1">SUMPRODUCT((EM[Product Category]=$G2)*SUBTOTAL(109,OFFSET(INDEX(EM[26M05],1),ROW(EM[26M05])-MIN(ROW(EM[26M05])),0,1)))</f>
        <v>0</v>
      </c>
      <c r="L2" s="195" cm="1">
        <f t="array" aca="1" ref="L2" ca="1">SUMPRODUCT((EM[Product Category]=$G2)*SUBTOTAL(109,OFFSET(INDEX(EM[26M06],1),ROW(EM[26M06])-MIN(ROW(EM[26M06])),0,1)))</f>
        <v>0</v>
      </c>
      <c r="M2" s="195" cm="1">
        <f t="array" aca="1" ref="M2" ca="1">SUMPRODUCT((EM[Product Category]=$G2)*SUBTOTAL(109,OFFSET(INDEX(EM[26M07],1),ROW(EM[26M07])-MIN(ROW(EM[26M07])),0,1)))</f>
        <v>0</v>
      </c>
      <c r="N2" s="195" cm="1">
        <f t="array" aca="1" ref="N2" ca="1">SUMPRODUCT((EM[Product Category]=$G2)*SUBTOTAL(109,OFFSET(INDEX(EM[26M08],1),ROW(EM[26M08])-MIN(ROW(EM[26M08])),0,1)))</f>
        <v>0</v>
      </c>
      <c r="O2" s="195" cm="1">
        <f t="array" aca="1" ref="O2" ca="1">SUMPRODUCT((EM[Product Category]=$G2)*SUBTOTAL(109,OFFSET(INDEX(EM[26M09],1),ROW(EM[26M09])-MIN(ROW(EM[26M09])),0,1)))</f>
        <v>0</v>
      </c>
      <c r="P2" s="195" cm="1">
        <f t="array" aca="1" ref="P2" ca="1">SUMPRODUCT((EM[Product Category]=$G2)*SUBTOTAL(109,OFFSET(INDEX(EM[26M10],1),ROW(EM[26M10])-MIN(ROW(EM[26M10])),0,1)))</f>
        <v>0</v>
      </c>
      <c r="Q2" s="195" cm="1">
        <f t="array" aca="1" ref="Q2" ca="1">SUMPRODUCT((EM[Product Category]=$G2)*SUBTOTAL(109,OFFSET(INDEX(EM[26M11],1),ROW(EM[26M11])-MIN(ROW(EM[26M11])),0,1)))</f>
        <v>0</v>
      </c>
      <c r="R2" s="195" cm="1">
        <f t="array" aca="1" ref="R2" ca="1">SUMPRODUCT((EM[Product Category]=$G2)*SUBTOTAL(109,OFFSET(INDEX(EM[26M12],1),ROW(EM[26M12])-MIN(ROW(EM[26M12])),0,1)))</f>
        <v>0</v>
      </c>
      <c r="S2" s="195" cm="1">
        <f t="array" aca="1" ref="S2" ca="1">SUMPRODUCT((EM[Product Category]=$G2)*SUBTOTAL(109,OFFSET(INDEX(EM[26Q2],1),ROW(EM[26Q2])-MIN(ROW(EM[26Q2])),0,1)))</f>
        <v>0</v>
      </c>
      <c r="T2" s="195" cm="1">
        <f t="array" aca="1" ref="T2" ca="1">SUMPRODUCT((EM[Product Category]=$G2)*SUBTOTAL(109,OFFSET(INDEX(EM[26Q3],1),ROW(EM[26Q3])-MIN(ROW(EM[26Q3])),0,1)))</f>
        <v>0</v>
      </c>
      <c r="U2" s="195" cm="1">
        <f t="array" aca="1" ref="U2" ca="1">SUMPRODUCT((EM[Product Category]=$G2)*SUBTOTAL(109,OFFSET(INDEX(EM[26Q4],1),ROW(EM[26Q4])-MIN(ROW(EM[26Q4])),0,1)))</f>
        <v>0</v>
      </c>
      <c r="V2" s="195" cm="1">
        <f t="array" aca="1" ref="V2" ca="1">SUMPRODUCT((EM[Product Category]=$G2)*SUBTOTAL(109,OFFSET(INDEX(EM[27M01],1),ROW(EM[27M01])-MIN(ROW(EM[27M01])),0,1)))</f>
        <v>0</v>
      </c>
      <c r="W2" s="195" cm="1">
        <f t="array" aca="1" ref="W2" ca="1">SUMPRODUCT((EM[Product Category]=$G2)*SUBTOTAL(109,OFFSET(INDEX(EM[27M02],1),ROW(EM[27M02])-MIN(ROW(EM[27M02])),0,1)))</f>
        <v>0</v>
      </c>
      <c r="X2" s="195" cm="1">
        <f t="array" aca="1" ref="X2" ca="1">SUMPRODUCT((EM[Product Category]=$G2)*SUBTOTAL(109,OFFSET(INDEX(EM[27M03],1),ROW(EM[27M03])-MIN(ROW(EM[27M03])),0,1)))</f>
        <v>0</v>
      </c>
      <c r="Y2" s="195" cm="1">
        <f t="array" aca="1" ref="Y2" ca="1">SUMPRODUCT((EM[Product Category]=$G2)*SUBTOTAL(109,OFFSET(INDEX(EM[27M04],1),ROW(EM[27M04])-MIN(ROW(EM[27M04])),0,1)))</f>
        <v>0</v>
      </c>
      <c r="Z2" s="195" cm="1">
        <f t="array" aca="1" ref="Z2" ca="1">SUMPRODUCT((EM[Product Category]=$G2)*SUBTOTAL(109,OFFSET(INDEX(EM[27M05],1),ROW(EM[27M05])-MIN(ROW(EM[27M05])),0,1)))</f>
        <v>0</v>
      </c>
      <c r="AA2" s="195" cm="1">
        <f t="array" aca="1" ref="AA2" ca="1">SUMPRODUCT((EM[Product Category]=$G2)*SUBTOTAL(109,OFFSET(INDEX(EM[27M06],1),ROW(EM[27M06])-MIN(ROW(EM[27M06])),0,1)))</f>
        <v>0</v>
      </c>
      <c r="AB2" s="195" cm="1">
        <f t="array" aca="1" ref="AB2" ca="1">SUMPRODUCT((EM[Product Category]=$G2)*SUBTOTAL(109,OFFSET(INDEX(EM[27Q1],1),ROW(EM[27Q1])-MIN(ROW(EM[27Q1])),0,1)))</f>
        <v>0</v>
      </c>
      <c r="AC2" s="195" cm="1">
        <f t="array" aca="1" ref="AC2" ca="1">SUMPRODUCT((EM[Product Category]=$G2)*SUBTOTAL(109,OFFSET(INDEX(EM[27Q2],1),ROW(EM[27Q2])-MIN(ROW(EM[27Q2])),0,1)))</f>
        <v>0</v>
      </c>
      <c r="AD2" s="255"/>
      <c r="AE2" s="3"/>
      <c r="AF2" s="3"/>
      <c r="AG2" s="3"/>
      <c r="AH2" s="3"/>
    </row>
    <row r="3" spans="1:34" ht="14.25" customHeight="1">
      <c r="A3" s="3"/>
      <c r="B3" s="3"/>
      <c r="C3" s="3"/>
      <c r="D3" s="3"/>
      <c r="E3" s="3"/>
      <c r="F3" s="38"/>
      <c r="G3" s="38" t="s">
        <v>87</v>
      </c>
      <c r="H3" s="49"/>
      <c r="I3" s="63"/>
      <c r="J3" s="195" cm="1">
        <f t="array" aca="1" ref="J3" ca="1">SUMPRODUCT((EM[Product Category]=$G3)*SUBTOTAL(109,OFFSET(INDEX(EM[26M04],1),ROW(EM[26M04])-MIN(ROW(EM[26M04])),0,1)))</f>
        <v>0</v>
      </c>
      <c r="K3" s="195" cm="1">
        <f t="array" aca="1" ref="K3" ca="1">SUMPRODUCT((EM[Product Category]=$G3)*SUBTOTAL(109,OFFSET(INDEX(EM[26M05],1),ROW(EM[26M05])-MIN(ROW(EM[26M05])),0,1)))</f>
        <v>0</v>
      </c>
      <c r="L3" s="195" cm="1">
        <f t="array" aca="1" ref="L3" ca="1">SUMPRODUCT((EM[Product Category]=$G3)*SUBTOTAL(109,OFFSET(INDEX(EM[26M06],1),ROW(EM[26M06])-MIN(ROW(EM[26M06])),0,1)))</f>
        <v>0</v>
      </c>
      <c r="M3" s="195" cm="1">
        <f t="array" aca="1" ref="M3" ca="1">SUMPRODUCT((EM[Product Category]=$G3)*SUBTOTAL(109,OFFSET(INDEX(EM[26M07],1),ROW(EM[26M07])-MIN(ROW(EM[26M07])),0,1)))</f>
        <v>0</v>
      </c>
      <c r="N3" s="195" cm="1">
        <f t="array" aca="1" ref="N3" ca="1">SUMPRODUCT((EM[Product Category]=$G3)*SUBTOTAL(109,OFFSET(INDEX(EM[26M08],1),ROW(EM[26M08])-MIN(ROW(EM[26M08])),0,1)))</f>
        <v>0</v>
      </c>
      <c r="O3" s="195" cm="1">
        <f t="array" aca="1" ref="O3" ca="1">SUMPRODUCT((EM[Product Category]=$G3)*SUBTOTAL(109,OFFSET(INDEX(EM[26M09],1),ROW(EM[26M09])-MIN(ROW(EM[26M09])),0,1)))</f>
        <v>0</v>
      </c>
      <c r="P3" s="195" cm="1">
        <f t="array" aca="1" ref="P3" ca="1">SUMPRODUCT((EM[Product Category]=$G3)*SUBTOTAL(109,OFFSET(INDEX(EM[26M10],1),ROW(EM[26M10])-MIN(ROW(EM[26M10])),0,1)))</f>
        <v>0</v>
      </c>
      <c r="Q3" s="195" cm="1">
        <f t="array" aca="1" ref="Q3" ca="1">SUMPRODUCT((EM[Product Category]=$G3)*SUBTOTAL(109,OFFSET(INDEX(EM[26M11],1),ROW(EM[26M11])-MIN(ROW(EM[26M11])),0,1)))</f>
        <v>0</v>
      </c>
      <c r="R3" s="195" cm="1">
        <f t="array" aca="1" ref="R3" ca="1">SUMPRODUCT((EM[Product Category]=$G3)*SUBTOTAL(109,OFFSET(INDEX(EM[26M12],1),ROW(EM[26M12])-MIN(ROW(EM[26M12])),0,1)))</f>
        <v>0</v>
      </c>
      <c r="S3" s="195" cm="1">
        <f t="array" aca="1" ref="S3" ca="1">SUMPRODUCT((EM[Product Category]=$G3)*SUBTOTAL(109,OFFSET(INDEX(EM[26Q2],1),ROW(EM[26Q2])-MIN(ROW(EM[26Q2])),0,1)))</f>
        <v>0</v>
      </c>
      <c r="T3" s="195" cm="1">
        <f t="array" aca="1" ref="T3" ca="1">SUMPRODUCT((EM[Product Category]=$G3)*SUBTOTAL(109,OFFSET(INDEX(EM[26Q3],1),ROW(EM[26Q3])-MIN(ROW(EM[26Q3])),0,1)))</f>
        <v>0</v>
      </c>
      <c r="U3" s="195" cm="1">
        <f t="array" aca="1" ref="U3" ca="1">SUMPRODUCT((EM[Product Category]=$G3)*SUBTOTAL(109,OFFSET(INDEX(EM[26Q4],1),ROW(EM[26Q4])-MIN(ROW(EM[26Q4])),0,1)))</f>
        <v>0</v>
      </c>
      <c r="V3" s="195" cm="1">
        <f t="array" aca="1" ref="V3" ca="1">SUMPRODUCT((EM[Product Category]=$G3)*SUBTOTAL(109,OFFSET(INDEX(EM[27M01],1),ROW(EM[27M01])-MIN(ROW(EM[27M01])),0,1)))</f>
        <v>0</v>
      </c>
      <c r="W3" s="195" cm="1">
        <f t="array" aca="1" ref="W3" ca="1">SUMPRODUCT((EM[Product Category]=$G3)*SUBTOTAL(109,OFFSET(INDEX(EM[27M02],1),ROW(EM[27M02])-MIN(ROW(EM[27M02])),0,1)))</f>
        <v>0</v>
      </c>
      <c r="X3" s="195" cm="1">
        <f t="array" aca="1" ref="X3" ca="1">SUMPRODUCT((EM[Product Category]=$G3)*SUBTOTAL(109,OFFSET(INDEX(EM[27M03],1),ROW(EM[27M03])-MIN(ROW(EM[27M03])),0,1)))</f>
        <v>0</v>
      </c>
      <c r="Y3" s="195" cm="1">
        <f t="array" aca="1" ref="Y3" ca="1">SUMPRODUCT((EM[Product Category]=$G3)*SUBTOTAL(109,OFFSET(INDEX(EM[27M04],1),ROW(EM[27M04])-MIN(ROW(EM[27M04])),0,1)))</f>
        <v>0</v>
      </c>
      <c r="Z3" s="195" cm="1">
        <f t="array" aca="1" ref="Z3" ca="1">SUMPRODUCT((EM[Product Category]=$G3)*SUBTOTAL(109,OFFSET(INDEX(EM[27M05],1),ROW(EM[27M05])-MIN(ROW(EM[27M05])),0,1)))</f>
        <v>0</v>
      </c>
      <c r="AA3" s="195" cm="1">
        <f t="array" aca="1" ref="AA3" ca="1">SUMPRODUCT((EM[Product Category]=$G3)*SUBTOTAL(109,OFFSET(INDEX(EM[27M06],1),ROW(EM[27M06])-MIN(ROW(EM[27M06])),0,1)))</f>
        <v>0</v>
      </c>
      <c r="AB3" s="195" cm="1">
        <f t="array" aca="1" ref="AB3" ca="1">SUMPRODUCT((EM[Product Category]=$G3)*SUBTOTAL(109,OFFSET(INDEX(EM[27Q1],1),ROW(EM[27Q1])-MIN(ROW(EM[27Q1])),0,1)))</f>
        <v>0</v>
      </c>
      <c r="AC3" s="195" cm="1">
        <f t="array" aca="1" ref="AC3" ca="1">SUMPRODUCT((EM[Product Category]=$G3)*SUBTOTAL(109,OFFSET(INDEX(EM[27Q2],1),ROW(EM[27Q2])-MIN(ROW(EM[27Q2])),0,1)))</f>
        <v>0</v>
      </c>
      <c r="AD3" s="255"/>
      <c r="AE3" s="3"/>
      <c r="AF3" s="3"/>
      <c r="AG3" s="3"/>
      <c r="AH3" s="3"/>
    </row>
    <row r="4" spans="1:34" ht="14.25" customHeight="1">
      <c r="A4" s="3"/>
      <c r="B4" s="3"/>
      <c r="C4" s="3"/>
      <c r="D4" s="3"/>
      <c r="E4" s="3"/>
      <c r="F4" s="3"/>
      <c r="G4" s="38" t="s">
        <v>70</v>
      </c>
      <c r="H4" s="49"/>
      <c r="I4" s="64"/>
      <c r="J4" s="195" cm="1">
        <f t="array" aca="1" ref="J4" ca="1">SUMPRODUCT((EM[Product Category]=$G4)*SUBTOTAL(109,OFFSET(INDEX(EM[26M04],1),ROW(EM[26M04])-MIN(ROW(EM[26M04])),0,1)))</f>
        <v>14</v>
      </c>
      <c r="K4" s="195" cm="1">
        <f t="array" aca="1" ref="K4" ca="1">SUMPRODUCT((EM[Product Category]=$G4)*SUBTOTAL(109,OFFSET(INDEX(EM[26M05],1),ROW(EM[26M05])-MIN(ROW(EM[26M05])),0,1)))</f>
        <v>22.199999999999992</v>
      </c>
      <c r="L4" s="195" cm="1">
        <f t="array" aca="1" ref="L4" ca="1">SUMPRODUCT((EM[Product Category]=$G4)*SUBTOTAL(109,OFFSET(INDEX(EM[26M06],1),ROW(EM[26M06])-MIN(ROW(EM[26M06])),0,1)))</f>
        <v>15</v>
      </c>
      <c r="M4" s="195" cm="1">
        <f t="array" aca="1" ref="M4" ca="1">SUMPRODUCT((EM[Product Category]=$G4)*SUBTOTAL(109,OFFSET(INDEX(EM[26M07],1),ROW(EM[26M07])-MIN(ROW(EM[26M07])),0,1)))</f>
        <v>8.8000000000000007</v>
      </c>
      <c r="N4" s="195" cm="1">
        <f t="array" aca="1" ref="N4" ca="1">SUMPRODUCT((EM[Product Category]=$G4)*SUBTOTAL(109,OFFSET(INDEX(EM[26M08],1),ROW(EM[26M08])-MIN(ROW(EM[26M08])),0,1)))</f>
        <v>16</v>
      </c>
      <c r="O4" s="195" cm="1">
        <f t="array" aca="1" ref="O4" ca="1">SUMPRODUCT((EM[Product Category]=$G4)*SUBTOTAL(109,OFFSET(INDEX(EM[26M09],1),ROW(EM[26M09])-MIN(ROW(EM[26M09])),0,1)))</f>
        <v>10</v>
      </c>
      <c r="P4" s="195" cm="1">
        <f t="array" aca="1" ref="P4" ca="1">SUMPRODUCT((EM[Product Category]=$G4)*SUBTOTAL(109,OFFSET(INDEX(EM[26M10],1),ROW(EM[26M10])-MIN(ROW(EM[26M10])),0,1)))</f>
        <v>17</v>
      </c>
      <c r="Q4" s="195" cm="1">
        <f t="array" aca="1" ref="Q4" ca="1">SUMPRODUCT((EM[Product Category]=$G4)*SUBTOTAL(109,OFFSET(INDEX(EM[26M11],1),ROW(EM[26M11])-MIN(ROW(EM[26M11])),0,1)))</f>
        <v>25</v>
      </c>
      <c r="R4" s="195" cm="1">
        <f t="array" aca="1" ref="R4" ca="1">SUMPRODUCT((EM[Product Category]=$G4)*SUBTOTAL(109,OFFSET(INDEX(EM[26M12],1),ROW(EM[26M12])-MIN(ROW(EM[26M12])),0,1)))</f>
        <v>0</v>
      </c>
      <c r="S4" s="195" cm="1">
        <f t="array" aca="1" ref="S4" ca="1">SUMPRODUCT((EM[Product Category]=$G4)*SUBTOTAL(109,OFFSET(INDEX(EM[26Q2],1),ROW(EM[26Q2])-MIN(ROW(EM[26Q2])),0,1)))</f>
        <v>51.20000000000001</v>
      </c>
      <c r="T4" s="195" cm="1">
        <f t="array" aca="1" ref="T4" ca="1">SUMPRODUCT((EM[Product Category]=$G4)*SUBTOTAL(109,OFFSET(INDEX(EM[26Q3],1),ROW(EM[26Q3])-MIN(ROW(EM[26Q3])),0,1)))</f>
        <v>34.799999999999997</v>
      </c>
      <c r="U4" s="195" cm="1">
        <f t="array" aca="1" ref="U4" ca="1">SUMPRODUCT((EM[Product Category]=$G4)*SUBTOTAL(109,OFFSET(INDEX(EM[26Q4],1),ROW(EM[26Q4])-MIN(ROW(EM[26Q4])),0,1)))</f>
        <v>42</v>
      </c>
      <c r="V4" s="195" cm="1">
        <f t="array" aca="1" ref="V4" ca="1">SUMPRODUCT((EM[Product Category]=$G4)*SUBTOTAL(109,OFFSET(INDEX(EM[27M01],1),ROW(EM[27M01])-MIN(ROW(EM[27M01])),0,1)))</f>
        <v>0</v>
      </c>
      <c r="W4" s="195" cm="1">
        <f t="array" aca="1" ref="W4" ca="1">SUMPRODUCT((EM[Product Category]=$G4)*SUBTOTAL(109,OFFSET(INDEX(EM[27M02],1),ROW(EM[27M02])-MIN(ROW(EM[27M02])),0,1)))</f>
        <v>0</v>
      </c>
      <c r="X4" s="195" cm="1">
        <f t="array" aca="1" ref="X4" ca="1">SUMPRODUCT((EM[Product Category]=$G4)*SUBTOTAL(109,OFFSET(INDEX(EM[27M03],1),ROW(EM[27M03])-MIN(ROW(EM[27M03])),0,1)))</f>
        <v>0</v>
      </c>
      <c r="Y4" s="195" cm="1">
        <f t="array" aca="1" ref="Y4" ca="1">SUMPRODUCT((EM[Product Category]=$G4)*SUBTOTAL(109,OFFSET(INDEX(EM[27M04],1),ROW(EM[27M04])-MIN(ROW(EM[27M04])),0,1)))</f>
        <v>0</v>
      </c>
      <c r="Z4" s="195" cm="1">
        <f t="array" aca="1" ref="Z4" ca="1">SUMPRODUCT((EM[Product Category]=$G4)*SUBTOTAL(109,OFFSET(INDEX(EM[27M05],1),ROW(EM[27M05])-MIN(ROW(EM[27M05])),0,1)))</f>
        <v>0</v>
      </c>
      <c r="AA4" s="195" cm="1">
        <f t="array" aca="1" ref="AA4" ca="1">SUMPRODUCT((EM[Product Category]=$G4)*SUBTOTAL(109,OFFSET(INDEX(EM[27M06],1),ROW(EM[27M06])-MIN(ROW(EM[27M06])),0,1)))</f>
        <v>0</v>
      </c>
      <c r="AB4" s="195" cm="1">
        <f t="array" aca="1" ref="AB4" ca="1">SUMPRODUCT((EM[Product Category]=$G4)*SUBTOTAL(109,OFFSET(INDEX(EM[27Q1],1),ROW(EM[27Q1])-MIN(ROW(EM[27Q1])),0,1)))</f>
        <v>0</v>
      </c>
      <c r="AC4" s="195" cm="1">
        <f t="array" aca="1" ref="AC4" ca="1">SUMPRODUCT((EM[Product Category]=$G4)*SUBTOTAL(109,OFFSET(INDEX(EM[27Q2],1),ROW(EM[27Q2])-MIN(ROW(EM[27Q2])),0,1)))</f>
        <v>0</v>
      </c>
      <c r="AD4" s="255"/>
      <c r="AE4" s="3"/>
      <c r="AF4" s="3"/>
      <c r="AG4" s="3"/>
      <c r="AH4" s="3"/>
    </row>
    <row r="5" spans="1:34" ht="14.25" customHeight="1">
      <c r="A5" s="10" t="s">
        <v>45</v>
      </c>
      <c r="B5" s="11" t="s">
        <v>1</v>
      </c>
      <c r="C5" s="10" t="s">
        <v>92</v>
      </c>
      <c r="D5" s="10" t="s">
        <v>624</v>
      </c>
      <c r="E5" s="10" t="s">
        <v>3</v>
      </c>
      <c r="F5" s="10" t="s">
        <v>28</v>
      </c>
      <c r="G5" s="11" t="s">
        <v>5</v>
      </c>
      <c r="H5" s="11" t="s">
        <v>93</v>
      </c>
      <c r="I5" s="9" t="s">
        <v>94</v>
      </c>
      <c r="J5" s="12" t="s">
        <v>95</v>
      </c>
      <c r="K5" s="12" t="s">
        <v>96</v>
      </c>
      <c r="L5" s="12" t="s">
        <v>97</v>
      </c>
      <c r="M5" s="12" t="s">
        <v>98</v>
      </c>
      <c r="N5" s="12" t="s">
        <v>99</v>
      </c>
      <c r="O5" s="12" t="s">
        <v>625</v>
      </c>
      <c r="P5" s="12" t="s">
        <v>34</v>
      </c>
      <c r="Q5" s="12" t="s">
        <v>101</v>
      </c>
      <c r="R5" s="12" t="s">
        <v>36</v>
      </c>
      <c r="S5" s="193" t="s">
        <v>626</v>
      </c>
      <c r="T5" s="193" t="s">
        <v>627</v>
      </c>
      <c r="U5" s="107" t="s">
        <v>628</v>
      </c>
      <c r="V5" s="107" t="s">
        <v>629</v>
      </c>
      <c r="W5" s="107" t="s">
        <v>103</v>
      </c>
      <c r="X5" s="107" t="s">
        <v>104</v>
      </c>
      <c r="Y5" s="107" t="s">
        <v>105</v>
      </c>
      <c r="Z5" s="107" t="s">
        <v>106</v>
      </c>
      <c r="AA5" s="107" t="s">
        <v>107</v>
      </c>
      <c r="AB5" s="107" t="s">
        <v>630</v>
      </c>
      <c r="AC5" s="107" t="s">
        <v>631</v>
      </c>
      <c r="AD5" s="107" t="s">
        <v>632</v>
      </c>
      <c r="AE5" s="78" t="s">
        <v>26</v>
      </c>
      <c r="AF5" s="36"/>
      <c r="AG5" s="36"/>
      <c r="AH5" s="36"/>
    </row>
    <row r="6" spans="1:34" ht="14.25" hidden="1" customHeight="1">
      <c r="A6" s="93" t="s">
        <v>88</v>
      </c>
      <c r="B6" s="87" t="s">
        <v>675</v>
      </c>
      <c r="C6" s="31"/>
      <c r="D6" s="2" t="str">
        <f>VLOOKUP(EM[[#This Row],[Product Line]],Prod_T6[],5,0)</f>
        <v>TCL</v>
      </c>
      <c r="E6" s="86" t="s">
        <v>54</v>
      </c>
      <c r="F6" s="86" t="s">
        <v>121</v>
      </c>
      <c r="G6" s="94" t="s">
        <v>634</v>
      </c>
      <c r="H6" s="87" t="s">
        <v>676</v>
      </c>
      <c r="I6" s="43" t="s">
        <v>132</v>
      </c>
      <c r="J6" s="13">
        <v>5.2</v>
      </c>
      <c r="K6" s="13">
        <v>5.2</v>
      </c>
      <c r="L6" s="13">
        <v>5.2</v>
      </c>
      <c r="M6" s="13"/>
      <c r="N6" s="13"/>
      <c r="O6" s="13"/>
      <c r="P6" s="13"/>
      <c r="Q6" s="13"/>
      <c r="R6" s="13"/>
      <c r="S6" s="32"/>
      <c r="T6" s="69">
        <f>SUM(EM[[#This Row],[26M07]:[26M09]])</f>
        <v>0</v>
      </c>
      <c r="U6" s="69">
        <f>SUM(EM[[#This Row],[26M10]:[26M12]])</f>
        <v>0</v>
      </c>
      <c r="V6" s="256"/>
      <c r="W6" s="256"/>
      <c r="X6" s="256"/>
      <c r="Y6" s="256"/>
      <c r="Z6" s="256"/>
      <c r="AA6" s="256"/>
      <c r="AB6" s="256">
        <f>SUM(EM[[#This Row],[27M01]:[27M03]])</f>
        <v>0</v>
      </c>
      <c r="AC6" s="256">
        <f>SUM(EM[[#This Row],[27M04]:[27M06]])</f>
        <v>0</v>
      </c>
      <c r="AD6" s="256" t="str">
        <f>IF(SUM(EM[[#This Row],[26Q2]:[26Q4]])+SUM(EM[[#This Row],[27Q1]:[27Q2]])=0,"No FSCT",IF(AND(SUM(EM[[#This Row],[26Q2]:[26Q4]])&gt;0,SUM(EM[[#This Row],[27Q1]:[27Q2]])=0),"YES","NO"))</f>
        <v>No FSCT</v>
      </c>
      <c r="AE6" s="85" t="str">
        <f>VLOOKUP(EM[[#This Row],[Product Line]],Prod_T6[],4,0)</f>
        <v>PV</v>
      </c>
      <c r="AH6" s="2" t="str" cm="1">
        <f t="array" ref="AH6:AH80">EM[Stage]</f>
        <v>0  - Lost</v>
      </c>
    </row>
    <row r="7" spans="1:34" ht="14.25" hidden="1" customHeight="1">
      <c r="A7" s="93" t="s">
        <v>88</v>
      </c>
      <c r="B7" s="87" t="s">
        <v>675</v>
      </c>
      <c r="C7" s="31"/>
      <c r="D7" s="2" t="str">
        <f>VLOOKUP(EM[[#This Row],[Product Line]],Prod_T6[],5,0)</f>
        <v>TCL</v>
      </c>
      <c r="E7" s="86" t="s">
        <v>54</v>
      </c>
      <c r="F7" s="86" t="s">
        <v>170</v>
      </c>
      <c r="G7" s="86" t="s">
        <v>634</v>
      </c>
      <c r="H7" s="87" t="s">
        <v>677</v>
      </c>
      <c r="I7" s="43" t="s">
        <v>132</v>
      </c>
      <c r="J7" s="13">
        <v>3</v>
      </c>
      <c r="K7" s="13">
        <v>3</v>
      </c>
      <c r="L7" s="13">
        <v>3</v>
      </c>
      <c r="M7" s="13"/>
      <c r="N7" s="13"/>
      <c r="O7" s="13"/>
      <c r="P7" s="13"/>
      <c r="Q7" s="13"/>
      <c r="R7" s="13"/>
      <c r="S7" s="32">
        <f>SUM(EM[[#This Row],[26M04]:[26M06]])</f>
        <v>9</v>
      </c>
      <c r="T7" s="69">
        <f>SUM(EM[[#This Row],[26M07]:[26M09]])</f>
        <v>0</v>
      </c>
      <c r="U7" s="69">
        <f>SUM(EM[[#This Row],[26M10]:[26M12]])</f>
        <v>0</v>
      </c>
      <c r="V7" s="256"/>
      <c r="W7" s="256"/>
      <c r="X7" s="256"/>
      <c r="Y7" s="256"/>
      <c r="Z7" s="256"/>
      <c r="AA7" s="256"/>
      <c r="AB7" s="256">
        <f>SUM(EM[[#This Row],[27M01]:[27M03]])</f>
        <v>0</v>
      </c>
      <c r="AC7" s="256">
        <f>SUM(EM[[#This Row],[27M04]:[27M06]])</f>
        <v>0</v>
      </c>
      <c r="AD7" s="256" t="str">
        <f>IF(SUM(EM[[#This Row],[26Q2]:[26Q4]])+SUM(EM[[#This Row],[27Q1]:[27Q2]])=0,"No FSCT",IF(AND(SUM(EM[[#This Row],[26Q2]:[26Q4]])&gt;0,SUM(EM[[#This Row],[27Q1]:[27Q2]])=0),"YES","NO"))</f>
        <v>YES</v>
      </c>
      <c r="AE7" s="85" t="str">
        <f>VLOOKUP(EM[[#This Row],[Product Line]],Prod_T6[],4,0)</f>
        <v>PV</v>
      </c>
      <c r="AH7" s="2" t="str">
        <v>0  - Lost</v>
      </c>
    </row>
    <row r="8" spans="1:34" ht="14.25" hidden="1" customHeight="1">
      <c r="A8" s="93" t="s">
        <v>88</v>
      </c>
      <c r="B8" s="87" t="s">
        <v>448</v>
      </c>
      <c r="C8" s="31"/>
      <c r="D8" s="2" t="str">
        <f>VLOOKUP(EM[[#This Row],[Product Line]],Prod_T6[],5,0)</f>
        <v>Sunpower</v>
      </c>
      <c r="E8" s="86" t="s">
        <v>118</v>
      </c>
      <c r="F8" s="96" t="s">
        <v>255</v>
      </c>
      <c r="G8" s="86" t="s">
        <v>115</v>
      </c>
      <c r="H8" s="95" t="s">
        <v>449</v>
      </c>
      <c r="I8" s="43" t="s">
        <v>117</v>
      </c>
      <c r="J8" s="13"/>
      <c r="K8" s="13"/>
      <c r="L8" s="13">
        <v>1.4</v>
      </c>
      <c r="M8" s="13"/>
      <c r="N8" s="13"/>
      <c r="O8" s="13"/>
      <c r="P8" s="13"/>
      <c r="Q8" s="13"/>
      <c r="R8" s="13"/>
      <c r="S8" s="32">
        <f>SUM(EM[[#This Row],[26M04]:[26M06]])</f>
        <v>1.4</v>
      </c>
      <c r="T8" s="69">
        <f>SUM(EM[[#This Row],[26M07]:[26M09]])</f>
        <v>0</v>
      </c>
      <c r="U8" s="69">
        <f>SUM(EM[[#This Row],[26M10]:[26M12]])</f>
        <v>0</v>
      </c>
      <c r="V8" s="256"/>
      <c r="W8" s="256"/>
      <c r="X8" s="256"/>
      <c r="Y8" s="256"/>
      <c r="Z8" s="256"/>
      <c r="AA8" s="256"/>
      <c r="AB8" s="256">
        <f>SUM(EM[[#This Row],[27M01]:[27M03]])</f>
        <v>0</v>
      </c>
      <c r="AC8" s="256">
        <f>SUM(EM[[#This Row],[27M04]:[27M06]])</f>
        <v>0</v>
      </c>
      <c r="AD8" s="256" t="str">
        <f>IF(SUM(EM[[#This Row],[26Q2]:[26Q4]])+SUM(EM[[#This Row],[27Q1]:[27Q2]])=0,"No FSCT",IF(AND(SUM(EM[[#This Row],[26Q2]:[26Q4]])&gt;0,SUM(EM[[#This Row],[27Q1]:[27Q2]])=0),"YES","NO"))</f>
        <v>YES</v>
      </c>
      <c r="AE8" s="85" t="str">
        <f>VLOOKUP(EM[[#This Row],[Product Line]],Prod_T6[],4,0)</f>
        <v>PV</v>
      </c>
      <c r="AH8" s="2" t="str">
        <v>2 - Initial offer</v>
      </c>
    </row>
    <row r="9" spans="1:34" ht="14.25" customHeight="1">
      <c r="A9" s="93" t="s">
        <v>88</v>
      </c>
      <c r="B9" s="87" t="s">
        <v>461</v>
      </c>
      <c r="C9" s="31"/>
      <c r="D9" s="2" t="str">
        <f>VLOOKUP(EM[[#This Row],[Product Line]],Prod_T6[],5,0)</f>
        <v>TCL</v>
      </c>
      <c r="E9" s="86" t="s">
        <v>54</v>
      </c>
      <c r="F9" s="86" t="s">
        <v>121</v>
      </c>
      <c r="G9" s="86" t="s">
        <v>120</v>
      </c>
      <c r="H9" s="87" t="s">
        <v>462</v>
      </c>
      <c r="I9" s="43" t="s">
        <v>132</v>
      </c>
      <c r="J9" s="13">
        <v>5.2</v>
      </c>
      <c r="K9" s="13">
        <v>5.2</v>
      </c>
      <c r="L9" s="13">
        <v>7.8</v>
      </c>
      <c r="M9" s="67">
        <v>4</v>
      </c>
      <c r="N9" s="67">
        <v>4</v>
      </c>
      <c r="O9" s="67">
        <v>4</v>
      </c>
      <c r="P9" s="13">
        <v>4</v>
      </c>
      <c r="Q9" s="13">
        <v>4</v>
      </c>
      <c r="R9" s="13"/>
      <c r="S9" s="32">
        <f>SUM(EM[[#This Row],[26M04]:[26M06]])</f>
        <v>18.2</v>
      </c>
      <c r="T9" s="69">
        <f>SUM(EM[[#This Row],[26M07]:[26M09]])</f>
        <v>12</v>
      </c>
      <c r="U9" s="69">
        <f>SUM(EM[[#This Row],[26M10]:[26M12]])</f>
        <v>8</v>
      </c>
      <c r="V9" s="256"/>
      <c r="W9" s="256"/>
      <c r="X9" s="256"/>
      <c r="Y9" s="256"/>
      <c r="Z9" s="256"/>
      <c r="AA9" s="256"/>
      <c r="AB9" s="256">
        <f>SUM(EM[[#This Row],[27M01]:[27M03]])</f>
        <v>0</v>
      </c>
      <c r="AC9" s="256">
        <f>SUM(EM[[#This Row],[27M04]:[27M06]])</f>
        <v>0</v>
      </c>
      <c r="AD9" s="256" t="str">
        <f>IF(SUM(EM[[#This Row],[26Q2]:[26Q4]])+SUM(EM[[#This Row],[27Q1]:[27Q2]])=0,"No FSCT",IF(AND(SUM(EM[[#This Row],[26Q2]:[26Q4]])&gt;0,SUM(EM[[#This Row],[27Q1]:[27Q2]])=0),"YES","NO"))</f>
        <v>YES</v>
      </c>
      <c r="AE9" s="85" t="str">
        <f>VLOOKUP(EM[[#This Row],[Product Line]],Prod_T6[],4,0)</f>
        <v>PV</v>
      </c>
      <c r="AH9" s="2" t="str">
        <v>5 - Finalize contract</v>
      </c>
    </row>
    <row r="10" spans="1:34" ht="14.25" customHeight="1">
      <c r="A10" s="93" t="s">
        <v>88</v>
      </c>
      <c r="B10" s="87" t="s">
        <v>450</v>
      </c>
      <c r="C10" s="31"/>
      <c r="D10" s="2" t="str">
        <f>VLOOKUP(EM[[#This Row],[Product Line]],Prod_T6[],5,0)</f>
        <v>TCL</v>
      </c>
      <c r="E10" s="86" t="s">
        <v>54</v>
      </c>
      <c r="F10" s="86" t="s">
        <v>121</v>
      </c>
      <c r="G10" s="86" t="s">
        <v>120</v>
      </c>
      <c r="H10" s="87" t="s">
        <v>460</v>
      </c>
      <c r="I10" s="43" t="s">
        <v>132</v>
      </c>
      <c r="J10" s="13">
        <v>6</v>
      </c>
      <c r="K10" s="13">
        <v>6</v>
      </c>
      <c r="L10" s="13">
        <v>6</v>
      </c>
      <c r="M10" s="67">
        <v>4</v>
      </c>
      <c r="N10" s="67">
        <v>4</v>
      </c>
      <c r="O10" s="67">
        <v>4</v>
      </c>
      <c r="P10" s="13">
        <v>5</v>
      </c>
      <c r="Q10" s="13">
        <v>5</v>
      </c>
      <c r="R10" s="13"/>
      <c r="S10" s="32">
        <f>SUM(EM[[#This Row],[26M04]:[26M06]])</f>
        <v>18</v>
      </c>
      <c r="T10" s="69">
        <f>SUM(EM[[#This Row],[26M07]:[26M09]])</f>
        <v>12</v>
      </c>
      <c r="U10" s="69">
        <f>SUM(EM[[#This Row],[26M10]:[26M12]])</f>
        <v>10</v>
      </c>
      <c r="V10" s="256"/>
      <c r="W10" s="256"/>
      <c r="X10" s="256"/>
      <c r="Y10" s="256"/>
      <c r="Z10" s="256"/>
      <c r="AA10" s="256"/>
      <c r="AB10" s="256">
        <f>SUM(EM[[#This Row],[27M01]:[27M03]])</f>
        <v>0</v>
      </c>
      <c r="AC10" s="256">
        <f>SUM(EM[[#This Row],[27M04]:[27M06]])</f>
        <v>0</v>
      </c>
      <c r="AD10" s="256" t="str">
        <f>IF(SUM(EM[[#This Row],[26Q2]:[26Q4]])+SUM(EM[[#This Row],[27Q1]:[27Q2]])=0,"No FSCT",IF(AND(SUM(EM[[#This Row],[26Q2]:[26Q4]])&gt;0,SUM(EM[[#This Row],[27Q1]:[27Q2]])=0),"YES","NO"))</f>
        <v>YES</v>
      </c>
      <c r="AE10" s="85" t="str">
        <f>VLOOKUP(EM[[#This Row],[Product Line]],Prod_T6[],4,0)</f>
        <v>PV</v>
      </c>
      <c r="AH10" s="2" t="str">
        <v>5 - Finalize contract</v>
      </c>
    </row>
    <row r="11" spans="1:34" ht="14.25" hidden="1" customHeight="1">
      <c r="A11" s="93" t="s">
        <v>88</v>
      </c>
      <c r="B11" s="87" t="s">
        <v>456</v>
      </c>
      <c r="C11" s="31"/>
      <c r="D11" s="2" t="str">
        <f>VLOOKUP(EM[[#This Row],[Product Line]],Prod_T6[],5,0)</f>
        <v>TCL</v>
      </c>
      <c r="E11" s="86" t="s">
        <v>54</v>
      </c>
      <c r="F11" s="86" t="s">
        <v>299</v>
      </c>
      <c r="G11" s="86" t="s">
        <v>115</v>
      </c>
      <c r="H11" s="87" t="s">
        <v>457</v>
      </c>
      <c r="I11" s="43" t="s">
        <v>132</v>
      </c>
      <c r="J11" s="13"/>
      <c r="K11" s="13"/>
      <c r="L11" s="13"/>
      <c r="M11" s="13"/>
      <c r="N11" s="13"/>
      <c r="O11" s="13"/>
      <c r="P11" s="13">
        <v>20</v>
      </c>
      <c r="Q11" s="13"/>
      <c r="R11" s="13"/>
      <c r="S11" s="32">
        <f>SUM(EM[[#This Row],[26M04]:[26M06]])</f>
        <v>0</v>
      </c>
      <c r="T11" s="69">
        <f>SUM(EM[[#This Row],[26M07]:[26M09]])</f>
        <v>0</v>
      </c>
      <c r="U11" s="69">
        <f>SUM(EM[[#This Row],[26M10]:[26M12]])</f>
        <v>20</v>
      </c>
      <c r="V11" s="256"/>
      <c r="W11" s="256"/>
      <c r="X11" s="256"/>
      <c r="Y11" s="256"/>
      <c r="Z11" s="256"/>
      <c r="AA11" s="256"/>
      <c r="AB11" s="256">
        <f>SUM(EM[[#This Row],[27M01]:[27M03]])</f>
        <v>0</v>
      </c>
      <c r="AC11" s="256">
        <f>SUM(EM[[#This Row],[27M04]:[27M06]])</f>
        <v>0</v>
      </c>
      <c r="AD11" s="256" t="str">
        <f>IF(SUM(EM[[#This Row],[26Q2]:[26Q4]])+SUM(EM[[#This Row],[27Q1]:[27Q2]])=0,"No FSCT",IF(AND(SUM(EM[[#This Row],[26Q2]:[26Q4]])&gt;0,SUM(EM[[#This Row],[27Q1]:[27Q2]])=0),"YES","NO"))</f>
        <v>YES</v>
      </c>
      <c r="AE11" s="85" t="str">
        <f>VLOOKUP(EM[[#This Row],[Product Line]],Prod_T6[],4,0)</f>
        <v>PV</v>
      </c>
      <c r="AH11" s="2" t="str">
        <v>2 - Initial offer</v>
      </c>
    </row>
    <row r="12" spans="1:34" ht="14.25" hidden="1" customHeight="1">
      <c r="A12" s="93" t="s">
        <v>88</v>
      </c>
      <c r="B12" s="87" t="s">
        <v>450</v>
      </c>
      <c r="C12" s="31"/>
      <c r="D12" s="2" t="str">
        <f>VLOOKUP(EM[[#This Row],[Product Line]],Prod_T6[],5,0)</f>
        <v>TCL</v>
      </c>
      <c r="E12" s="86" t="s">
        <v>54</v>
      </c>
      <c r="F12" s="86" t="s">
        <v>299</v>
      </c>
      <c r="G12" s="86" t="s">
        <v>115</v>
      </c>
      <c r="H12" s="87" t="s">
        <v>451</v>
      </c>
      <c r="I12" s="43" t="s">
        <v>132</v>
      </c>
      <c r="J12" s="13"/>
      <c r="K12" s="13"/>
      <c r="L12" s="13"/>
      <c r="M12" s="13"/>
      <c r="N12" s="13">
        <v>5</v>
      </c>
      <c r="O12" s="13">
        <v>5</v>
      </c>
      <c r="P12" s="13">
        <v>5</v>
      </c>
      <c r="Q12" s="13"/>
      <c r="R12" s="13"/>
      <c r="S12" s="32"/>
      <c r="T12" s="69">
        <f>SUM(EM[[#This Row],[26M07]:[26M09]])</f>
        <v>10</v>
      </c>
      <c r="U12" s="69">
        <f>SUM(EM[[#This Row],[26M10]:[26M12]])</f>
        <v>5</v>
      </c>
      <c r="V12" s="256"/>
      <c r="W12" s="256"/>
      <c r="X12" s="256"/>
      <c r="Y12" s="256"/>
      <c r="Z12" s="256"/>
      <c r="AA12" s="256"/>
      <c r="AB12" s="256">
        <f>SUM(EM[[#This Row],[27M01]:[27M03]])</f>
        <v>0</v>
      </c>
      <c r="AC12" s="256">
        <f>SUM(EM[[#This Row],[27M04]:[27M06]])</f>
        <v>0</v>
      </c>
      <c r="AD12" s="256" t="str">
        <f>IF(SUM(EM[[#This Row],[26Q2]:[26Q4]])+SUM(EM[[#This Row],[27Q1]:[27Q2]])=0,"No FSCT",IF(AND(SUM(EM[[#This Row],[26Q2]:[26Q4]])&gt;0,SUM(EM[[#This Row],[27Q1]:[27Q2]])=0),"YES","NO"))</f>
        <v>YES</v>
      </c>
      <c r="AE12" s="85" t="str">
        <f>VLOOKUP(EM[[#This Row],[Product Line]],Prod_T6[],4,0)</f>
        <v>PV</v>
      </c>
      <c r="AH12" s="2" t="str">
        <v>2 - Initial offer</v>
      </c>
    </row>
    <row r="13" spans="1:34" ht="14.25" customHeight="1">
      <c r="A13" s="93" t="s">
        <v>88</v>
      </c>
      <c r="B13" s="87" t="s">
        <v>452</v>
      </c>
      <c r="C13" s="31"/>
      <c r="D13" s="2" t="str">
        <f>VLOOKUP(EM[[#This Row],[Product Line]],Prod_T6[],5,0)</f>
        <v>TCL</v>
      </c>
      <c r="E13" s="86" t="s">
        <v>54</v>
      </c>
      <c r="F13" s="86" t="s">
        <v>170</v>
      </c>
      <c r="G13" s="86" t="s">
        <v>136</v>
      </c>
      <c r="H13" s="95" t="s">
        <v>453</v>
      </c>
      <c r="I13" s="43" t="s">
        <v>132</v>
      </c>
      <c r="J13" s="13"/>
      <c r="K13" s="13">
        <v>1</v>
      </c>
      <c r="L13" s="13"/>
      <c r="M13" s="13"/>
      <c r="N13" s="13"/>
      <c r="O13" s="13">
        <v>1</v>
      </c>
      <c r="P13" s="13"/>
      <c r="Q13" s="13"/>
      <c r="R13" s="13"/>
      <c r="S13" s="32">
        <f>SUM(EM[[#This Row],[26M04]:[26M06]])</f>
        <v>1</v>
      </c>
      <c r="T13" s="69">
        <f>SUM(EM[[#This Row],[26M07]:[26M09]])</f>
        <v>1</v>
      </c>
      <c r="U13" s="69">
        <f>SUM(EM[[#This Row],[26M10]:[26M12]])</f>
        <v>0</v>
      </c>
      <c r="V13" s="256"/>
      <c r="W13" s="256"/>
      <c r="X13" s="256"/>
      <c r="Y13" s="256"/>
      <c r="Z13" s="256"/>
      <c r="AA13" s="256"/>
      <c r="AB13" s="256">
        <f>SUM(EM[[#This Row],[27M01]:[27M03]])</f>
        <v>0</v>
      </c>
      <c r="AC13" s="256">
        <f>SUM(EM[[#This Row],[27M04]:[27M06]])</f>
        <v>0</v>
      </c>
      <c r="AD13" s="256" t="str">
        <f>IF(SUM(EM[[#This Row],[26Q2]:[26Q4]])+SUM(EM[[#This Row],[27Q1]:[27Q2]])=0,"No FSCT",IF(AND(SUM(EM[[#This Row],[26Q2]:[26Q4]])&gt;0,SUM(EM[[#This Row],[27Q1]:[27Q2]])=0),"YES","NO"))</f>
        <v>YES</v>
      </c>
      <c r="AE13" s="85" t="str">
        <f>VLOOKUP(EM[[#This Row],[Product Line]],Prod_T6[],4,0)</f>
        <v>PV</v>
      </c>
      <c r="AH13" s="3" t="str">
        <v>3 - Negotiation</v>
      </c>
    </row>
    <row r="14" spans="1:34" ht="14.25" customHeight="1">
      <c r="A14" s="93" t="s">
        <v>88</v>
      </c>
      <c r="B14" s="87" t="s">
        <v>452</v>
      </c>
      <c r="C14" s="31"/>
      <c r="D14" s="2" t="str">
        <f>VLOOKUP(EM[[#This Row],[Product Line]],Prod_T6[],5,0)</f>
        <v>TCL</v>
      </c>
      <c r="E14" s="86" t="s">
        <v>54</v>
      </c>
      <c r="F14" s="86" t="s">
        <v>170</v>
      </c>
      <c r="G14" s="86" t="s">
        <v>136</v>
      </c>
      <c r="H14" s="95" t="s">
        <v>453</v>
      </c>
      <c r="I14" s="43" t="s">
        <v>132</v>
      </c>
      <c r="J14" s="13"/>
      <c r="K14" s="13"/>
      <c r="L14" s="13"/>
      <c r="M14" s="13"/>
      <c r="N14" s="13"/>
      <c r="O14" s="13"/>
      <c r="P14" s="13">
        <v>4</v>
      </c>
      <c r="Q14" s="13"/>
      <c r="R14" s="13"/>
      <c r="S14" s="32">
        <f>SUM(EM[[#This Row],[26M04]:[26M06]])</f>
        <v>0</v>
      </c>
      <c r="T14" s="69">
        <f>SUM(EM[[#This Row],[26M07]:[26M09]])</f>
        <v>0</v>
      </c>
      <c r="U14" s="69">
        <f>SUM(EM[[#This Row],[26M10]:[26M12]])</f>
        <v>4</v>
      </c>
      <c r="V14" s="256"/>
      <c r="W14" s="256"/>
      <c r="X14" s="256"/>
      <c r="Y14" s="256"/>
      <c r="Z14" s="256"/>
      <c r="AA14" s="256"/>
      <c r="AB14" s="256">
        <f>SUM(EM[[#This Row],[27M01]:[27M03]])</f>
        <v>0</v>
      </c>
      <c r="AC14" s="256">
        <f>SUM(EM[[#This Row],[27M04]:[27M06]])</f>
        <v>0</v>
      </c>
      <c r="AD14" s="256" t="str">
        <f>IF(SUM(EM[[#This Row],[26Q2]:[26Q4]])+SUM(EM[[#This Row],[27Q1]:[27Q2]])=0,"No FSCT",IF(AND(SUM(EM[[#This Row],[26Q2]:[26Q4]])&gt;0,SUM(EM[[#This Row],[27Q1]:[27Q2]])=0),"YES","NO"))</f>
        <v>YES</v>
      </c>
      <c r="AE14" s="85" t="str">
        <f>VLOOKUP(EM[[#This Row],[Product Line]],Prod_T6[],4,0)</f>
        <v>PV</v>
      </c>
      <c r="AF14" s="3"/>
      <c r="AG14" s="3"/>
      <c r="AH14" s="3" t="str">
        <v>3 - Negotiation</v>
      </c>
    </row>
    <row r="15" spans="1:34" ht="14.25" customHeight="1">
      <c r="A15" s="93" t="s">
        <v>88</v>
      </c>
      <c r="B15" s="87" t="s">
        <v>452</v>
      </c>
      <c r="C15" s="31"/>
      <c r="D15" s="2" t="str">
        <f>VLOOKUP(EM[[#This Row],[Product Line]],Prod_T6[],5,0)</f>
        <v>TCL</v>
      </c>
      <c r="E15" s="86" t="s">
        <v>54</v>
      </c>
      <c r="F15" s="86" t="s">
        <v>170</v>
      </c>
      <c r="G15" s="86" t="s">
        <v>136</v>
      </c>
      <c r="H15" s="95" t="s">
        <v>453</v>
      </c>
      <c r="I15" s="43" t="s">
        <v>132</v>
      </c>
      <c r="J15" s="13"/>
      <c r="K15" s="13"/>
      <c r="L15" s="13"/>
      <c r="M15" s="13"/>
      <c r="N15" s="13"/>
      <c r="O15" s="13"/>
      <c r="P15" s="13">
        <v>4</v>
      </c>
      <c r="Q15" s="13"/>
      <c r="R15" s="13"/>
      <c r="S15" s="32">
        <f>SUM(EM[[#This Row],[26M04]:[26M06]])</f>
        <v>0</v>
      </c>
      <c r="T15" s="69">
        <f>SUM(EM[[#This Row],[26M07]:[26M09]])</f>
        <v>0</v>
      </c>
      <c r="U15" s="69">
        <f>SUM(EM[[#This Row],[26M10]:[26M12]])</f>
        <v>4</v>
      </c>
      <c r="V15" s="256"/>
      <c r="W15" s="256"/>
      <c r="X15" s="256"/>
      <c r="Y15" s="256"/>
      <c r="Z15" s="256"/>
      <c r="AA15" s="256"/>
      <c r="AB15" s="256">
        <f>SUM(EM[[#This Row],[27M01]:[27M03]])</f>
        <v>0</v>
      </c>
      <c r="AC15" s="256">
        <f>SUM(EM[[#This Row],[27M04]:[27M06]])</f>
        <v>0</v>
      </c>
      <c r="AD15" s="256" t="str">
        <f>IF(SUM(EM[[#This Row],[26Q2]:[26Q4]])+SUM(EM[[#This Row],[27Q1]:[27Q2]])=0,"No FSCT",IF(AND(SUM(EM[[#This Row],[26Q2]:[26Q4]])&gt;0,SUM(EM[[#This Row],[27Q1]:[27Q2]])=0),"YES","NO"))</f>
        <v>YES</v>
      </c>
      <c r="AE15" s="85" t="str">
        <f>VLOOKUP(EM[[#This Row],[Product Line]],Prod_T6[],4,0)</f>
        <v>PV</v>
      </c>
      <c r="AF15" s="3"/>
      <c r="AG15" s="3"/>
      <c r="AH15" s="2" t="str">
        <v>3 - Negotiation</v>
      </c>
    </row>
    <row r="16" spans="1:34" ht="14.25" hidden="1" customHeight="1">
      <c r="A16" s="93" t="s">
        <v>88</v>
      </c>
      <c r="B16" s="87" t="s">
        <v>678</v>
      </c>
      <c r="C16" s="31"/>
      <c r="D16" s="2" t="str">
        <f>VLOOKUP(EM[[#This Row],[Product Line]],Prod_T6[],5,0)</f>
        <v>TCL</v>
      </c>
      <c r="E16" s="86" t="s">
        <v>54</v>
      </c>
      <c r="F16" s="86" t="s">
        <v>170</v>
      </c>
      <c r="G16" s="86" t="s">
        <v>634</v>
      </c>
      <c r="H16" s="87" t="s">
        <v>679</v>
      </c>
      <c r="I16" s="43" t="s">
        <v>132</v>
      </c>
      <c r="J16" s="13"/>
      <c r="K16" s="13"/>
      <c r="L16" s="13"/>
      <c r="M16" s="13"/>
      <c r="N16" s="13"/>
      <c r="O16" s="13">
        <v>12</v>
      </c>
      <c r="P16" s="13"/>
      <c r="Q16" s="13"/>
      <c r="R16" s="13"/>
      <c r="S16" s="32"/>
      <c r="T16" s="69">
        <f>SUM(EM[[#This Row],[26M07]:[26M09]])</f>
        <v>12</v>
      </c>
      <c r="U16" s="69">
        <f>SUM(EM[[#This Row],[26M10]:[26M12]])</f>
        <v>0</v>
      </c>
      <c r="V16" s="256"/>
      <c r="W16" s="256"/>
      <c r="X16" s="256"/>
      <c r="Y16" s="256"/>
      <c r="Z16" s="256"/>
      <c r="AA16" s="256"/>
      <c r="AB16" s="256">
        <f>SUM(EM[[#This Row],[27M01]:[27M03]])</f>
        <v>0</v>
      </c>
      <c r="AC16" s="256">
        <f>SUM(EM[[#This Row],[27M04]:[27M06]])</f>
        <v>0</v>
      </c>
      <c r="AD16" s="256" t="str">
        <f>IF(SUM(EM[[#This Row],[26Q2]:[26Q4]])+SUM(EM[[#This Row],[27Q1]:[27Q2]])=0,"No FSCT",IF(AND(SUM(EM[[#This Row],[26Q2]:[26Q4]])&gt;0,SUM(EM[[#This Row],[27Q1]:[27Q2]])=0),"YES","NO"))</f>
        <v>YES</v>
      </c>
      <c r="AE16" s="85" t="str">
        <f>VLOOKUP(EM[[#This Row],[Product Line]],Prod_T6[],4,0)</f>
        <v>PV</v>
      </c>
      <c r="AH16" s="2" t="str">
        <v>0  - Lost</v>
      </c>
    </row>
    <row r="17" spans="1:34" ht="14.25" hidden="1" customHeight="1">
      <c r="A17" s="93" t="s">
        <v>88</v>
      </c>
      <c r="B17" s="87" t="s">
        <v>452</v>
      </c>
      <c r="C17" s="31"/>
      <c r="D17" s="2" t="str">
        <f>VLOOKUP(EM[[#This Row],[Product Line]],Prod_T6[],5,0)</f>
        <v>TCL</v>
      </c>
      <c r="E17" s="86" t="s">
        <v>54</v>
      </c>
      <c r="F17" s="86" t="s">
        <v>170</v>
      </c>
      <c r="G17" s="86" t="s">
        <v>634</v>
      </c>
      <c r="H17" s="87" t="s">
        <v>679</v>
      </c>
      <c r="I17" s="43" t="s">
        <v>132</v>
      </c>
      <c r="J17" s="13"/>
      <c r="K17" s="13"/>
      <c r="L17" s="13"/>
      <c r="M17" s="13"/>
      <c r="N17" s="13"/>
      <c r="O17" s="13">
        <v>16</v>
      </c>
      <c r="P17" s="13"/>
      <c r="Q17" s="13"/>
      <c r="R17" s="13"/>
      <c r="S17" s="32">
        <f>SUM(EM[[#This Row],[26M04]:[26M06]])</f>
        <v>0</v>
      </c>
      <c r="T17" s="69">
        <f>SUM(EM[[#This Row],[26M07]:[26M09]])</f>
        <v>16</v>
      </c>
      <c r="U17" s="69">
        <f>SUM(EM[[#This Row],[26M10]:[26M12]])</f>
        <v>0</v>
      </c>
      <c r="V17" s="256"/>
      <c r="W17" s="256"/>
      <c r="X17" s="256"/>
      <c r="Y17" s="256"/>
      <c r="Z17" s="256"/>
      <c r="AA17" s="256"/>
      <c r="AB17" s="256">
        <f>SUM(EM[[#This Row],[27M01]:[27M03]])</f>
        <v>0</v>
      </c>
      <c r="AC17" s="256">
        <f>SUM(EM[[#This Row],[27M04]:[27M06]])</f>
        <v>0</v>
      </c>
      <c r="AD17" s="256" t="str">
        <f>IF(SUM(EM[[#This Row],[26Q2]:[26Q4]])+SUM(EM[[#This Row],[27Q1]:[27Q2]])=0,"No FSCT",IF(AND(SUM(EM[[#This Row],[26Q2]:[26Q4]])&gt;0,SUM(EM[[#This Row],[27Q1]:[27Q2]])=0),"YES","NO"))</f>
        <v>YES</v>
      </c>
      <c r="AE17" s="85" t="str">
        <f>VLOOKUP(EM[[#This Row],[Product Line]],Prod_T6[],4,0)</f>
        <v>PV</v>
      </c>
      <c r="AH17" s="2" t="str">
        <v>0  - Lost</v>
      </c>
    </row>
    <row r="18" spans="1:34" ht="14.25" hidden="1" customHeight="1">
      <c r="A18" s="93" t="s">
        <v>88</v>
      </c>
      <c r="B18" s="87" t="s">
        <v>452</v>
      </c>
      <c r="C18" s="31"/>
      <c r="D18" s="2" t="str">
        <f>VLOOKUP(EM[[#This Row],[Product Line]],Prod_T6[],5,0)</f>
        <v>TCL</v>
      </c>
      <c r="E18" s="86" t="s">
        <v>54</v>
      </c>
      <c r="F18" s="86" t="s">
        <v>170</v>
      </c>
      <c r="G18" s="86" t="s">
        <v>115</v>
      </c>
      <c r="H18" s="95" t="s">
        <v>454</v>
      </c>
      <c r="I18" s="43" t="s">
        <v>132</v>
      </c>
      <c r="J18" s="13"/>
      <c r="K18" s="13"/>
      <c r="L18" s="13"/>
      <c r="M18" s="13"/>
      <c r="N18" s="13"/>
      <c r="O18" s="13">
        <v>5.2</v>
      </c>
      <c r="P18" s="13"/>
      <c r="Q18" s="13"/>
      <c r="R18" s="13"/>
      <c r="S18" s="32">
        <f>SUM(EM[[#This Row],[26M04]:[26M06]])</f>
        <v>0</v>
      </c>
      <c r="T18" s="69">
        <f>SUM(EM[[#This Row],[26M07]:[26M09]])</f>
        <v>5.2</v>
      </c>
      <c r="U18" s="69">
        <f>SUM(EM[[#This Row],[26M10]:[26M12]])</f>
        <v>0</v>
      </c>
      <c r="V18" s="256"/>
      <c r="W18" s="256"/>
      <c r="X18" s="256"/>
      <c r="Y18" s="256"/>
      <c r="Z18" s="256"/>
      <c r="AA18" s="256"/>
      <c r="AB18" s="256">
        <f>SUM(EM[[#This Row],[27M01]:[27M03]])</f>
        <v>0</v>
      </c>
      <c r="AC18" s="256">
        <f>SUM(EM[[#This Row],[27M04]:[27M06]])</f>
        <v>0</v>
      </c>
      <c r="AD18" s="256" t="str">
        <f>IF(SUM(EM[[#This Row],[26Q2]:[26Q4]])+SUM(EM[[#This Row],[27Q1]:[27Q2]])=0,"No FSCT",IF(AND(SUM(EM[[#This Row],[26Q2]:[26Q4]])&gt;0,SUM(EM[[#This Row],[27Q1]:[27Q2]])=0),"YES","NO"))</f>
        <v>YES</v>
      </c>
      <c r="AE18" s="85" t="str">
        <f>VLOOKUP(EM[[#This Row],[Product Line]],Prod_T6[],4,0)</f>
        <v>PV</v>
      </c>
      <c r="AH18" s="2" t="str">
        <v>2 - Initial offer</v>
      </c>
    </row>
    <row r="19" spans="1:34" ht="14.25" hidden="1" customHeight="1">
      <c r="A19" s="93" t="s">
        <v>88</v>
      </c>
      <c r="B19" s="87" t="s">
        <v>461</v>
      </c>
      <c r="C19" s="31"/>
      <c r="D19" s="2" t="str">
        <f>VLOOKUP(EM[[#This Row],[Product Line]],Prod_T6[],5,0)</f>
        <v>TCL</v>
      </c>
      <c r="E19" s="86" t="s">
        <v>314</v>
      </c>
      <c r="F19" s="86" t="s">
        <v>680</v>
      </c>
      <c r="G19" s="86" t="s">
        <v>634</v>
      </c>
      <c r="H19" s="87" t="s">
        <v>681</v>
      </c>
      <c r="I19" s="43" t="s">
        <v>132</v>
      </c>
      <c r="J19" s="13"/>
      <c r="K19" s="13">
        <v>3</v>
      </c>
      <c r="L19" s="13"/>
      <c r="M19" s="13">
        <v>17</v>
      </c>
      <c r="N19" s="13"/>
      <c r="O19" s="13"/>
      <c r="P19" s="13"/>
      <c r="Q19" s="13"/>
      <c r="R19" s="13"/>
      <c r="S19" s="32">
        <f>SUM(EM[[#This Row],[26M04]:[26M06]])</f>
        <v>3</v>
      </c>
      <c r="T19" s="69">
        <f>SUM(EM[[#This Row],[26M07]:[26M09]])</f>
        <v>17</v>
      </c>
      <c r="U19" s="69">
        <f>SUM(EM[[#This Row],[26M10]:[26M12]])</f>
        <v>0</v>
      </c>
      <c r="V19" s="256"/>
      <c r="W19" s="256"/>
      <c r="X19" s="256"/>
      <c r="Y19" s="256"/>
      <c r="Z19" s="256"/>
      <c r="AA19" s="256"/>
      <c r="AB19" s="256">
        <f>SUM(EM[[#This Row],[27M01]:[27M03]])</f>
        <v>0</v>
      </c>
      <c r="AC19" s="256">
        <f>SUM(EM[[#This Row],[27M04]:[27M06]])</f>
        <v>0</v>
      </c>
      <c r="AD19" s="256" t="str">
        <f>IF(SUM(EM[[#This Row],[26Q2]:[26Q4]])+SUM(EM[[#This Row],[27Q1]:[27Q2]])=0,"No FSCT",IF(AND(SUM(EM[[#This Row],[26Q2]:[26Q4]])&gt;0,SUM(EM[[#This Row],[27Q1]:[27Q2]])=0),"YES","NO"))</f>
        <v>YES</v>
      </c>
      <c r="AE19" s="85" t="str">
        <f>VLOOKUP(EM[[#This Row],[Product Line]],Prod_T6[],4,0)</f>
        <v>PV</v>
      </c>
      <c r="AH19" s="2" t="str">
        <v>0  - Lost</v>
      </c>
    </row>
    <row r="20" spans="1:34" ht="14.25" hidden="1" customHeight="1">
      <c r="A20" s="93" t="s">
        <v>88</v>
      </c>
      <c r="B20" s="87" t="s">
        <v>452</v>
      </c>
      <c r="C20" s="31"/>
      <c r="D20" s="2" t="str">
        <f>VLOOKUP(EM[[#This Row],[Product Line]],Prod_T6[],5,0)</f>
        <v>TCL</v>
      </c>
      <c r="E20" s="86" t="s">
        <v>54</v>
      </c>
      <c r="F20" s="86" t="s">
        <v>129</v>
      </c>
      <c r="G20" s="86" t="s">
        <v>115</v>
      </c>
      <c r="H20" s="95" t="s">
        <v>454</v>
      </c>
      <c r="I20" s="43" t="s">
        <v>132</v>
      </c>
      <c r="J20" s="13"/>
      <c r="K20" s="13"/>
      <c r="L20" s="13"/>
      <c r="M20" s="13"/>
      <c r="N20" s="13"/>
      <c r="O20" s="13">
        <v>0.7</v>
      </c>
      <c r="P20" s="13"/>
      <c r="Q20" s="13"/>
      <c r="R20" s="13"/>
      <c r="S20" s="32">
        <f>SUM(EM[[#This Row],[26M04]:[26M06]])</f>
        <v>0</v>
      </c>
      <c r="T20" s="69">
        <f>SUM(EM[[#This Row],[26M07]:[26M09]])</f>
        <v>0.7</v>
      </c>
      <c r="U20" s="69">
        <f>SUM(EM[[#This Row],[26M10]:[26M12]])</f>
        <v>0</v>
      </c>
      <c r="V20" s="256"/>
      <c r="W20" s="256"/>
      <c r="X20" s="256"/>
      <c r="Y20" s="256"/>
      <c r="Z20" s="256"/>
      <c r="AA20" s="256"/>
      <c r="AB20" s="256">
        <f>SUM(EM[[#This Row],[27M01]:[27M03]])</f>
        <v>0</v>
      </c>
      <c r="AC20" s="256">
        <f>SUM(EM[[#This Row],[27M04]:[27M06]])</f>
        <v>0</v>
      </c>
      <c r="AD20" s="256" t="str">
        <f>IF(SUM(EM[[#This Row],[26Q2]:[26Q4]])+SUM(EM[[#This Row],[27Q1]:[27Q2]])=0,"No FSCT",IF(AND(SUM(EM[[#This Row],[26Q2]:[26Q4]])&gt;0,SUM(EM[[#This Row],[27Q1]:[27Q2]])=0),"YES","NO"))</f>
        <v>YES</v>
      </c>
      <c r="AE20" s="85" t="str">
        <f>VLOOKUP(EM[[#This Row],[Product Line]],Prod_T6[],4,0)</f>
        <v>PV</v>
      </c>
      <c r="AH20" s="2" t="str">
        <v>2 - Initial offer</v>
      </c>
    </row>
    <row r="21" spans="1:34" ht="14.25" hidden="1" customHeight="1">
      <c r="A21" s="93" t="s">
        <v>88</v>
      </c>
      <c r="B21" s="87" t="s">
        <v>682</v>
      </c>
      <c r="C21" s="31"/>
      <c r="D21" s="2" t="str">
        <f>VLOOKUP(EM[[#This Row],[Product Line]],Prod_T6[],5,0)</f>
        <v>TCL</v>
      </c>
      <c r="E21" s="86" t="s">
        <v>54</v>
      </c>
      <c r="F21" s="86" t="s">
        <v>170</v>
      </c>
      <c r="G21" s="86" t="s">
        <v>634</v>
      </c>
      <c r="H21" s="87" t="s">
        <v>683</v>
      </c>
      <c r="I21" s="43" t="s">
        <v>132</v>
      </c>
      <c r="J21" s="13"/>
      <c r="K21" s="13"/>
      <c r="L21" s="13"/>
      <c r="M21" s="13"/>
      <c r="N21" s="13"/>
      <c r="O21" s="13">
        <v>4</v>
      </c>
      <c r="P21" s="13"/>
      <c r="Q21" s="13"/>
      <c r="R21" s="13"/>
      <c r="S21" s="32">
        <f>SUM(EM[[#This Row],[26M04]:[26M06]])</f>
        <v>0</v>
      </c>
      <c r="T21" s="69">
        <f>SUM(EM[[#This Row],[26M07]:[26M09]])</f>
        <v>4</v>
      </c>
      <c r="U21" s="69">
        <f>SUM(EM[[#This Row],[26M10]:[26M12]])</f>
        <v>0</v>
      </c>
      <c r="V21" s="256"/>
      <c r="W21" s="256"/>
      <c r="X21" s="256"/>
      <c r="Y21" s="256"/>
      <c r="Z21" s="256"/>
      <c r="AA21" s="256"/>
      <c r="AB21" s="256">
        <f>SUM(EM[[#This Row],[27M01]:[27M03]])</f>
        <v>0</v>
      </c>
      <c r="AC21" s="256">
        <f>SUM(EM[[#This Row],[27M04]:[27M06]])</f>
        <v>0</v>
      </c>
      <c r="AD21" s="256" t="str">
        <f>IF(SUM(EM[[#This Row],[26Q2]:[26Q4]])+SUM(EM[[#This Row],[27Q1]:[27Q2]])=0,"No FSCT",IF(AND(SUM(EM[[#This Row],[26Q2]:[26Q4]])&gt;0,SUM(EM[[#This Row],[27Q1]:[27Q2]])=0),"YES","NO"))</f>
        <v>YES</v>
      </c>
      <c r="AE21" s="85" t="str">
        <f>VLOOKUP(EM[[#This Row],[Product Line]],Prod_T6[],4,0)</f>
        <v>PV</v>
      </c>
      <c r="AH21" s="2" t="str">
        <v>0  - Lost</v>
      </c>
    </row>
    <row r="22" spans="1:34" ht="14.25" hidden="1" customHeight="1">
      <c r="A22" s="93" t="s">
        <v>88</v>
      </c>
      <c r="B22" s="87" t="s">
        <v>452</v>
      </c>
      <c r="C22" s="31"/>
      <c r="D22" s="2" t="str">
        <f>VLOOKUP(EM[[#This Row],[Product Line]],Prod_T6[],5,0)</f>
        <v>TCL</v>
      </c>
      <c r="E22" s="86" t="s">
        <v>314</v>
      </c>
      <c r="F22" s="86" t="s">
        <v>442</v>
      </c>
      <c r="G22" s="86" t="s">
        <v>634</v>
      </c>
      <c r="H22" s="87" t="s">
        <v>684</v>
      </c>
      <c r="I22" s="43" t="s">
        <v>132</v>
      </c>
      <c r="J22" s="13"/>
      <c r="K22" s="13"/>
      <c r="L22" s="13">
        <v>19</v>
      </c>
      <c r="M22" s="13"/>
      <c r="N22" s="13"/>
      <c r="O22" s="13"/>
      <c r="P22" s="13"/>
      <c r="Q22" s="13"/>
      <c r="R22" s="13"/>
      <c r="S22" s="32">
        <f>SUM(EM[[#This Row],[26M04]:[26M06]])</f>
        <v>19</v>
      </c>
      <c r="T22" s="69">
        <f>SUM(EM[[#This Row],[26M07]:[26M09]])</f>
        <v>0</v>
      </c>
      <c r="U22" s="69">
        <f>SUM(EM[[#This Row],[26M10]:[26M12]])</f>
        <v>0</v>
      </c>
      <c r="V22" s="256"/>
      <c r="W22" s="256"/>
      <c r="X22" s="256"/>
      <c r="Y22" s="256"/>
      <c r="Z22" s="256"/>
      <c r="AA22" s="256"/>
      <c r="AB22" s="256">
        <f>SUM(EM[[#This Row],[27M01]:[27M03]])</f>
        <v>0</v>
      </c>
      <c r="AC22" s="256">
        <f>SUM(EM[[#This Row],[27M04]:[27M06]])</f>
        <v>0</v>
      </c>
      <c r="AD22" s="256" t="str">
        <f>IF(SUM(EM[[#This Row],[26Q2]:[26Q4]])+SUM(EM[[#This Row],[27Q1]:[27Q2]])=0,"No FSCT",IF(AND(SUM(EM[[#This Row],[26Q2]:[26Q4]])&gt;0,SUM(EM[[#This Row],[27Q1]:[27Q2]])=0),"YES","NO"))</f>
        <v>YES</v>
      </c>
      <c r="AE22" s="85" t="str">
        <f>VLOOKUP(EM[[#This Row],[Product Line]],Prod_T6[],4,0)</f>
        <v>PV</v>
      </c>
      <c r="AH22" s="2" t="str">
        <v>0  - Lost</v>
      </c>
    </row>
    <row r="23" spans="1:34" ht="14.25" hidden="1" customHeight="1">
      <c r="A23" s="93" t="s">
        <v>88</v>
      </c>
      <c r="B23" s="87" t="s">
        <v>452</v>
      </c>
      <c r="C23" s="31"/>
      <c r="D23" s="2" t="str">
        <f>VLOOKUP(EM[[#This Row],[Product Line]],Prod_T6[],5,0)</f>
        <v>TCL</v>
      </c>
      <c r="E23" s="86" t="s">
        <v>314</v>
      </c>
      <c r="F23" s="86" t="s">
        <v>442</v>
      </c>
      <c r="G23" s="86" t="s">
        <v>115</v>
      </c>
      <c r="H23" s="95" t="s">
        <v>455</v>
      </c>
      <c r="I23" s="43" t="s">
        <v>132</v>
      </c>
      <c r="J23" s="13"/>
      <c r="K23" s="13"/>
      <c r="L23" s="13"/>
      <c r="M23" s="13"/>
      <c r="N23" s="13"/>
      <c r="O23" s="13">
        <v>1</v>
      </c>
      <c r="P23" s="13"/>
      <c r="Q23" s="13"/>
      <c r="R23" s="13"/>
      <c r="S23" s="32">
        <f>SUM(EM[[#This Row],[26M04]:[26M06]])</f>
        <v>0</v>
      </c>
      <c r="T23" s="69">
        <f>SUM(EM[[#This Row],[26M07]:[26M09]])</f>
        <v>1</v>
      </c>
      <c r="U23" s="69">
        <f>SUM(EM[[#This Row],[26M10]:[26M12]])</f>
        <v>0</v>
      </c>
      <c r="V23" s="256"/>
      <c r="W23" s="256"/>
      <c r="X23" s="256"/>
      <c r="Y23" s="256"/>
      <c r="Z23" s="256"/>
      <c r="AA23" s="256"/>
      <c r="AB23" s="256">
        <f>SUM(EM[[#This Row],[27M01]:[27M03]])</f>
        <v>0</v>
      </c>
      <c r="AC23" s="256">
        <f>SUM(EM[[#This Row],[27M04]:[27M06]])</f>
        <v>0</v>
      </c>
      <c r="AD23" s="256" t="str">
        <f>IF(SUM(EM[[#This Row],[26Q2]:[26Q4]])+SUM(EM[[#This Row],[27Q1]:[27Q2]])=0,"No FSCT",IF(AND(SUM(EM[[#This Row],[26Q2]:[26Q4]])&gt;0,SUM(EM[[#This Row],[27Q1]:[27Q2]])=0),"YES","NO"))</f>
        <v>YES</v>
      </c>
      <c r="AE23" s="85" t="str">
        <f>VLOOKUP(EM[[#This Row],[Product Line]],Prod_T6[],4,0)</f>
        <v>PV</v>
      </c>
      <c r="AH23" s="2" t="str">
        <v>2 - Initial offer</v>
      </c>
    </row>
    <row r="24" spans="1:34" ht="14.25" hidden="1" customHeight="1">
      <c r="A24" s="93" t="s">
        <v>88</v>
      </c>
      <c r="B24" s="87" t="s">
        <v>452</v>
      </c>
      <c r="C24" s="31"/>
      <c r="D24" s="2" t="str">
        <f>VLOOKUP(EM[[#This Row],[Product Line]],Prod_T6[],5,0)</f>
        <v>TCL</v>
      </c>
      <c r="E24" s="86" t="s">
        <v>54</v>
      </c>
      <c r="F24" s="86" t="s">
        <v>170</v>
      </c>
      <c r="G24" s="86" t="s">
        <v>213</v>
      </c>
      <c r="H24" s="95" t="s">
        <v>458</v>
      </c>
      <c r="I24" s="43" t="s">
        <v>132</v>
      </c>
      <c r="J24" s="13"/>
      <c r="K24" s="13"/>
      <c r="L24" s="13"/>
      <c r="M24" s="13"/>
      <c r="N24" s="13"/>
      <c r="O24" s="13">
        <v>1</v>
      </c>
      <c r="P24" s="13"/>
      <c r="Q24" s="13"/>
      <c r="R24" s="13"/>
      <c r="S24" s="32">
        <f>SUM(EM[[#This Row],[26M04]:[26M06]])</f>
        <v>0</v>
      </c>
      <c r="T24" s="69">
        <f>SUM(EM[[#This Row],[26M07]:[26M09]])</f>
        <v>1</v>
      </c>
      <c r="U24" s="69">
        <f>SUM(EM[[#This Row],[26M10]:[26M12]])</f>
        <v>0</v>
      </c>
      <c r="V24" s="256"/>
      <c r="W24" s="256"/>
      <c r="X24" s="256"/>
      <c r="Y24" s="256"/>
      <c r="Z24" s="256"/>
      <c r="AA24" s="256"/>
      <c r="AB24" s="256">
        <f>SUM(EM[[#This Row],[27M01]:[27M03]])</f>
        <v>0</v>
      </c>
      <c r="AC24" s="256">
        <f>SUM(EM[[#This Row],[27M04]:[27M06]])</f>
        <v>0</v>
      </c>
      <c r="AD24" s="256" t="str">
        <f>IF(SUM(EM[[#This Row],[26Q2]:[26Q4]])+SUM(EM[[#This Row],[27Q1]:[27Q2]])=0,"No FSCT",IF(AND(SUM(EM[[#This Row],[26Q2]:[26Q4]])&gt;0,SUM(EM[[#This Row],[27Q1]:[27Q2]])=0),"YES","NO"))</f>
        <v>YES</v>
      </c>
      <c r="AE24" s="85" t="str">
        <f>VLOOKUP(EM[[#This Row],[Product Line]],Prod_T6[],4,0)</f>
        <v>PV</v>
      </c>
      <c r="AH24" s="2" t="str">
        <v>1 - Lead qualification</v>
      </c>
    </row>
    <row r="25" spans="1:34" ht="14.25" hidden="1" customHeight="1">
      <c r="A25" s="93" t="s">
        <v>88</v>
      </c>
      <c r="B25" s="87" t="s">
        <v>461</v>
      </c>
      <c r="C25" s="31"/>
      <c r="D25" s="2" t="str">
        <f>VLOOKUP(EM[[#This Row],[Product Line]],Prod_T6[],5,0)</f>
        <v>TCL</v>
      </c>
      <c r="E25" s="86" t="s">
        <v>54</v>
      </c>
      <c r="F25" s="86" t="s">
        <v>170</v>
      </c>
      <c r="G25" s="86" t="s">
        <v>634</v>
      </c>
      <c r="H25" s="87" t="s">
        <v>685</v>
      </c>
      <c r="I25" s="43" t="s">
        <v>132</v>
      </c>
      <c r="J25" s="13"/>
      <c r="K25" s="13"/>
      <c r="L25" s="13"/>
      <c r="M25" s="13"/>
      <c r="N25" s="13"/>
      <c r="O25" s="13">
        <v>90</v>
      </c>
      <c r="P25" s="13"/>
      <c r="Q25" s="13"/>
      <c r="R25" s="13"/>
      <c r="S25" s="32">
        <f>SUM(EM[[#This Row],[26M04]:[26M06]])</f>
        <v>0</v>
      </c>
      <c r="T25" s="69">
        <f>SUM(EM[[#This Row],[26M07]:[26M09]])</f>
        <v>90</v>
      </c>
      <c r="U25" s="69">
        <f>SUM(EM[[#This Row],[26M10]:[26M12]])</f>
        <v>0</v>
      </c>
      <c r="V25" s="256"/>
      <c r="W25" s="256"/>
      <c r="X25" s="256"/>
      <c r="Y25" s="256"/>
      <c r="Z25" s="256"/>
      <c r="AA25" s="256"/>
      <c r="AB25" s="256">
        <f>SUM(EM[[#This Row],[27M01]:[27M03]])</f>
        <v>0</v>
      </c>
      <c r="AC25" s="256">
        <f>SUM(EM[[#This Row],[27M04]:[27M06]])</f>
        <v>0</v>
      </c>
      <c r="AD25" s="256" t="str">
        <f>IF(SUM(EM[[#This Row],[26Q2]:[26Q4]])+SUM(EM[[#This Row],[27Q1]:[27Q2]])=0,"No FSCT",IF(AND(SUM(EM[[#This Row],[26Q2]:[26Q4]])&gt;0,SUM(EM[[#This Row],[27Q1]:[27Q2]])=0),"YES","NO"))</f>
        <v>YES</v>
      </c>
      <c r="AE25" s="85" t="str">
        <f>VLOOKUP(EM[[#This Row],[Product Line]],Prod_T6[],4,0)</f>
        <v>PV</v>
      </c>
      <c r="AH25" s="2" t="str">
        <v>0  - Lost</v>
      </c>
    </row>
    <row r="26" spans="1:34" ht="14.25" hidden="1" customHeight="1">
      <c r="A26" s="93" t="s">
        <v>88</v>
      </c>
      <c r="B26" s="87" t="s">
        <v>686</v>
      </c>
      <c r="C26" s="31"/>
      <c r="D26" s="2" t="str">
        <f>VLOOKUP(EM[[#This Row],[Product Line]],Prod_T6[],5,0)</f>
        <v>TCL</v>
      </c>
      <c r="E26" s="86" t="s">
        <v>149</v>
      </c>
      <c r="F26" s="86" t="s">
        <v>433</v>
      </c>
      <c r="G26" s="86" t="s">
        <v>634</v>
      </c>
      <c r="H26" s="87" t="s">
        <v>687</v>
      </c>
      <c r="I26" s="43" t="s">
        <v>132</v>
      </c>
      <c r="J26" s="13"/>
      <c r="K26" s="13"/>
      <c r="L26" s="13"/>
      <c r="M26" s="13"/>
      <c r="N26" s="13"/>
      <c r="O26" s="13">
        <v>303</v>
      </c>
      <c r="P26" s="13"/>
      <c r="Q26" s="13"/>
      <c r="R26" s="13"/>
      <c r="S26" s="32">
        <f>SUM(EM[[#This Row],[26M04]:[26M06]])</f>
        <v>0</v>
      </c>
      <c r="T26" s="69">
        <f>SUM(EM[[#This Row],[26M07]:[26M09]])</f>
        <v>303</v>
      </c>
      <c r="U26" s="69">
        <f>SUM(EM[[#This Row],[26M10]:[26M12]])</f>
        <v>0</v>
      </c>
      <c r="V26" s="256"/>
      <c r="W26" s="256"/>
      <c r="X26" s="256"/>
      <c r="Y26" s="256"/>
      <c r="Z26" s="256"/>
      <c r="AA26" s="256"/>
      <c r="AB26" s="256">
        <f>SUM(EM[[#This Row],[27M01]:[27M03]])</f>
        <v>0</v>
      </c>
      <c r="AC26" s="256">
        <f>SUM(EM[[#This Row],[27M04]:[27M06]])</f>
        <v>0</v>
      </c>
      <c r="AD26" s="256" t="str">
        <f>IF(SUM(EM[[#This Row],[26Q2]:[26Q4]])+SUM(EM[[#This Row],[27Q1]:[27Q2]])=0,"No FSCT",IF(AND(SUM(EM[[#This Row],[26Q2]:[26Q4]])&gt;0,SUM(EM[[#This Row],[27Q1]:[27Q2]])=0),"YES","NO"))</f>
        <v>YES</v>
      </c>
      <c r="AE26" s="85" t="str">
        <f>VLOOKUP(EM[[#This Row],[Product Line]],Prod_T6[],4,0)</f>
        <v>PV</v>
      </c>
      <c r="AH26" s="2" t="str">
        <v>0  - Lost</v>
      </c>
    </row>
    <row r="27" spans="1:34" ht="14.25" hidden="1" customHeight="1">
      <c r="A27" s="93" t="s">
        <v>88</v>
      </c>
      <c r="B27" s="87" t="s">
        <v>452</v>
      </c>
      <c r="C27" s="31"/>
      <c r="D27" s="2" t="str">
        <f>VLOOKUP(EM[[#This Row],[Product Line]],Prod_T6[],5,0)</f>
        <v>TCL</v>
      </c>
      <c r="E27" s="86" t="s">
        <v>54</v>
      </c>
      <c r="F27" s="86" t="s">
        <v>170</v>
      </c>
      <c r="G27" s="86" t="s">
        <v>213</v>
      </c>
      <c r="H27" s="95" t="s">
        <v>459</v>
      </c>
      <c r="I27" s="43" t="s">
        <v>132</v>
      </c>
      <c r="J27" s="13"/>
      <c r="K27" s="13"/>
      <c r="L27" s="13"/>
      <c r="M27" s="13"/>
      <c r="N27" s="13"/>
      <c r="O27" s="13">
        <v>1</v>
      </c>
      <c r="P27" s="13"/>
      <c r="Q27" s="13"/>
      <c r="R27" s="13"/>
      <c r="S27" s="32">
        <f>SUM(EM[[#This Row],[26M04]:[26M06]])</f>
        <v>0</v>
      </c>
      <c r="T27" s="69">
        <f>SUM(EM[[#This Row],[26M07]:[26M09]])</f>
        <v>1</v>
      </c>
      <c r="U27" s="69">
        <f>SUM(EM[[#This Row],[26M10]:[26M12]])</f>
        <v>0</v>
      </c>
      <c r="V27" s="256"/>
      <c r="W27" s="256"/>
      <c r="X27" s="256"/>
      <c r="Y27" s="256"/>
      <c r="Z27" s="256"/>
      <c r="AA27" s="256"/>
      <c r="AB27" s="256">
        <f>SUM(EM[[#This Row],[27M01]:[27M03]])</f>
        <v>0</v>
      </c>
      <c r="AC27" s="256">
        <f>SUM(EM[[#This Row],[27M04]:[27M06]])</f>
        <v>0</v>
      </c>
      <c r="AD27" s="256" t="str">
        <f>IF(SUM(EM[[#This Row],[26Q2]:[26Q4]])+SUM(EM[[#This Row],[27Q1]:[27Q2]])=0,"No FSCT",IF(AND(SUM(EM[[#This Row],[26Q2]:[26Q4]])&gt;0,SUM(EM[[#This Row],[27Q1]:[27Q2]])=0),"YES","NO"))</f>
        <v>YES</v>
      </c>
      <c r="AE27" s="85" t="str">
        <f>VLOOKUP(EM[[#This Row],[Product Line]],Prod_T6[],4,0)</f>
        <v>PV</v>
      </c>
      <c r="AH27" s="2" t="str">
        <v>1 - Lead qualification</v>
      </c>
    </row>
    <row r="28" spans="1:34" ht="14.25" hidden="1" customHeight="1">
      <c r="A28" s="93" t="s">
        <v>88</v>
      </c>
      <c r="B28" s="87" t="s">
        <v>688</v>
      </c>
      <c r="C28" s="31"/>
      <c r="D28" s="2" t="str">
        <f>VLOOKUP(EM[[#This Row],[Product Line]],Prod_T6[],5,0)</f>
        <v>TCL</v>
      </c>
      <c r="E28" s="86" t="s">
        <v>54</v>
      </c>
      <c r="F28" s="86" t="s">
        <v>121</v>
      </c>
      <c r="G28" s="86" t="s">
        <v>634</v>
      </c>
      <c r="H28" s="87" t="s">
        <v>689</v>
      </c>
      <c r="I28" s="43" t="s">
        <v>132</v>
      </c>
      <c r="J28" s="13">
        <v>8</v>
      </c>
      <c r="K28" s="13"/>
      <c r="L28" s="13"/>
      <c r="M28" s="13"/>
      <c r="N28" s="13"/>
      <c r="O28" s="13"/>
      <c r="P28" s="13"/>
      <c r="Q28" s="13"/>
      <c r="R28" s="13"/>
      <c r="S28" s="32">
        <f>SUM(EM[[#This Row],[26M04]:[26M06]])</f>
        <v>8</v>
      </c>
      <c r="T28" s="69">
        <f>SUM(EM[[#This Row],[26M07]:[26M09]])</f>
        <v>0</v>
      </c>
      <c r="U28" s="69">
        <f>SUM(EM[[#This Row],[26M10]:[26M12]])</f>
        <v>0</v>
      </c>
      <c r="V28" s="256"/>
      <c r="W28" s="256"/>
      <c r="X28" s="256"/>
      <c r="Y28" s="256"/>
      <c r="Z28" s="256"/>
      <c r="AA28" s="256"/>
      <c r="AB28" s="256">
        <f>SUM(EM[[#This Row],[27M01]:[27M03]])</f>
        <v>0</v>
      </c>
      <c r="AC28" s="256">
        <f>SUM(EM[[#This Row],[27M04]:[27M06]])</f>
        <v>0</v>
      </c>
      <c r="AD28" s="256" t="str">
        <f>IF(SUM(EM[[#This Row],[26Q2]:[26Q4]])+SUM(EM[[#This Row],[27Q1]:[27Q2]])=0,"No FSCT",IF(AND(SUM(EM[[#This Row],[26Q2]:[26Q4]])&gt;0,SUM(EM[[#This Row],[27Q1]:[27Q2]])=0),"YES","NO"))</f>
        <v>YES</v>
      </c>
      <c r="AE28" s="120" t="str">
        <f>VLOOKUP(EM[[#This Row],[Product Line]],Prod_T6[],4,0)</f>
        <v>PV</v>
      </c>
      <c r="AH28" s="2" t="str">
        <v>0  - Lost</v>
      </c>
    </row>
    <row r="29" spans="1:34" ht="14.25" hidden="1" customHeight="1">
      <c r="A29" s="93" t="s">
        <v>88</v>
      </c>
      <c r="B29" s="87" t="s">
        <v>688</v>
      </c>
      <c r="C29" s="3"/>
      <c r="D29" s="2" t="str">
        <f>VLOOKUP(EM[[#This Row],[Product Line]],Prod_T6[],5,0)</f>
        <v>TCL</v>
      </c>
      <c r="E29" s="86" t="s">
        <v>54</v>
      </c>
      <c r="F29" s="86" t="s">
        <v>121</v>
      </c>
      <c r="G29" s="86" t="s">
        <v>634</v>
      </c>
      <c r="H29" s="87" t="s">
        <v>689</v>
      </c>
      <c r="I29" s="43" t="s">
        <v>132</v>
      </c>
      <c r="J29" s="13"/>
      <c r="K29" s="13">
        <v>3</v>
      </c>
      <c r="L29" s="13"/>
      <c r="M29" s="13"/>
      <c r="N29" s="13"/>
      <c r="O29" s="13"/>
      <c r="P29" s="13"/>
      <c r="Q29" s="13"/>
      <c r="R29" s="13"/>
      <c r="S29" s="32">
        <f>SUM(EM[[#This Row],[26M04]:[26M06]])</f>
        <v>3</v>
      </c>
      <c r="T29" s="69">
        <f>SUM(EM[[#This Row],[26M07]:[26M09]])</f>
        <v>0</v>
      </c>
      <c r="U29" s="69">
        <f>SUM(EM[[#This Row],[26M10]:[26M12]])</f>
        <v>0</v>
      </c>
      <c r="V29" s="256"/>
      <c r="W29" s="256"/>
      <c r="X29" s="256"/>
      <c r="Y29" s="256"/>
      <c r="Z29" s="256"/>
      <c r="AA29" s="256"/>
      <c r="AB29" s="256">
        <f>SUM(EM[[#This Row],[27M01]:[27M03]])</f>
        <v>0</v>
      </c>
      <c r="AC29" s="256">
        <f>SUM(EM[[#This Row],[27M04]:[27M06]])</f>
        <v>0</v>
      </c>
      <c r="AD29" s="256" t="str">
        <f>IF(SUM(EM[[#This Row],[26Q2]:[26Q4]])+SUM(EM[[#This Row],[27Q1]:[27Q2]])=0,"No FSCT",IF(AND(SUM(EM[[#This Row],[26Q2]:[26Q4]])&gt;0,SUM(EM[[#This Row],[27Q1]:[27Q2]])=0),"YES","NO"))</f>
        <v>YES</v>
      </c>
      <c r="AE29" s="120" t="str">
        <f>VLOOKUP(EM[[#This Row],[Product Line]],Prod_T6[],4,0)</f>
        <v>PV</v>
      </c>
      <c r="AH29" s="2" t="str">
        <v>0  - Lost</v>
      </c>
    </row>
    <row r="30" spans="1:34" ht="14.25" hidden="1" customHeight="1">
      <c r="A30" s="93" t="s">
        <v>690</v>
      </c>
      <c r="B30" s="87" t="s">
        <v>691</v>
      </c>
      <c r="C30" s="31"/>
      <c r="D30" s="2" t="str">
        <f>VLOOKUP(EM[[#This Row],[Product Line]],Prod_T6[],5,0)</f>
        <v>TCL</v>
      </c>
      <c r="E30" s="86" t="s">
        <v>54</v>
      </c>
      <c r="F30" s="86" t="s">
        <v>692</v>
      </c>
      <c r="G30" s="86" t="s">
        <v>634</v>
      </c>
      <c r="H30" s="87" t="s">
        <v>693</v>
      </c>
      <c r="I30" s="43" t="s">
        <v>132</v>
      </c>
      <c r="J30" s="13"/>
      <c r="K30" s="13"/>
      <c r="L30" s="13"/>
      <c r="M30" s="13">
        <v>75</v>
      </c>
      <c r="N30" s="13"/>
      <c r="O30" s="13"/>
      <c r="P30" s="13"/>
      <c r="Q30" s="13"/>
      <c r="R30" s="13"/>
      <c r="S30" s="32">
        <f>SUM(EM[[#This Row],[26M04]:[26M06]])</f>
        <v>0</v>
      </c>
      <c r="T30" s="69">
        <f>SUM(EM[[#This Row],[26M07]:[26M09]])</f>
        <v>75</v>
      </c>
      <c r="U30" s="69">
        <f>SUM(EM[[#This Row],[26M10]:[26M12]])</f>
        <v>0</v>
      </c>
      <c r="V30" s="256"/>
      <c r="W30" s="256"/>
      <c r="X30" s="256"/>
      <c r="Y30" s="256"/>
      <c r="Z30" s="256"/>
      <c r="AA30" s="256"/>
      <c r="AB30" s="256">
        <f>SUM(EM[[#This Row],[27M01]:[27M03]])</f>
        <v>0</v>
      </c>
      <c r="AC30" s="256">
        <f>SUM(EM[[#This Row],[27M04]:[27M06]])</f>
        <v>0</v>
      </c>
      <c r="AD30" s="256" t="str">
        <f>IF(SUM(EM[[#This Row],[26Q2]:[26Q4]])+SUM(EM[[#This Row],[27Q1]:[27Q2]])=0,"No FSCT",IF(AND(SUM(EM[[#This Row],[26Q2]:[26Q4]])&gt;0,SUM(EM[[#This Row],[27Q1]:[27Q2]])=0),"YES","NO"))</f>
        <v>YES</v>
      </c>
      <c r="AE30" s="85" t="str">
        <f>VLOOKUP(EM[[#This Row],[Product Line]],Prod_T6[],4,0)</f>
        <v>PV</v>
      </c>
      <c r="AH30" s="2" t="str">
        <v>0  - Lost</v>
      </c>
    </row>
    <row r="31" spans="1:34" ht="14.25" hidden="1" customHeight="1">
      <c r="A31" s="93" t="s">
        <v>88</v>
      </c>
      <c r="B31" s="87" t="s">
        <v>694</v>
      </c>
      <c r="C31" s="31"/>
      <c r="D31" s="2" t="str">
        <f>VLOOKUP(EM[[#This Row],[Product Line]],Prod_T6[],5,0)</f>
        <v>TCL</v>
      </c>
      <c r="E31" s="86" t="s">
        <v>54</v>
      </c>
      <c r="F31" s="86" t="s">
        <v>692</v>
      </c>
      <c r="G31" s="86" t="s">
        <v>634</v>
      </c>
      <c r="H31" s="87" t="s">
        <v>695</v>
      </c>
      <c r="I31" s="43" t="s">
        <v>132</v>
      </c>
      <c r="J31" s="13"/>
      <c r="K31" s="13"/>
      <c r="L31" s="13">
        <v>1</v>
      </c>
      <c r="M31" s="13"/>
      <c r="N31" s="13"/>
      <c r="O31" s="13"/>
      <c r="P31" s="13"/>
      <c r="Q31" s="13"/>
      <c r="R31" s="13"/>
      <c r="S31" s="32"/>
      <c r="T31" s="69">
        <f>SUM(EM[[#This Row],[26M07]:[26M09]])</f>
        <v>0</v>
      </c>
      <c r="U31" s="69">
        <f>SUM(EM[[#This Row],[26M10]:[26M12]])</f>
        <v>0</v>
      </c>
      <c r="V31" s="256"/>
      <c r="W31" s="256"/>
      <c r="X31" s="256"/>
      <c r="Y31" s="256"/>
      <c r="Z31" s="256"/>
      <c r="AA31" s="256"/>
      <c r="AB31" s="256">
        <f>SUM(EM[[#This Row],[27M01]:[27M03]])</f>
        <v>0</v>
      </c>
      <c r="AC31" s="256">
        <f>SUM(EM[[#This Row],[27M04]:[27M06]])</f>
        <v>0</v>
      </c>
      <c r="AD31" s="256" t="str">
        <f>IF(SUM(EM[[#This Row],[26Q2]:[26Q4]])+SUM(EM[[#This Row],[27Q1]:[27Q2]])=0,"No FSCT",IF(AND(SUM(EM[[#This Row],[26Q2]:[26Q4]])&gt;0,SUM(EM[[#This Row],[27Q1]:[27Q2]])=0),"YES","NO"))</f>
        <v>No FSCT</v>
      </c>
      <c r="AE31" s="85" t="str">
        <f>VLOOKUP(EM[[#This Row],[Product Line]],Prod_T6[],4,0)</f>
        <v>PV</v>
      </c>
      <c r="AH31" s="2" t="str">
        <v>0  - Lost</v>
      </c>
    </row>
    <row r="32" spans="1:34" ht="14.25" hidden="1" customHeight="1">
      <c r="A32" s="97" t="s">
        <v>89</v>
      </c>
      <c r="B32" s="87" t="s">
        <v>696</v>
      </c>
      <c r="C32" s="31"/>
      <c r="D32" s="2" t="str">
        <f>VLOOKUP(EM[[#This Row],[Product Line]],Prod_T6[],5,0)</f>
        <v>Sunpower</v>
      </c>
      <c r="E32" s="86" t="s">
        <v>118</v>
      </c>
      <c r="F32" s="86" t="s">
        <v>145</v>
      </c>
      <c r="G32" s="86" t="s">
        <v>634</v>
      </c>
      <c r="H32" s="95" t="s">
        <v>697</v>
      </c>
      <c r="I32" s="43" t="s">
        <v>117</v>
      </c>
      <c r="J32" s="13">
        <v>0.8</v>
      </c>
      <c r="K32" s="13"/>
      <c r="L32" s="13"/>
      <c r="M32" s="13"/>
      <c r="N32" s="13"/>
      <c r="O32" s="13"/>
      <c r="P32" s="13"/>
      <c r="Q32" s="13"/>
      <c r="R32" s="13"/>
      <c r="S32" s="32">
        <f>SUM(EM[[#This Row],[26M04]:[26M06]])</f>
        <v>0.8</v>
      </c>
      <c r="T32" s="69">
        <f>SUM(EM[[#This Row],[26M07]:[26M09]])</f>
        <v>0</v>
      </c>
      <c r="U32" s="69">
        <f>SUM(EM[[#This Row],[26M10]:[26M12]])</f>
        <v>0</v>
      </c>
      <c r="V32" s="256"/>
      <c r="W32" s="256"/>
      <c r="X32" s="256"/>
      <c r="Y32" s="256"/>
      <c r="Z32" s="256"/>
      <c r="AA32" s="256"/>
      <c r="AB32" s="256">
        <f>SUM(EM[[#This Row],[27M01]:[27M03]])</f>
        <v>0</v>
      </c>
      <c r="AC32" s="256">
        <f>SUM(EM[[#This Row],[27M04]:[27M06]])</f>
        <v>0</v>
      </c>
      <c r="AD32" s="256" t="str">
        <f>IF(SUM(EM[[#This Row],[26Q2]:[26Q4]])+SUM(EM[[#This Row],[27Q1]:[27Q2]])=0,"No FSCT",IF(AND(SUM(EM[[#This Row],[26Q2]:[26Q4]])&gt;0,SUM(EM[[#This Row],[27Q1]:[27Q2]])=0),"YES","NO"))</f>
        <v>YES</v>
      </c>
      <c r="AE32" s="85" t="str">
        <f>VLOOKUP(EM[[#This Row],[Product Line]],Prod_T6[],4,0)</f>
        <v>PV</v>
      </c>
      <c r="AH32" s="2" t="str">
        <v>0  - Lost</v>
      </c>
    </row>
    <row r="33" spans="1:34" ht="14.25" hidden="1" customHeight="1">
      <c r="A33" s="97" t="s">
        <v>89</v>
      </c>
      <c r="B33" s="98" t="s">
        <v>698</v>
      </c>
      <c r="C33" s="31"/>
      <c r="D33" s="2" t="str">
        <f>VLOOKUP(EM[[#This Row],[Product Line]],Prod_T6[],5,0)</f>
        <v>TCL</v>
      </c>
      <c r="E33" s="86" t="s">
        <v>54</v>
      </c>
      <c r="F33" s="86" t="s">
        <v>160</v>
      </c>
      <c r="G33" s="86" t="s">
        <v>634</v>
      </c>
      <c r="H33" s="87" t="s">
        <v>699</v>
      </c>
      <c r="I33" s="43" t="s">
        <v>132</v>
      </c>
      <c r="J33" s="13">
        <v>1</v>
      </c>
      <c r="K33" s="13"/>
      <c r="L33" s="13">
        <v>2</v>
      </c>
      <c r="M33" s="13"/>
      <c r="N33" s="13"/>
      <c r="O33" s="13"/>
      <c r="P33" s="13"/>
      <c r="Q33" s="13"/>
      <c r="R33" s="13"/>
      <c r="S33" s="32">
        <f>SUM(EM[[#This Row],[26M04]:[26M06]])</f>
        <v>3</v>
      </c>
      <c r="T33" s="69">
        <f>SUM(EM[[#This Row],[26M07]:[26M09]])</f>
        <v>0</v>
      </c>
      <c r="U33" s="69">
        <f>SUM(EM[[#This Row],[26M10]:[26M12]])</f>
        <v>0</v>
      </c>
      <c r="V33" s="256"/>
      <c r="W33" s="256"/>
      <c r="X33" s="256"/>
      <c r="Y33" s="256"/>
      <c r="Z33" s="256"/>
      <c r="AA33" s="256"/>
      <c r="AB33" s="256">
        <f>SUM(EM[[#This Row],[27M01]:[27M03]])</f>
        <v>0</v>
      </c>
      <c r="AC33" s="256">
        <f>SUM(EM[[#This Row],[27M04]:[27M06]])</f>
        <v>0</v>
      </c>
      <c r="AD33" s="256" t="str">
        <f>IF(SUM(EM[[#This Row],[26Q2]:[26Q4]])+SUM(EM[[#This Row],[27Q1]:[27Q2]])=0,"No FSCT",IF(AND(SUM(EM[[#This Row],[26Q2]:[26Q4]])&gt;0,SUM(EM[[#This Row],[27Q1]:[27Q2]])=0),"YES","NO"))</f>
        <v>YES</v>
      </c>
      <c r="AE33" s="85" t="str">
        <f>VLOOKUP(EM[[#This Row],[Product Line]],Prod_T6[],4,0)</f>
        <v>PV</v>
      </c>
      <c r="AH33" s="2" t="str">
        <v>0  - Lost</v>
      </c>
    </row>
    <row r="34" spans="1:34" ht="14.25" hidden="1" customHeight="1">
      <c r="A34" s="97" t="s">
        <v>89</v>
      </c>
      <c r="B34" s="98" t="s">
        <v>700</v>
      </c>
      <c r="C34" s="31"/>
      <c r="D34" s="2" t="str">
        <f>VLOOKUP(EM[[#This Row],[Product Line]],Prod_T6[],5,0)</f>
        <v>TCL</v>
      </c>
      <c r="E34" s="86" t="s">
        <v>54</v>
      </c>
      <c r="F34" s="86" t="s">
        <v>160</v>
      </c>
      <c r="G34" s="86" t="s">
        <v>634</v>
      </c>
      <c r="H34" s="95" t="s">
        <v>701</v>
      </c>
      <c r="I34" s="43" t="s">
        <v>132</v>
      </c>
      <c r="J34" s="13">
        <v>2</v>
      </c>
      <c r="K34" s="13">
        <v>2</v>
      </c>
      <c r="L34" s="13"/>
      <c r="M34" s="13"/>
      <c r="N34" s="13"/>
      <c r="O34" s="13"/>
      <c r="P34" s="13"/>
      <c r="Q34" s="13"/>
      <c r="R34" s="13"/>
      <c r="S34" s="32">
        <f>SUM(EM[[#This Row],[26M04]:[26M06]])</f>
        <v>4</v>
      </c>
      <c r="T34" s="69">
        <f>SUM(EM[[#This Row],[26M07]:[26M09]])</f>
        <v>0</v>
      </c>
      <c r="U34" s="69">
        <f>SUM(EM[[#This Row],[26M10]:[26M12]])</f>
        <v>0</v>
      </c>
      <c r="V34" s="256"/>
      <c r="W34" s="256"/>
      <c r="X34" s="256"/>
      <c r="Y34" s="256"/>
      <c r="Z34" s="256"/>
      <c r="AA34" s="256"/>
      <c r="AB34" s="256">
        <f>SUM(EM[[#This Row],[27M01]:[27M03]])</f>
        <v>0</v>
      </c>
      <c r="AC34" s="256">
        <f>SUM(EM[[#This Row],[27M04]:[27M06]])</f>
        <v>0</v>
      </c>
      <c r="AD34" s="256" t="str">
        <f>IF(SUM(EM[[#This Row],[26Q2]:[26Q4]])+SUM(EM[[#This Row],[27Q1]:[27Q2]])=0,"No FSCT",IF(AND(SUM(EM[[#This Row],[26Q2]:[26Q4]])&gt;0,SUM(EM[[#This Row],[27Q1]:[27Q2]])=0),"YES","NO"))</f>
        <v>YES</v>
      </c>
      <c r="AE34" s="85" t="str">
        <f>VLOOKUP(EM[[#This Row],[Product Line]],Prod_T6[],4,0)</f>
        <v>PV</v>
      </c>
      <c r="AH34" s="2" t="str">
        <v>0  - Lost</v>
      </c>
    </row>
    <row r="35" spans="1:34" ht="14.25" hidden="1" customHeight="1">
      <c r="A35" s="97" t="s">
        <v>89</v>
      </c>
      <c r="B35" s="98" t="s">
        <v>702</v>
      </c>
      <c r="C35" s="31"/>
      <c r="D35" s="2" t="str">
        <f>VLOOKUP(EM[[#This Row],[Product Line]],Prod_T6[],5,0)</f>
        <v>TCL</v>
      </c>
      <c r="E35" s="86" t="s">
        <v>54</v>
      </c>
      <c r="F35" s="86" t="s">
        <v>121</v>
      </c>
      <c r="G35" s="86" t="s">
        <v>634</v>
      </c>
      <c r="H35" s="95" t="s">
        <v>703</v>
      </c>
      <c r="I35" s="43" t="s">
        <v>132</v>
      </c>
      <c r="J35" s="13"/>
      <c r="K35" s="13"/>
      <c r="L35" s="13">
        <v>1</v>
      </c>
      <c r="M35" s="13"/>
      <c r="N35" s="13"/>
      <c r="O35" s="13"/>
      <c r="P35" s="13"/>
      <c r="Q35" s="13"/>
      <c r="R35" s="13"/>
      <c r="S35" s="32"/>
      <c r="T35" s="69">
        <f>SUM(EM[[#This Row],[26M07]:[26M09]])</f>
        <v>0</v>
      </c>
      <c r="U35" s="69">
        <f>SUM(EM[[#This Row],[26M10]:[26M12]])</f>
        <v>0</v>
      </c>
      <c r="V35" s="256"/>
      <c r="W35" s="256"/>
      <c r="X35" s="256"/>
      <c r="Y35" s="256"/>
      <c r="Z35" s="256"/>
      <c r="AA35" s="256"/>
      <c r="AB35" s="256">
        <f>SUM(EM[[#This Row],[27M01]:[27M03]])</f>
        <v>0</v>
      </c>
      <c r="AC35" s="256">
        <f>SUM(EM[[#This Row],[27M04]:[27M06]])</f>
        <v>0</v>
      </c>
      <c r="AD35" s="256" t="str">
        <f>IF(SUM(EM[[#This Row],[26Q2]:[26Q4]])+SUM(EM[[#This Row],[27Q1]:[27Q2]])=0,"No FSCT",IF(AND(SUM(EM[[#This Row],[26Q2]:[26Q4]])&gt;0,SUM(EM[[#This Row],[27Q1]:[27Q2]])=0),"YES","NO"))</f>
        <v>No FSCT</v>
      </c>
      <c r="AE35" s="85" t="str">
        <f>VLOOKUP(EM[[#This Row],[Product Line]],Prod_T6[],4,0)</f>
        <v>PV</v>
      </c>
      <c r="AH35" s="2" t="str">
        <v>0  - Lost</v>
      </c>
    </row>
    <row r="36" spans="1:34" ht="14.25" hidden="1" customHeight="1">
      <c r="A36" s="97" t="s">
        <v>89</v>
      </c>
      <c r="B36" s="98" t="s">
        <v>704</v>
      </c>
      <c r="C36" s="31"/>
      <c r="D36" s="2" t="str">
        <f>VLOOKUP(EM[[#This Row],[Product Line]],Prod_T6[],5,0)</f>
        <v>TCL</v>
      </c>
      <c r="E36" s="86" t="s">
        <v>54</v>
      </c>
      <c r="F36" s="86" t="s">
        <v>121</v>
      </c>
      <c r="G36" s="86" t="s">
        <v>634</v>
      </c>
      <c r="H36" s="95" t="s">
        <v>705</v>
      </c>
      <c r="I36" s="43" t="s">
        <v>132</v>
      </c>
      <c r="J36" s="13"/>
      <c r="K36" s="13">
        <v>2</v>
      </c>
      <c r="L36" s="13"/>
      <c r="M36" s="13"/>
      <c r="N36" s="13"/>
      <c r="O36" s="13"/>
      <c r="P36" s="13"/>
      <c r="Q36" s="13"/>
      <c r="R36" s="13"/>
      <c r="S36" s="32">
        <f>SUM(EM[[#This Row],[26M04]:[26M06]])</f>
        <v>2</v>
      </c>
      <c r="T36" s="69">
        <f>SUM(EM[[#This Row],[26M07]:[26M09]])</f>
        <v>0</v>
      </c>
      <c r="U36" s="69">
        <f>SUM(EM[[#This Row],[26M10]:[26M12]])</f>
        <v>0</v>
      </c>
      <c r="V36" s="256"/>
      <c r="W36" s="256"/>
      <c r="X36" s="256"/>
      <c r="Y36" s="256"/>
      <c r="Z36" s="256"/>
      <c r="AA36" s="256"/>
      <c r="AB36" s="256">
        <f>SUM(EM[[#This Row],[27M01]:[27M03]])</f>
        <v>0</v>
      </c>
      <c r="AC36" s="256">
        <f>SUM(EM[[#This Row],[27M04]:[27M06]])</f>
        <v>0</v>
      </c>
      <c r="AD36" s="256" t="str">
        <f>IF(SUM(EM[[#This Row],[26Q2]:[26Q4]])+SUM(EM[[#This Row],[27Q1]:[27Q2]])=0,"No FSCT",IF(AND(SUM(EM[[#This Row],[26Q2]:[26Q4]])&gt;0,SUM(EM[[#This Row],[27Q1]:[27Q2]])=0),"YES","NO"))</f>
        <v>YES</v>
      </c>
      <c r="AE36" s="85" t="str">
        <f>VLOOKUP(EM[[#This Row],[Product Line]],Prod_T6[],4,0)</f>
        <v>PV</v>
      </c>
      <c r="AH36" s="2" t="str">
        <v>0  - Lost</v>
      </c>
    </row>
    <row r="37" spans="1:34" ht="14.25" hidden="1" customHeight="1">
      <c r="A37" s="97" t="s">
        <v>89</v>
      </c>
      <c r="B37" s="98" t="s">
        <v>706</v>
      </c>
      <c r="C37" s="31"/>
      <c r="D37" s="2" t="str">
        <f>VLOOKUP(EM[[#This Row],[Product Line]],Prod_T6[],5,0)</f>
        <v>TCL</v>
      </c>
      <c r="E37" s="86" t="s">
        <v>54</v>
      </c>
      <c r="F37" s="86" t="s">
        <v>159</v>
      </c>
      <c r="G37" s="86" t="s">
        <v>634</v>
      </c>
      <c r="H37" s="95" t="s">
        <v>707</v>
      </c>
      <c r="I37" s="43" t="s">
        <v>132</v>
      </c>
      <c r="J37" s="13"/>
      <c r="K37" s="13">
        <v>2</v>
      </c>
      <c r="L37" s="13"/>
      <c r="M37" s="13"/>
      <c r="N37" s="13"/>
      <c r="O37" s="13"/>
      <c r="P37" s="13"/>
      <c r="Q37" s="13"/>
      <c r="R37" s="13"/>
      <c r="S37" s="32">
        <f>SUM(EM[[#This Row],[26M04]:[26M06]])</f>
        <v>2</v>
      </c>
      <c r="T37" s="69">
        <f>SUM(EM[[#This Row],[26M07]:[26M09]])</f>
        <v>0</v>
      </c>
      <c r="U37" s="69">
        <f>SUM(EM[[#This Row],[26M10]:[26M12]])</f>
        <v>0</v>
      </c>
      <c r="V37" s="256"/>
      <c r="W37" s="256"/>
      <c r="X37" s="256"/>
      <c r="Y37" s="256"/>
      <c r="Z37" s="256"/>
      <c r="AA37" s="256"/>
      <c r="AB37" s="256">
        <f>SUM(EM[[#This Row],[27M01]:[27M03]])</f>
        <v>0</v>
      </c>
      <c r="AC37" s="256">
        <f>SUM(EM[[#This Row],[27M04]:[27M06]])</f>
        <v>0</v>
      </c>
      <c r="AD37" s="256" t="str">
        <f>IF(SUM(EM[[#This Row],[26Q2]:[26Q4]])+SUM(EM[[#This Row],[27Q1]:[27Q2]])=0,"No FSCT",IF(AND(SUM(EM[[#This Row],[26Q2]:[26Q4]])&gt;0,SUM(EM[[#This Row],[27Q1]:[27Q2]])=0),"YES","NO"))</f>
        <v>YES</v>
      </c>
      <c r="AE37" s="85" t="str">
        <f>VLOOKUP(EM[[#This Row],[Product Line]],Prod_T6[],4,0)</f>
        <v>PV</v>
      </c>
      <c r="AH37" s="2" t="str">
        <v>0  - Lost</v>
      </c>
    </row>
    <row r="38" spans="1:34" ht="14.25" hidden="1" customHeight="1">
      <c r="A38" s="97" t="s">
        <v>90</v>
      </c>
      <c r="B38" s="87" t="s">
        <v>471</v>
      </c>
      <c r="C38" s="31"/>
      <c r="D38" s="2" t="str">
        <f>VLOOKUP(EM[[#This Row],[Product Line]],Prod_T6[],5,0)</f>
        <v>TCL</v>
      </c>
      <c r="E38" s="86" t="s">
        <v>54</v>
      </c>
      <c r="F38" s="86" t="s">
        <v>126</v>
      </c>
      <c r="G38" s="86" t="s">
        <v>115</v>
      </c>
      <c r="H38" s="95" t="s">
        <v>472</v>
      </c>
      <c r="I38" s="43" t="s">
        <v>132</v>
      </c>
      <c r="J38" s="13"/>
      <c r="K38" s="13"/>
      <c r="L38" s="13"/>
      <c r="M38" s="13"/>
      <c r="N38" s="13"/>
      <c r="O38" s="13"/>
      <c r="P38" s="13"/>
      <c r="Q38" s="13">
        <v>2</v>
      </c>
      <c r="R38" s="13"/>
      <c r="S38" s="32">
        <f>SUM(EM[[#This Row],[26M04]:[26M06]])</f>
        <v>0</v>
      </c>
      <c r="T38" s="69">
        <f>SUM(EM[[#This Row],[26M07]:[26M09]])</f>
        <v>0</v>
      </c>
      <c r="U38" s="69">
        <f>SUM(EM[[#This Row],[26M10]:[26M12]])</f>
        <v>2</v>
      </c>
      <c r="V38" s="256"/>
      <c r="W38" s="256"/>
      <c r="X38" s="256"/>
      <c r="Y38" s="256"/>
      <c r="Z38" s="256"/>
      <c r="AA38" s="256"/>
      <c r="AB38" s="256">
        <f>SUM(EM[[#This Row],[27M01]:[27M03]])</f>
        <v>0</v>
      </c>
      <c r="AC38" s="256">
        <f>SUM(EM[[#This Row],[27M04]:[27M06]])</f>
        <v>0</v>
      </c>
      <c r="AD38" s="256" t="str">
        <f>IF(SUM(EM[[#This Row],[26Q2]:[26Q4]])+SUM(EM[[#This Row],[27Q1]:[27Q2]])=0,"No FSCT",IF(AND(SUM(EM[[#This Row],[26Q2]:[26Q4]])&gt;0,SUM(EM[[#This Row],[27Q1]:[27Q2]])=0),"YES","NO"))</f>
        <v>YES</v>
      </c>
      <c r="AE38" s="85" t="str">
        <f>VLOOKUP(EM[[#This Row],[Product Line]],Prod_T6[],4,0)</f>
        <v>PV</v>
      </c>
      <c r="AH38" s="2" t="str">
        <v>2 - Initial offer</v>
      </c>
    </row>
    <row r="39" spans="1:34" ht="14.25" hidden="1" customHeight="1">
      <c r="A39" s="97" t="s">
        <v>174</v>
      </c>
      <c r="B39" s="87" t="s">
        <v>175</v>
      </c>
      <c r="C39" s="31"/>
      <c r="D39" s="2" t="str">
        <f>VLOOKUP(EM[[#This Row],[Product Line]],Prod_T6[],5,0)</f>
        <v>TCL</v>
      </c>
      <c r="E39" s="86" t="s">
        <v>54</v>
      </c>
      <c r="F39" s="86" t="s">
        <v>170</v>
      </c>
      <c r="G39" s="86" t="s">
        <v>115</v>
      </c>
      <c r="H39" s="95" t="s">
        <v>176</v>
      </c>
      <c r="I39" s="43" t="s">
        <v>132</v>
      </c>
      <c r="J39" s="13"/>
      <c r="K39" s="13"/>
      <c r="L39" s="13"/>
      <c r="M39" s="13"/>
      <c r="N39" s="13">
        <v>5</v>
      </c>
      <c r="O39" s="13"/>
      <c r="P39" s="13"/>
      <c r="Q39" s="13"/>
      <c r="R39" s="13"/>
      <c r="S39" s="32">
        <v>0.15</v>
      </c>
      <c r="T39" s="69">
        <f>SUM(EM[[#This Row],[26M07]:[26M09]])</f>
        <v>5</v>
      </c>
      <c r="U39" s="69">
        <f>SUM(EM[[#This Row],[26M10]:[26M12]])</f>
        <v>0</v>
      </c>
      <c r="V39" s="256"/>
      <c r="W39" s="256"/>
      <c r="X39" s="256"/>
      <c r="Y39" s="256"/>
      <c r="Z39" s="256"/>
      <c r="AA39" s="256"/>
      <c r="AB39" s="256">
        <f>SUM(EM[[#This Row],[27M01]:[27M03]])</f>
        <v>0</v>
      </c>
      <c r="AC39" s="256">
        <f>SUM(EM[[#This Row],[27M04]:[27M06]])</f>
        <v>0</v>
      </c>
      <c r="AD39" s="256" t="str">
        <f>IF(SUM(EM[[#This Row],[26Q2]:[26Q4]])+SUM(EM[[#This Row],[27Q1]:[27Q2]])=0,"No FSCT",IF(AND(SUM(EM[[#This Row],[26Q2]:[26Q4]])&gt;0,SUM(EM[[#This Row],[27Q1]:[27Q2]])=0),"YES","NO"))</f>
        <v>YES</v>
      </c>
      <c r="AE39" s="85" t="str">
        <f>VLOOKUP(EM[[#This Row],[Product Line]],Prod_T6[],4,0)</f>
        <v>PV</v>
      </c>
      <c r="AH39" s="2" t="str">
        <v>2 - Initial offer</v>
      </c>
    </row>
    <row r="40" spans="1:34" ht="14.25" hidden="1" customHeight="1">
      <c r="A40" s="97" t="s">
        <v>253</v>
      </c>
      <c r="B40" s="87" t="s">
        <v>254</v>
      </c>
      <c r="C40" s="31"/>
      <c r="D40" s="2" t="str">
        <f>VLOOKUP(EM[[#This Row],[Product Line]],Prod_T6[],5,0)</f>
        <v>Sunpower</v>
      </c>
      <c r="E40" s="86" t="s">
        <v>118</v>
      </c>
      <c r="F40" s="86" t="s">
        <v>255</v>
      </c>
      <c r="G40" s="86" t="s">
        <v>115</v>
      </c>
      <c r="H40" s="95" t="s">
        <v>256</v>
      </c>
      <c r="I40" s="43" t="s">
        <v>117</v>
      </c>
      <c r="J40" s="13"/>
      <c r="K40" s="13"/>
      <c r="L40" s="13" t="s">
        <v>257</v>
      </c>
      <c r="M40" s="13"/>
      <c r="N40" s="13">
        <v>0.6</v>
      </c>
      <c r="O40" s="13"/>
      <c r="P40" s="13"/>
      <c r="Q40" s="13"/>
      <c r="R40" s="13"/>
      <c r="S40" s="32">
        <f>SUM(EM[[#This Row],[26M04]:[26M06]])</f>
        <v>0</v>
      </c>
      <c r="T40" s="69">
        <f>SUM(EM[[#This Row],[26M07]:[26M09]])</f>
        <v>0.6</v>
      </c>
      <c r="U40" s="69">
        <f>SUM(EM[[#This Row],[26M10]:[26M12]])</f>
        <v>0</v>
      </c>
      <c r="V40" s="256"/>
      <c r="W40" s="256"/>
      <c r="X40" s="256"/>
      <c r="Y40" s="256"/>
      <c r="Z40" s="256"/>
      <c r="AA40" s="256"/>
      <c r="AB40" s="256">
        <f>SUM(EM[[#This Row],[27M01]:[27M03]])</f>
        <v>0</v>
      </c>
      <c r="AC40" s="256">
        <f>SUM(EM[[#This Row],[27M04]:[27M06]])</f>
        <v>0</v>
      </c>
      <c r="AD40" s="256" t="str">
        <f>IF(SUM(EM[[#This Row],[26Q2]:[26Q4]])+SUM(EM[[#This Row],[27Q1]:[27Q2]])=0,"No FSCT",IF(AND(SUM(EM[[#This Row],[26Q2]:[26Q4]])&gt;0,SUM(EM[[#This Row],[27Q1]:[27Q2]])=0),"YES","NO"))</f>
        <v>YES</v>
      </c>
      <c r="AE40" s="85" t="str">
        <f>VLOOKUP(EM[[#This Row],[Product Line]],Prod_T6[],4,0)</f>
        <v>PV</v>
      </c>
      <c r="AH40" s="2" t="str">
        <v>2 - Initial offer</v>
      </c>
    </row>
    <row r="41" spans="1:34" ht="14.25" hidden="1" customHeight="1">
      <c r="A41" s="97" t="s">
        <v>85</v>
      </c>
      <c r="B41" s="87" t="s">
        <v>708</v>
      </c>
      <c r="C41" s="31"/>
      <c r="D41" s="2" t="str">
        <f>VLOOKUP(EM[[#This Row],[Product Line]],Prod_T6[],5,0)</f>
        <v>TCL</v>
      </c>
      <c r="E41" s="86" t="s">
        <v>54</v>
      </c>
      <c r="F41" s="86" t="s">
        <v>126</v>
      </c>
      <c r="G41" s="86" t="s">
        <v>634</v>
      </c>
      <c r="H41" s="99" t="s">
        <v>709</v>
      </c>
      <c r="I41" s="43" t="s">
        <v>132</v>
      </c>
      <c r="J41" s="13"/>
      <c r="K41" s="13"/>
      <c r="L41" s="13"/>
      <c r="M41" s="13"/>
      <c r="N41" s="13"/>
      <c r="O41" s="13">
        <v>15</v>
      </c>
      <c r="P41" s="13"/>
      <c r="Q41" s="13"/>
      <c r="R41" s="13"/>
      <c r="S41" s="32"/>
      <c r="T41" s="69">
        <f>SUM(EM[[#This Row],[26M07]:[26M09]])</f>
        <v>15</v>
      </c>
      <c r="U41" s="69">
        <f>SUM(EM[[#This Row],[26M10]:[26M12]])</f>
        <v>0</v>
      </c>
      <c r="V41" s="256"/>
      <c r="W41" s="256"/>
      <c r="X41" s="256"/>
      <c r="Y41" s="256"/>
      <c r="Z41" s="256"/>
      <c r="AA41" s="256"/>
      <c r="AB41" s="256">
        <f>SUM(EM[[#This Row],[27M01]:[27M03]])</f>
        <v>0</v>
      </c>
      <c r="AC41" s="256">
        <f>SUM(EM[[#This Row],[27M04]:[27M06]])</f>
        <v>0</v>
      </c>
      <c r="AD41" s="256" t="str">
        <f>IF(SUM(EM[[#This Row],[26Q2]:[26Q4]])+SUM(EM[[#This Row],[27Q1]:[27Q2]])=0,"No FSCT",IF(AND(SUM(EM[[#This Row],[26Q2]:[26Q4]])&gt;0,SUM(EM[[#This Row],[27Q1]:[27Q2]])=0),"YES","NO"))</f>
        <v>YES</v>
      </c>
      <c r="AE41" s="85" t="str">
        <f>VLOOKUP(EM[[#This Row],[Product Line]],Prod_T6[],4,0)</f>
        <v>PV</v>
      </c>
      <c r="AH41" s="2" t="str">
        <v>0  - Lost</v>
      </c>
    </row>
    <row r="42" spans="1:34" ht="14.25" hidden="1" customHeight="1">
      <c r="A42" s="97" t="s">
        <v>85</v>
      </c>
      <c r="B42" s="87" t="s">
        <v>386</v>
      </c>
      <c r="C42" s="31"/>
      <c r="D42" s="2" t="str">
        <f>VLOOKUP(EM[[#This Row],[Product Line]],Prod_T6[],5,0)</f>
        <v>TCL</v>
      </c>
      <c r="E42" s="86" t="s">
        <v>54</v>
      </c>
      <c r="F42" s="86" t="s">
        <v>129</v>
      </c>
      <c r="G42" s="86" t="s">
        <v>634</v>
      </c>
      <c r="H42" s="98" t="s">
        <v>710</v>
      </c>
      <c r="I42" s="43" t="s">
        <v>132</v>
      </c>
      <c r="J42" s="13"/>
      <c r="K42" s="13">
        <v>2.95</v>
      </c>
      <c r="L42" s="13">
        <v>2.95</v>
      </c>
      <c r="M42" s="13">
        <v>2.1</v>
      </c>
      <c r="N42" s="13"/>
      <c r="O42" s="13"/>
      <c r="P42" s="13"/>
      <c r="Q42" s="13"/>
      <c r="R42" s="13"/>
      <c r="S42" s="32">
        <f>SUM(EM[[#This Row],[26M04]:[26M06]])</f>
        <v>5.9</v>
      </c>
      <c r="T42" s="69">
        <f>SUM(EM[[#This Row],[26M07]:[26M09]])</f>
        <v>2.1</v>
      </c>
      <c r="U42" s="69">
        <f>SUM(EM[[#This Row],[26M10]:[26M12]])</f>
        <v>0</v>
      </c>
      <c r="V42" s="256"/>
      <c r="W42" s="256"/>
      <c r="X42" s="256"/>
      <c r="Y42" s="256"/>
      <c r="Z42" s="256"/>
      <c r="AA42" s="256"/>
      <c r="AB42" s="256">
        <f>SUM(EM[[#This Row],[27M01]:[27M03]])</f>
        <v>0</v>
      </c>
      <c r="AC42" s="256">
        <f>SUM(EM[[#This Row],[27M04]:[27M06]])</f>
        <v>0</v>
      </c>
      <c r="AD42" s="256" t="str">
        <f>IF(SUM(EM[[#This Row],[26Q2]:[26Q4]])+SUM(EM[[#This Row],[27Q1]:[27Q2]])=0,"No FSCT",IF(AND(SUM(EM[[#This Row],[26Q2]:[26Q4]])&gt;0,SUM(EM[[#This Row],[27Q1]:[27Q2]])=0),"YES","NO"))</f>
        <v>YES</v>
      </c>
      <c r="AE42" s="85" t="str">
        <f>VLOOKUP(EM[[#This Row],[Product Line]],Prod_T6[],4,0)</f>
        <v>PV</v>
      </c>
      <c r="AH42" s="2" t="str">
        <v>0  - Lost</v>
      </c>
    </row>
    <row r="43" spans="1:34" ht="14.25" hidden="1" customHeight="1">
      <c r="A43" s="97" t="s">
        <v>85</v>
      </c>
      <c r="B43" s="87" t="s">
        <v>386</v>
      </c>
      <c r="C43" s="31"/>
      <c r="D43" s="2" t="str">
        <f>VLOOKUP(EM[[#This Row],[Product Line]],Prod_T6[],5,0)</f>
        <v>TCL</v>
      </c>
      <c r="E43" s="86" t="s">
        <v>54</v>
      </c>
      <c r="F43" s="86" t="s">
        <v>121</v>
      </c>
      <c r="G43" s="86" t="s">
        <v>634</v>
      </c>
      <c r="H43" s="98" t="s">
        <v>711</v>
      </c>
      <c r="I43" s="43" t="s">
        <v>132</v>
      </c>
      <c r="J43" s="13"/>
      <c r="K43" s="13">
        <v>1.3</v>
      </c>
      <c r="L43" s="13">
        <v>1.3</v>
      </c>
      <c r="M43" s="13">
        <v>1.3</v>
      </c>
      <c r="N43" s="13"/>
      <c r="O43" s="13"/>
      <c r="P43" s="13"/>
      <c r="Q43" s="13"/>
      <c r="R43" s="13"/>
      <c r="S43" s="32">
        <f>SUM(EM[[#This Row],[26M04]:[26M06]])</f>
        <v>2.6</v>
      </c>
      <c r="T43" s="69">
        <f>SUM(EM[[#This Row],[26M07]:[26M09]])</f>
        <v>1.3</v>
      </c>
      <c r="U43" s="69">
        <f>SUM(EM[[#This Row],[26M10]:[26M12]])</f>
        <v>0</v>
      </c>
      <c r="V43" s="256"/>
      <c r="W43" s="256"/>
      <c r="X43" s="256"/>
      <c r="Y43" s="256"/>
      <c r="Z43" s="256"/>
      <c r="AA43" s="256"/>
      <c r="AB43" s="256">
        <f>SUM(EM[[#This Row],[27M01]:[27M03]])</f>
        <v>0</v>
      </c>
      <c r="AC43" s="256">
        <f>SUM(EM[[#This Row],[27M04]:[27M06]])</f>
        <v>0</v>
      </c>
      <c r="AD43" s="256" t="str">
        <f>IF(SUM(EM[[#This Row],[26Q2]:[26Q4]])+SUM(EM[[#This Row],[27Q1]:[27Q2]])=0,"No FSCT",IF(AND(SUM(EM[[#This Row],[26Q2]:[26Q4]])&gt;0,SUM(EM[[#This Row],[27Q1]:[27Q2]])=0),"YES","NO"))</f>
        <v>YES</v>
      </c>
      <c r="AE43" s="85" t="str">
        <f>VLOOKUP(EM[[#This Row],[Product Line]],Prod_T6[],4,0)</f>
        <v>PV</v>
      </c>
      <c r="AH43" s="2" t="str">
        <v>0  - Lost</v>
      </c>
    </row>
    <row r="44" spans="1:34" ht="14.25" hidden="1" customHeight="1">
      <c r="A44" s="97" t="s">
        <v>81</v>
      </c>
      <c r="B44" s="87" t="s">
        <v>168</v>
      </c>
      <c r="C44" s="31"/>
      <c r="D44" s="2" t="str">
        <f>VLOOKUP(EM[[#This Row],[Product Line]],Prod_T6[],5,0)</f>
        <v>TCL</v>
      </c>
      <c r="E44" s="86" t="s">
        <v>54</v>
      </c>
      <c r="F44" s="86" t="s">
        <v>129</v>
      </c>
      <c r="G44" s="86" t="s">
        <v>634</v>
      </c>
      <c r="H44" s="98" t="s">
        <v>712</v>
      </c>
      <c r="I44" s="43" t="s">
        <v>132</v>
      </c>
      <c r="J44" s="13"/>
      <c r="K44" s="13">
        <v>0.4</v>
      </c>
      <c r="L44" s="13"/>
      <c r="M44" s="13"/>
      <c r="N44" s="13"/>
      <c r="O44" s="13"/>
      <c r="P44" s="13"/>
      <c r="Q44" s="13"/>
      <c r="R44" s="13"/>
      <c r="S44" s="32">
        <f>SUM(EM[[#This Row],[26M04]:[26M06]])</f>
        <v>0.4</v>
      </c>
      <c r="T44" s="69">
        <f>SUM(EM[[#This Row],[26M07]:[26M09]])</f>
        <v>0</v>
      </c>
      <c r="U44" s="69">
        <f>SUM(EM[[#This Row],[26M10]:[26M12]])</f>
        <v>0</v>
      </c>
      <c r="V44" s="256"/>
      <c r="W44" s="256"/>
      <c r="X44" s="256"/>
      <c r="Y44" s="256"/>
      <c r="Z44" s="256"/>
      <c r="AA44" s="256"/>
      <c r="AB44" s="256">
        <f>SUM(EM[[#This Row],[27M01]:[27M03]])</f>
        <v>0</v>
      </c>
      <c r="AC44" s="256">
        <f>SUM(EM[[#This Row],[27M04]:[27M06]])</f>
        <v>0</v>
      </c>
      <c r="AD44" s="256" t="str">
        <f>IF(SUM(EM[[#This Row],[26Q2]:[26Q4]])+SUM(EM[[#This Row],[27Q1]:[27Q2]])=0,"No FSCT",IF(AND(SUM(EM[[#This Row],[26Q2]:[26Q4]])&gt;0,SUM(EM[[#This Row],[27Q1]:[27Q2]])=0),"YES","NO"))</f>
        <v>YES</v>
      </c>
      <c r="AE44" s="120" t="str">
        <f>VLOOKUP(EM[[#This Row],[Product Line]],Prod_T6[],4,0)</f>
        <v>PV</v>
      </c>
      <c r="AH44" s="2" t="str">
        <v>0  - Lost</v>
      </c>
    </row>
    <row r="45" spans="1:34" ht="14.25" customHeight="1">
      <c r="A45" s="97" t="s">
        <v>85</v>
      </c>
      <c r="B45" s="87" t="s">
        <v>379</v>
      </c>
      <c r="C45" s="31"/>
      <c r="D45" s="2" t="str">
        <f>VLOOKUP(EM[[#This Row],[Product Line]],Prod_T6[],5,0)</f>
        <v>TCL</v>
      </c>
      <c r="E45" s="86" t="s">
        <v>54</v>
      </c>
      <c r="F45" s="86" t="s">
        <v>339</v>
      </c>
      <c r="G45" s="86" t="s">
        <v>130</v>
      </c>
      <c r="H45" s="87" t="s">
        <v>385</v>
      </c>
      <c r="I45" s="43" t="s">
        <v>132</v>
      </c>
      <c r="J45" s="13">
        <v>0.8</v>
      </c>
      <c r="K45" s="13"/>
      <c r="L45" s="13"/>
      <c r="M45" s="13"/>
      <c r="N45" s="13"/>
      <c r="O45" s="13"/>
      <c r="P45" s="13"/>
      <c r="Q45" s="13"/>
      <c r="R45" s="13"/>
      <c r="S45" s="32">
        <f>SUM(EM[[#This Row],[26M04]:[26M06]])</f>
        <v>0.8</v>
      </c>
      <c r="T45" s="69">
        <f>SUM(EM[[#This Row],[26M07]:[26M09]])</f>
        <v>0</v>
      </c>
      <c r="U45" s="69">
        <f>SUM(EM[[#This Row],[26M10]:[26M12]])</f>
        <v>0</v>
      </c>
      <c r="V45" s="256"/>
      <c r="W45" s="256"/>
      <c r="X45" s="256"/>
      <c r="Y45" s="256"/>
      <c r="Z45" s="256"/>
      <c r="AA45" s="256"/>
      <c r="AB45" s="256">
        <f>SUM(EM[[#This Row],[27M01]:[27M03]])</f>
        <v>0</v>
      </c>
      <c r="AC45" s="256">
        <f>SUM(EM[[#This Row],[27M04]:[27M06]])</f>
        <v>0</v>
      </c>
      <c r="AD45" s="256" t="str">
        <f>IF(SUM(EM[[#This Row],[26Q2]:[26Q4]])+SUM(EM[[#This Row],[27Q1]:[27Q2]])=0,"No FSCT",IF(AND(SUM(EM[[#This Row],[26Q2]:[26Q4]])&gt;0,SUM(EM[[#This Row],[27Q1]:[27Q2]])=0),"YES","NO"))</f>
        <v>YES</v>
      </c>
      <c r="AE45" s="120" t="str">
        <f>VLOOKUP(EM[[#This Row],[Product Line]],Prod_T6[],4,0)</f>
        <v>PV</v>
      </c>
      <c r="AH45" s="2" t="str">
        <v>7 - Booked</v>
      </c>
    </row>
    <row r="46" spans="1:34" ht="14.25" customHeight="1">
      <c r="A46" s="97" t="s">
        <v>85</v>
      </c>
      <c r="B46" s="87" t="s">
        <v>379</v>
      </c>
      <c r="C46" s="31"/>
      <c r="D46" s="2" t="str">
        <f>VLOOKUP(EM[[#This Row],[Product Line]],Prod_T6[],5,0)</f>
        <v>TCL</v>
      </c>
      <c r="E46" s="86" t="s">
        <v>54</v>
      </c>
      <c r="F46" s="86" t="s">
        <v>121</v>
      </c>
      <c r="G46" s="86" t="s">
        <v>130</v>
      </c>
      <c r="H46" s="87" t="s">
        <v>384</v>
      </c>
      <c r="I46" s="43" t="s">
        <v>132</v>
      </c>
      <c r="J46" s="13"/>
      <c r="K46" s="13"/>
      <c r="L46" s="13">
        <v>1.2</v>
      </c>
      <c r="M46" s="13"/>
      <c r="N46" s="13"/>
      <c r="O46" s="13"/>
      <c r="P46" s="13"/>
      <c r="Q46" s="13"/>
      <c r="R46" s="13"/>
      <c r="S46" s="32">
        <f>SUM(EM[[#This Row],[26M04]:[26M06]])</f>
        <v>1.2</v>
      </c>
      <c r="T46" s="69">
        <f>SUM(EM[[#This Row],[26M07]:[26M09]])</f>
        <v>0</v>
      </c>
      <c r="U46" s="69">
        <f>SUM(EM[[#This Row],[26M10]:[26M12]])</f>
        <v>0</v>
      </c>
      <c r="V46" s="256"/>
      <c r="W46" s="256"/>
      <c r="X46" s="256"/>
      <c r="Y46" s="256"/>
      <c r="Z46" s="256"/>
      <c r="AA46" s="256"/>
      <c r="AB46" s="256">
        <f>SUM(EM[[#This Row],[27M01]:[27M03]])</f>
        <v>0</v>
      </c>
      <c r="AC46" s="256">
        <f>SUM(EM[[#This Row],[27M04]:[27M06]])</f>
        <v>0</v>
      </c>
      <c r="AD46" s="256" t="str">
        <f>IF(SUM(EM[[#This Row],[26Q2]:[26Q4]])+SUM(EM[[#This Row],[27Q1]:[27Q2]])=0,"No FSCT",IF(AND(SUM(EM[[#This Row],[26Q2]:[26Q4]])&gt;0,SUM(EM[[#This Row],[27Q1]:[27Q2]])=0),"YES","NO"))</f>
        <v>YES</v>
      </c>
      <c r="AE46" s="85" t="str">
        <f>VLOOKUP(EM[[#This Row],[Product Line]],Prod_T6[],4,0)</f>
        <v>PV</v>
      </c>
      <c r="AH46" s="2" t="str">
        <v>7 - Booked</v>
      </c>
    </row>
    <row r="47" spans="1:34" ht="14.25" customHeight="1">
      <c r="A47" s="97" t="s">
        <v>81</v>
      </c>
      <c r="B47" s="87" t="s">
        <v>168</v>
      </c>
      <c r="C47" s="31"/>
      <c r="D47" s="2" t="str">
        <f>VLOOKUP(EM[[#This Row],[Product Line]],Prod_T6[],5,0)</f>
        <v>TCL</v>
      </c>
      <c r="E47" s="86" t="s">
        <v>54</v>
      </c>
      <c r="F47" s="86" t="s">
        <v>126</v>
      </c>
      <c r="G47" s="86" t="s">
        <v>130</v>
      </c>
      <c r="H47" s="87" t="s">
        <v>169</v>
      </c>
      <c r="I47" s="43" t="s">
        <v>132</v>
      </c>
      <c r="J47" s="13"/>
      <c r="K47" s="13">
        <v>1.2</v>
      </c>
      <c r="L47" s="13"/>
      <c r="M47" s="13"/>
      <c r="N47" s="13"/>
      <c r="O47" s="13"/>
      <c r="P47" s="13"/>
      <c r="Q47" s="13"/>
      <c r="R47" s="13"/>
      <c r="S47" s="32">
        <f>SUM(EM[[#This Row],[26M04]:[26M06]])</f>
        <v>1.2</v>
      </c>
      <c r="T47" s="69">
        <f>SUM(EM[[#This Row],[26M07]:[26M09]])</f>
        <v>0</v>
      </c>
      <c r="U47" s="69">
        <f>SUM(EM[[#This Row],[26M10]:[26M12]])</f>
        <v>0</v>
      </c>
      <c r="V47" s="256"/>
      <c r="W47" s="256"/>
      <c r="X47" s="256"/>
      <c r="Y47" s="256"/>
      <c r="Z47" s="256"/>
      <c r="AA47" s="256"/>
      <c r="AB47" s="256">
        <f>SUM(EM[[#This Row],[27M01]:[27M03]])</f>
        <v>0</v>
      </c>
      <c r="AC47" s="256">
        <f>SUM(EM[[#This Row],[27M04]:[27M06]])</f>
        <v>0</v>
      </c>
      <c r="AD47" s="256" t="str">
        <f>IF(SUM(EM[[#This Row],[26Q2]:[26Q4]])+SUM(EM[[#This Row],[27Q1]:[27Q2]])=0,"No FSCT",IF(AND(SUM(EM[[#This Row],[26Q2]:[26Q4]])&gt;0,SUM(EM[[#This Row],[27Q1]:[27Q2]])=0),"YES","NO"))</f>
        <v>YES</v>
      </c>
      <c r="AE47" s="85" t="str">
        <f>VLOOKUP(EM[[#This Row],[Product Line]],Prod_T6[],4,0)</f>
        <v>PV</v>
      </c>
      <c r="AH47" s="2" t="str">
        <v>7 - Booked</v>
      </c>
    </row>
    <row r="48" spans="1:34" ht="14.25" hidden="1" customHeight="1">
      <c r="A48" s="97" t="s">
        <v>585</v>
      </c>
      <c r="B48" s="87" t="s">
        <v>586</v>
      </c>
      <c r="C48" s="31"/>
      <c r="D48" s="2" t="str">
        <f>VLOOKUP(EM[[#This Row],[Product Line]],Prod_T6[],5,0)</f>
        <v>Sunpower</v>
      </c>
      <c r="E48" s="86" t="s">
        <v>118</v>
      </c>
      <c r="F48" s="86" t="s">
        <v>119</v>
      </c>
      <c r="G48" s="86" t="s">
        <v>213</v>
      </c>
      <c r="H48" s="87" t="s">
        <v>587</v>
      </c>
      <c r="I48" s="43" t="s">
        <v>117</v>
      </c>
      <c r="J48" s="13"/>
      <c r="K48" s="13" t="s">
        <v>257</v>
      </c>
      <c r="L48" s="13">
        <v>0.8</v>
      </c>
      <c r="M48" s="13"/>
      <c r="N48" s="13"/>
      <c r="O48" s="13"/>
      <c r="P48" s="13"/>
      <c r="Q48" s="13"/>
      <c r="R48" s="13"/>
      <c r="S48" s="32">
        <f>SUM(EM[[#This Row],[26M04]:[26M06]])</f>
        <v>0.8</v>
      </c>
      <c r="T48" s="69">
        <f>SUM(EM[[#This Row],[26M07]:[26M09]])</f>
        <v>0</v>
      </c>
      <c r="U48" s="69">
        <f>SUM(EM[[#This Row],[26M10]:[26M12]])</f>
        <v>0</v>
      </c>
      <c r="V48" s="256"/>
      <c r="W48" s="256"/>
      <c r="X48" s="256"/>
      <c r="Y48" s="256"/>
      <c r="Z48" s="256"/>
      <c r="AA48" s="256"/>
      <c r="AB48" s="256">
        <f>SUM(EM[[#This Row],[27M01]:[27M03]])</f>
        <v>0</v>
      </c>
      <c r="AC48" s="256">
        <f>SUM(EM[[#This Row],[27M04]:[27M06]])</f>
        <v>0</v>
      </c>
      <c r="AD48" s="256" t="str">
        <f>IF(SUM(EM[[#This Row],[26Q2]:[26Q4]])+SUM(EM[[#This Row],[27Q1]:[27Q2]])=0,"No FSCT",IF(AND(SUM(EM[[#This Row],[26Q2]:[26Q4]])&gt;0,SUM(EM[[#This Row],[27Q1]:[27Q2]])=0),"YES","NO"))</f>
        <v>YES</v>
      </c>
      <c r="AE48" s="85" t="str">
        <f>VLOOKUP(EM[[#This Row],[Product Line]],Prod_T6[],4,0)</f>
        <v>PV</v>
      </c>
      <c r="AH48" s="2" t="str">
        <v>1 - Lead qualification</v>
      </c>
    </row>
    <row r="49" spans="1:34" ht="14.25" hidden="1" customHeight="1">
      <c r="A49" s="97" t="s">
        <v>585</v>
      </c>
      <c r="B49" s="87" t="s">
        <v>586</v>
      </c>
      <c r="C49" s="31"/>
      <c r="D49" s="2" t="str">
        <f>VLOOKUP(EM[[#This Row],[Product Line]],Prod_T6[],5,0)</f>
        <v>Sunpower</v>
      </c>
      <c r="E49" s="86" t="s">
        <v>118</v>
      </c>
      <c r="F49" s="86" t="s">
        <v>255</v>
      </c>
      <c r="G49" s="86" t="s">
        <v>213</v>
      </c>
      <c r="H49" s="87" t="s">
        <v>588</v>
      </c>
      <c r="I49" s="43" t="s">
        <v>117</v>
      </c>
      <c r="J49" s="13"/>
      <c r="K49" s="13" t="s">
        <v>257</v>
      </c>
      <c r="L49" s="13">
        <v>0.8</v>
      </c>
      <c r="M49" s="13"/>
      <c r="N49" s="13"/>
      <c r="O49" s="13"/>
      <c r="P49" s="13"/>
      <c r="Q49" s="13"/>
      <c r="R49" s="13"/>
      <c r="S49" s="32">
        <f>SUM(EM[[#This Row],[26M04]:[26M06]])</f>
        <v>0.8</v>
      </c>
      <c r="T49" s="69">
        <f>SUM(EM[[#This Row],[26M07]:[26M09]])</f>
        <v>0</v>
      </c>
      <c r="U49" s="69">
        <f>SUM(EM[[#This Row],[26M10]:[26M12]])</f>
        <v>0</v>
      </c>
      <c r="V49" s="256"/>
      <c r="W49" s="256"/>
      <c r="X49" s="256"/>
      <c r="Y49" s="256"/>
      <c r="Z49" s="256"/>
      <c r="AA49" s="256"/>
      <c r="AB49" s="256">
        <f>SUM(EM[[#This Row],[27M01]:[27M03]])</f>
        <v>0</v>
      </c>
      <c r="AC49" s="256">
        <f>SUM(EM[[#This Row],[27M04]:[27M06]])</f>
        <v>0</v>
      </c>
      <c r="AD49" s="256" t="str">
        <f>IF(SUM(EM[[#This Row],[26Q2]:[26Q4]])+SUM(EM[[#This Row],[27Q1]:[27Q2]])=0,"No FSCT",IF(AND(SUM(EM[[#This Row],[26Q2]:[26Q4]])&gt;0,SUM(EM[[#This Row],[27Q1]:[27Q2]])=0),"YES","NO"))</f>
        <v>YES</v>
      </c>
      <c r="AE49" s="85" t="str">
        <f>VLOOKUP(EM[[#This Row],[Product Line]],Prod_T6[],4,0)</f>
        <v>PV</v>
      </c>
      <c r="AH49" s="2" t="str">
        <v>1 - Lead qualification</v>
      </c>
    </row>
    <row r="50" spans="1:34" ht="14.25" customHeight="1">
      <c r="A50" s="97" t="s">
        <v>85</v>
      </c>
      <c r="B50" s="87" t="s">
        <v>386</v>
      </c>
      <c r="C50" s="31"/>
      <c r="D50" s="2" t="str">
        <f>VLOOKUP(EM[[#This Row],[Product Line]],Prod_T6[],5,0)</f>
        <v>TCL</v>
      </c>
      <c r="E50" s="86" t="s">
        <v>54</v>
      </c>
      <c r="F50" s="86" t="s">
        <v>339</v>
      </c>
      <c r="G50" s="86" t="s">
        <v>130</v>
      </c>
      <c r="H50" s="87" t="s">
        <v>387</v>
      </c>
      <c r="I50" s="43" t="s">
        <v>132</v>
      </c>
      <c r="J50" s="13">
        <v>2</v>
      </c>
      <c r="K50" s="13"/>
      <c r="L50" s="13"/>
      <c r="M50" s="13"/>
      <c r="N50" s="13"/>
      <c r="O50" s="13"/>
      <c r="P50" s="13"/>
      <c r="Q50" s="13"/>
      <c r="R50" s="13"/>
      <c r="S50" s="32">
        <f>SUM(EM[[#This Row],[26M04]:[26M06]])</f>
        <v>2</v>
      </c>
      <c r="T50" s="69">
        <f>SUM(EM[[#This Row],[26M07]:[26M09]])</f>
        <v>0</v>
      </c>
      <c r="U50" s="69">
        <f>SUM(EM[[#This Row],[26M10]:[26M12]])</f>
        <v>0</v>
      </c>
      <c r="V50" s="256"/>
      <c r="W50" s="256"/>
      <c r="X50" s="256"/>
      <c r="Y50" s="256"/>
      <c r="Z50" s="256"/>
      <c r="AA50" s="256"/>
      <c r="AB50" s="256">
        <f>SUM(EM[[#This Row],[27M01]:[27M03]])</f>
        <v>0</v>
      </c>
      <c r="AC50" s="256">
        <f>SUM(EM[[#This Row],[27M04]:[27M06]])</f>
        <v>0</v>
      </c>
      <c r="AD50" s="256" t="str">
        <f>IF(SUM(EM[[#This Row],[26Q2]:[26Q4]])+SUM(EM[[#This Row],[27Q1]:[27Q2]])=0,"No FSCT",IF(AND(SUM(EM[[#This Row],[26Q2]:[26Q4]])&gt;0,SUM(EM[[#This Row],[27Q1]:[27Q2]])=0),"YES","NO"))</f>
        <v>YES</v>
      </c>
      <c r="AE50" s="120" t="str">
        <f>VLOOKUP(EM[[#This Row],[Product Line]],Prod_T6[],4,0)</f>
        <v>PV</v>
      </c>
      <c r="AH50" s="2" t="str">
        <v>7 - Booked</v>
      </c>
    </row>
    <row r="51" spans="1:34" ht="14.25" hidden="1" customHeight="1">
      <c r="A51" s="97" t="s">
        <v>174</v>
      </c>
      <c r="B51" s="87" t="s">
        <v>177</v>
      </c>
      <c r="C51" s="31"/>
      <c r="D51" s="2" t="str">
        <f>VLOOKUP(EM[[#This Row],[Product Line]],Prod_T6[],5,0)</f>
        <v>TCL</v>
      </c>
      <c r="E51" s="86" t="s">
        <v>54</v>
      </c>
      <c r="F51" s="86" t="s">
        <v>126</v>
      </c>
      <c r="G51" s="86" t="s">
        <v>115</v>
      </c>
      <c r="H51" s="87" t="s">
        <v>178</v>
      </c>
      <c r="I51" s="43" t="s">
        <v>132</v>
      </c>
      <c r="J51" s="13"/>
      <c r="K51" s="13"/>
      <c r="L51" s="13"/>
      <c r="M51" s="13"/>
      <c r="N51" s="13"/>
      <c r="O51" s="13">
        <v>43.3</v>
      </c>
      <c r="P51" s="13">
        <v>43.3</v>
      </c>
      <c r="Q51" s="13">
        <v>43.3</v>
      </c>
      <c r="R51" s="13"/>
      <c r="S51" s="32">
        <f>SUM(EM[[#This Row],[26M04]:[26M06]])</f>
        <v>0</v>
      </c>
      <c r="T51" s="69">
        <f>SUM(EM[[#This Row],[26M07]:[26M09]])</f>
        <v>43.3</v>
      </c>
      <c r="U51" s="69">
        <f>SUM(EM[[#This Row],[26M10]:[26M12]])</f>
        <v>86.6</v>
      </c>
      <c r="V51" s="256"/>
      <c r="W51" s="256"/>
      <c r="X51" s="256"/>
      <c r="Y51" s="256"/>
      <c r="Z51" s="256"/>
      <c r="AA51" s="256"/>
      <c r="AB51" s="256">
        <f>SUM(EM[[#This Row],[27M01]:[27M03]])</f>
        <v>0</v>
      </c>
      <c r="AC51" s="256">
        <f>SUM(EM[[#This Row],[27M04]:[27M06]])</f>
        <v>0</v>
      </c>
      <c r="AD51" s="256" t="str">
        <f>IF(SUM(EM[[#This Row],[26Q2]:[26Q4]])+SUM(EM[[#This Row],[27Q1]:[27Q2]])=0,"No FSCT",IF(AND(SUM(EM[[#This Row],[26Q2]:[26Q4]])&gt;0,SUM(EM[[#This Row],[27Q1]:[27Q2]])=0),"YES","NO"))</f>
        <v>YES</v>
      </c>
      <c r="AE51" s="85" t="str">
        <f>VLOOKUP(EM[[#This Row],[Product Line]],Prod_T6[],4,0)</f>
        <v>PV</v>
      </c>
      <c r="AH51" s="2" t="str">
        <v>2 - Initial offer</v>
      </c>
    </row>
    <row r="52" spans="1:34" ht="14.25" customHeight="1">
      <c r="A52" s="97" t="s">
        <v>84</v>
      </c>
      <c r="B52" s="87" t="s">
        <v>363</v>
      </c>
      <c r="C52" s="31"/>
      <c r="D52" s="2" t="str">
        <f>VLOOKUP(EM[[#This Row],[Product Line]],Prod_T6[],5,0)</f>
        <v>TCL</v>
      </c>
      <c r="E52" s="86" t="s">
        <v>54</v>
      </c>
      <c r="F52" s="86" t="s">
        <v>339</v>
      </c>
      <c r="G52" s="86" t="s">
        <v>130</v>
      </c>
      <c r="H52" s="87" t="s">
        <v>364</v>
      </c>
      <c r="I52" s="43" t="s">
        <v>117</v>
      </c>
      <c r="J52" s="13"/>
      <c r="K52" s="13">
        <v>0.4</v>
      </c>
      <c r="L52" s="13"/>
      <c r="M52" s="13"/>
      <c r="N52" s="13"/>
      <c r="O52" s="13"/>
      <c r="P52" s="13"/>
      <c r="Q52" s="13"/>
      <c r="R52" s="13"/>
      <c r="S52" s="32">
        <f>SUM(EM[[#This Row],[26M04]:[26M06]])</f>
        <v>0.4</v>
      </c>
      <c r="T52" s="69">
        <f>SUM(EM[[#This Row],[26M07]:[26M09]])</f>
        <v>0</v>
      </c>
      <c r="U52" s="69">
        <f>SUM(EM[[#This Row],[26M10]:[26M12]])</f>
        <v>0</v>
      </c>
      <c r="V52" s="256"/>
      <c r="W52" s="256"/>
      <c r="X52" s="256"/>
      <c r="Y52" s="256"/>
      <c r="Z52" s="256"/>
      <c r="AA52" s="256"/>
      <c r="AB52" s="256">
        <f>SUM(EM[[#This Row],[27M01]:[27M03]])</f>
        <v>0</v>
      </c>
      <c r="AC52" s="256">
        <f>SUM(EM[[#This Row],[27M04]:[27M06]])</f>
        <v>0</v>
      </c>
      <c r="AD52" s="256" t="str">
        <f>IF(SUM(EM[[#This Row],[26Q2]:[26Q4]])+SUM(EM[[#This Row],[27Q1]:[27Q2]])=0,"No FSCT",IF(AND(SUM(EM[[#This Row],[26Q2]:[26Q4]])&gt;0,SUM(EM[[#This Row],[27Q1]:[27Q2]])=0),"YES","NO"))</f>
        <v>YES</v>
      </c>
      <c r="AE52" s="85" t="str">
        <f>VLOOKUP(EM[[#This Row],[Product Line]],Prod_T6[],4,0)</f>
        <v>PV</v>
      </c>
      <c r="AH52" s="2" t="str">
        <v>7 - Booked</v>
      </c>
    </row>
    <row r="53" spans="1:34" ht="14.25" customHeight="1">
      <c r="A53" s="97" t="s">
        <v>89</v>
      </c>
      <c r="B53" s="87" t="s">
        <v>467</v>
      </c>
      <c r="C53" s="31"/>
      <c r="D53" s="2" t="str">
        <f>VLOOKUP(EM[[#This Row],[Product Line]],Prod_T6[],5,0)</f>
        <v>Sunpower</v>
      </c>
      <c r="E53" s="86" t="s">
        <v>118</v>
      </c>
      <c r="F53" s="86" t="s">
        <v>145</v>
      </c>
      <c r="G53" s="86" t="s">
        <v>156</v>
      </c>
      <c r="H53" s="87" t="s">
        <v>468</v>
      </c>
      <c r="I53" s="43" t="s">
        <v>117</v>
      </c>
      <c r="J53" s="13"/>
      <c r="K53" s="13">
        <v>3.5</v>
      </c>
      <c r="L53" s="13"/>
      <c r="M53" s="13"/>
      <c r="N53" s="13"/>
      <c r="O53" s="13"/>
      <c r="P53" s="13"/>
      <c r="Q53" s="13"/>
      <c r="R53" s="13"/>
      <c r="S53" s="32">
        <f>SUM(EM[[#This Row],[26M04]:[26M06]])</f>
        <v>3.5</v>
      </c>
      <c r="T53" s="69">
        <f>SUM(EM[[#This Row],[26M07]:[26M09]])</f>
        <v>0</v>
      </c>
      <c r="U53" s="69">
        <f>SUM(EM[[#This Row],[26M10]:[26M12]])</f>
        <v>0</v>
      </c>
      <c r="V53" s="256"/>
      <c r="W53" s="256"/>
      <c r="X53" s="256"/>
      <c r="Y53" s="256"/>
      <c r="Z53" s="256"/>
      <c r="AA53" s="256"/>
      <c r="AB53" s="256">
        <f>SUM(EM[[#This Row],[27M01]:[27M03]])</f>
        <v>0</v>
      </c>
      <c r="AC53" s="256">
        <f>SUM(EM[[#This Row],[27M04]:[27M06]])</f>
        <v>0</v>
      </c>
      <c r="AD53" s="256" t="str">
        <f>IF(SUM(EM[[#This Row],[26Q2]:[26Q4]])+SUM(EM[[#This Row],[27Q1]:[27Q2]])=0,"No FSCT",IF(AND(SUM(EM[[#This Row],[26Q2]:[26Q4]])&gt;0,SUM(EM[[#This Row],[27Q1]:[27Q2]])=0),"YES","NO"))</f>
        <v>YES</v>
      </c>
      <c r="AE53" s="85" t="str">
        <f>VLOOKUP(EM[[#This Row],[Product Line]],Prod_T6[],4,0)</f>
        <v>PV</v>
      </c>
      <c r="AH53" s="2" t="str">
        <v>6 - Won</v>
      </c>
    </row>
    <row r="54" spans="1:34" ht="14.25" customHeight="1">
      <c r="A54" s="97" t="s">
        <v>85</v>
      </c>
      <c r="B54" s="87" t="s">
        <v>379</v>
      </c>
      <c r="C54" s="31"/>
      <c r="D54" s="2" t="str">
        <f>VLOOKUP(EM[[#This Row],[Product Line]],Prod_T6[],5,0)</f>
        <v>TCL</v>
      </c>
      <c r="E54" s="86" t="s">
        <v>54</v>
      </c>
      <c r="F54" s="86" t="s">
        <v>339</v>
      </c>
      <c r="G54" s="86" t="s">
        <v>130</v>
      </c>
      <c r="H54" s="87" t="s">
        <v>382</v>
      </c>
      <c r="I54" s="43" t="s">
        <v>117</v>
      </c>
      <c r="J54" s="13"/>
      <c r="K54" s="13">
        <v>0.4</v>
      </c>
      <c r="L54" s="13"/>
      <c r="M54" s="13"/>
      <c r="N54" s="13"/>
      <c r="O54" s="13"/>
      <c r="P54" s="13"/>
      <c r="Q54" s="13"/>
      <c r="R54" s="13"/>
      <c r="S54" s="32">
        <f>SUM(EM[[#This Row],[26M04]:[26M06]])</f>
        <v>0.4</v>
      </c>
      <c r="T54" s="69">
        <f>SUM(EM[[#This Row],[26M07]:[26M09]])</f>
        <v>0</v>
      </c>
      <c r="U54" s="69">
        <f>SUM(EM[[#This Row],[26M10]:[26M12]])</f>
        <v>0</v>
      </c>
      <c r="V54" s="256"/>
      <c r="W54" s="256"/>
      <c r="X54" s="256"/>
      <c r="Y54" s="256"/>
      <c r="Z54" s="256"/>
      <c r="AA54" s="256"/>
      <c r="AB54" s="256">
        <f>SUM(EM[[#This Row],[27M01]:[27M03]])</f>
        <v>0</v>
      </c>
      <c r="AC54" s="256">
        <f>SUM(EM[[#This Row],[27M04]:[27M06]])</f>
        <v>0</v>
      </c>
      <c r="AD54" s="256" t="str">
        <f>IF(SUM(EM[[#This Row],[26Q2]:[26Q4]])+SUM(EM[[#This Row],[27Q1]:[27Q2]])=0,"No FSCT",IF(AND(SUM(EM[[#This Row],[26Q2]:[26Q4]])&gt;0,SUM(EM[[#This Row],[27Q1]:[27Q2]])=0),"YES","NO"))</f>
        <v>YES</v>
      </c>
      <c r="AE54" s="85" t="str">
        <f>VLOOKUP(EM[[#This Row],[Product Line]],Prod_T6[],4,0)</f>
        <v>PV</v>
      </c>
      <c r="AH54" s="2" t="str">
        <v>7 - Booked</v>
      </c>
    </row>
    <row r="55" spans="1:34" ht="14.25" customHeight="1">
      <c r="A55" s="97" t="s">
        <v>85</v>
      </c>
      <c r="B55" s="87" t="s">
        <v>379</v>
      </c>
      <c r="C55" s="31"/>
      <c r="D55" s="2" t="str">
        <f>VLOOKUP(EM[[#This Row],[Product Line]],Prod_T6[],5,0)</f>
        <v>TCL</v>
      </c>
      <c r="E55" s="86" t="s">
        <v>54</v>
      </c>
      <c r="F55" s="86" t="s">
        <v>129</v>
      </c>
      <c r="G55" s="86" t="s">
        <v>130</v>
      </c>
      <c r="H55" s="87" t="s">
        <v>380</v>
      </c>
      <c r="I55" s="43" t="s">
        <v>117</v>
      </c>
      <c r="J55" s="13"/>
      <c r="K55" s="13">
        <v>0.4</v>
      </c>
      <c r="L55" s="13"/>
      <c r="M55" s="13"/>
      <c r="N55" s="13"/>
      <c r="O55" s="13"/>
      <c r="P55" s="13"/>
      <c r="Q55" s="13"/>
      <c r="R55" s="13"/>
      <c r="S55" s="32">
        <f>SUM(EM[[#This Row],[26M04]:[26M06]])</f>
        <v>0.4</v>
      </c>
      <c r="T55" s="69">
        <f>SUM(EM[[#This Row],[26M07]:[26M09]])</f>
        <v>0</v>
      </c>
      <c r="U55" s="69">
        <f>SUM(EM[[#This Row],[26M10]:[26M12]])</f>
        <v>0</v>
      </c>
      <c r="V55" s="256"/>
      <c r="W55" s="256"/>
      <c r="X55" s="256"/>
      <c r="Y55" s="256"/>
      <c r="Z55" s="256"/>
      <c r="AA55" s="256"/>
      <c r="AB55" s="256">
        <f>SUM(EM[[#This Row],[27M01]:[27M03]])</f>
        <v>0</v>
      </c>
      <c r="AC55" s="256">
        <f>SUM(EM[[#This Row],[27M04]:[27M06]])</f>
        <v>0</v>
      </c>
      <c r="AD55" s="256" t="str">
        <f>IF(SUM(EM[[#This Row],[26Q2]:[26Q4]])+SUM(EM[[#This Row],[27Q1]:[27Q2]])=0,"No FSCT",IF(AND(SUM(EM[[#This Row],[26Q2]:[26Q4]])&gt;0,SUM(EM[[#This Row],[27Q1]:[27Q2]])=0),"YES","NO"))</f>
        <v>YES</v>
      </c>
      <c r="AE55" s="85" t="str">
        <f>VLOOKUP(EM[[#This Row],[Product Line]],Prod_T6[],4,0)</f>
        <v>PV</v>
      </c>
      <c r="AH55" s="2" t="str">
        <v>7 - Booked</v>
      </c>
    </row>
    <row r="56" spans="1:34" ht="14.25" customHeight="1">
      <c r="A56" s="97" t="s">
        <v>85</v>
      </c>
      <c r="B56" s="87" t="s">
        <v>377</v>
      </c>
      <c r="C56" s="31"/>
      <c r="D56" s="2" t="str">
        <f>VLOOKUP(EM[[#This Row],[Product Line]],Prod_T6[],5,0)</f>
        <v>TCL</v>
      </c>
      <c r="E56" s="86" t="s">
        <v>54</v>
      </c>
      <c r="F56" s="86" t="s">
        <v>160</v>
      </c>
      <c r="G56" s="86" t="s">
        <v>130</v>
      </c>
      <c r="H56" s="87" t="s">
        <v>381</v>
      </c>
      <c r="I56" s="43" t="s">
        <v>117</v>
      </c>
      <c r="J56" s="13"/>
      <c r="K56" s="13">
        <v>1.7</v>
      </c>
      <c r="L56" s="13"/>
      <c r="M56" s="13"/>
      <c r="N56" s="13"/>
      <c r="O56" s="13"/>
      <c r="P56" s="13"/>
      <c r="Q56" s="13"/>
      <c r="R56" s="13"/>
      <c r="S56" s="32">
        <f>SUM(EM[[#This Row],[26M04]:[26M06]])</f>
        <v>1.7</v>
      </c>
      <c r="T56" s="69">
        <f>SUM(EM[[#This Row],[26M07]:[26M09]])</f>
        <v>0</v>
      </c>
      <c r="U56" s="69">
        <f>SUM(EM[[#This Row],[26M10]:[26M12]])</f>
        <v>0</v>
      </c>
      <c r="V56" s="256"/>
      <c r="W56" s="256"/>
      <c r="X56" s="256"/>
      <c r="Y56" s="256"/>
      <c r="Z56" s="256"/>
      <c r="AA56" s="256"/>
      <c r="AB56" s="256">
        <f>SUM(EM[[#This Row],[27M01]:[27M03]])</f>
        <v>0</v>
      </c>
      <c r="AC56" s="256">
        <f>SUM(EM[[#This Row],[27M04]:[27M06]])</f>
        <v>0</v>
      </c>
      <c r="AD56" s="256" t="str">
        <f>IF(SUM(EM[[#This Row],[26Q2]:[26Q4]])+SUM(EM[[#This Row],[27Q1]:[27Q2]])=0,"No FSCT",IF(AND(SUM(EM[[#This Row],[26Q2]:[26Q4]])&gt;0,SUM(EM[[#This Row],[27Q1]:[27Q2]])=0),"YES","NO"))</f>
        <v>YES</v>
      </c>
      <c r="AE56" s="85" t="str">
        <f>VLOOKUP(EM[[#This Row],[Product Line]],Prod_T6[],4,0)</f>
        <v>PV</v>
      </c>
      <c r="AH56" s="2" t="str">
        <v>7 - Booked</v>
      </c>
    </row>
    <row r="57" spans="1:34" ht="14.25" customHeight="1">
      <c r="A57" s="97" t="s">
        <v>83</v>
      </c>
      <c r="B57" s="87" t="s">
        <v>359</v>
      </c>
      <c r="C57" s="31"/>
      <c r="D57" s="2" t="str">
        <f>VLOOKUP(EM[[#This Row],[Product Line]],Prod_T6[],5,0)</f>
        <v>TCL</v>
      </c>
      <c r="E57" s="86" t="s">
        <v>54</v>
      </c>
      <c r="F57" s="86" t="s">
        <v>166</v>
      </c>
      <c r="G57" s="86" t="s">
        <v>136</v>
      </c>
      <c r="H57" s="87" t="s">
        <v>360</v>
      </c>
      <c r="I57" s="43" t="s">
        <v>132</v>
      </c>
      <c r="J57" s="13"/>
      <c r="K57" s="13"/>
      <c r="L57" s="13"/>
      <c r="M57" s="13"/>
      <c r="N57" s="13">
        <v>8</v>
      </c>
      <c r="O57" s="13"/>
      <c r="P57" s="13"/>
      <c r="Q57" s="13"/>
      <c r="R57" s="13"/>
      <c r="S57" s="32">
        <f>SUM(EM[[#This Row],[26M04]:[26M06]])</f>
        <v>0</v>
      </c>
      <c r="T57" s="69">
        <f>SUM(EM[[#This Row],[26M07]:[26M09]])</f>
        <v>8</v>
      </c>
      <c r="U57" s="69">
        <f>SUM(EM[[#This Row],[26M10]:[26M12]])</f>
        <v>0</v>
      </c>
      <c r="V57" s="256"/>
      <c r="W57" s="256"/>
      <c r="X57" s="256"/>
      <c r="Y57" s="256"/>
      <c r="Z57" s="256"/>
      <c r="AA57" s="256"/>
      <c r="AB57" s="256">
        <f>SUM(EM[[#This Row],[27M01]:[27M03]])</f>
        <v>0</v>
      </c>
      <c r="AC57" s="256">
        <f>SUM(EM[[#This Row],[27M04]:[27M06]])</f>
        <v>0</v>
      </c>
      <c r="AD57" s="256" t="str">
        <f>IF(SUM(EM[[#This Row],[26Q2]:[26Q4]])+SUM(EM[[#This Row],[27Q1]:[27Q2]])=0,"No FSCT",IF(AND(SUM(EM[[#This Row],[26Q2]:[26Q4]])&gt;0,SUM(EM[[#This Row],[27Q1]:[27Q2]])=0),"YES","NO"))</f>
        <v>YES</v>
      </c>
      <c r="AE57" s="85" t="str">
        <f>VLOOKUP(EM[[#This Row],[Product Line]],Prod_T6[],4,0)</f>
        <v>PV</v>
      </c>
      <c r="AH57" s="2" t="str">
        <v>3 - Negotiation</v>
      </c>
    </row>
    <row r="58" spans="1:34" ht="14.25" customHeight="1">
      <c r="A58" s="97" t="s">
        <v>90</v>
      </c>
      <c r="B58" s="87" t="s">
        <v>473</v>
      </c>
      <c r="C58" s="31"/>
      <c r="D58" s="2" t="str">
        <f>VLOOKUP(EM[[#This Row],[Product Line]],Prod_T6[],5,0)</f>
        <v>TCL</v>
      </c>
      <c r="E58" s="86" t="s">
        <v>54</v>
      </c>
      <c r="F58" s="86" t="s">
        <v>297</v>
      </c>
      <c r="G58" s="86" t="s">
        <v>136</v>
      </c>
      <c r="H58" s="87" t="s">
        <v>474</v>
      </c>
      <c r="I58" s="43" t="s">
        <v>132</v>
      </c>
      <c r="J58" s="13"/>
      <c r="K58" s="13"/>
      <c r="L58" s="13"/>
      <c r="M58" s="13"/>
      <c r="N58" s="13"/>
      <c r="O58" s="13"/>
      <c r="P58" s="13"/>
      <c r="Q58" s="13">
        <v>8</v>
      </c>
      <c r="R58" s="13"/>
      <c r="S58" s="32">
        <f>SUM(EM[[#This Row],[26M04]:[26M06]])</f>
        <v>0</v>
      </c>
      <c r="T58" s="69">
        <f>SUM(EM[[#This Row],[26M07]:[26M09]])</f>
        <v>0</v>
      </c>
      <c r="U58" s="69">
        <f>SUM(EM[[#This Row],[26M10]:[26M12]])</f>
        <v>8</v>
      </c>
      <c r="V58" s="256"/>
      <c r="W58" s="256"/>
      <c r="X58" s="256"/>
      <c r="Y58" s="256"/>
      <c r="Z58" s="256"/>
      <c r="AA58" s="256"/>
      <c r="AB58" s="256">
        <f>SUM(EM[[#This Row],[27M01]:[27M03]])</f>
        <v>0</v>
      </c>
      <c r="AC58" s="256">
        <f>SUM(EM[[#This Row],[27M04]:[27M06]])</f>
        <v>0</v>
      </c>
      <c r="AD58" s="256" t="str">
        <f>IF(SUM(EM[[#This Row],[26Q2]:[26Q4]])+SUM(EM[[#This Row],[27Q1]:[27Q2]])=0,"No FSCT",IF(AND(SUM(EM[[#This Row],[26Q2]:[26Q4]])&gt;0,SUM(EM[[#This Row],[27Q1]:[27Q2]])=0),"YES","NO"))</f>
        <v>YES</v>
      </c>
      <c r="AE58" s="85" t="str">
        <f>VLOOKUP(EM[[#This Row],[Product Line]],Prod_T6[],4,0)</f>
        <v>PV</v>
      </c>
      <c r="AH58" s="3" t="str">
        <v>3 - Negotiation</v>
      </c>
    </row>
    <row r="59" spans="1:34" ht="14.25" customHeight="1">
      <c r="A59" s="97" t="s">
        <v>82</v>
      </c>
      <c r="B59" s="87" t="s">
        <v>172</v>
      </c>
      <c r="C59" s="31"/>
      <c r="D59" s="2" t="str">
        <f>VLOOKUP(EM[[#This Row],[Product Line]],Prod_T6[],5,0)</f>
        <v>TCL</v>
      </c>
      <c r="E59" s="86" t="s">
        <v>54</v>
      </c>
      <c r="F59" s="86" t="s">
        <v>159</v>
      </c>
      <c r="G59" s="86" t="s">
        <v>136</v>
      </c>
      <c r="H59" s="87" t="s">
        <v>173</v>
      </c>
      <c r="I59" s="43" t="s">
        <v>132</v>
      </c>
      <c r="J59" s="13"/>
      <c r="K59" s="13"/>
      <c r="L59" s="13"/>
      <c r="M59" s="13"/>
      <c r="N59" s="13"/>
      <c r="O59" s="13">
        <v>1</v>
      </c>
      <c r="P59" s="13"/>
      <c r="Q59" s="13"/>
      <c r="R59" s="13"/>
      <c r="S59" s="32">
        <f>SUM(EM[[#This Row],[26M04]:[26M06]])</f>
        <v>0</v>
      </c>
      <c r="T59" s="69">
        <f>SUM(EM[[#This Row],[26M07]:[26M09]])</f>
        <v>1</v>
      </c>
      <c r="U59" s="69">
        <f>SUM(EM[[#This Row],[26M10]:[26M12]])</f>
        <v>0</v>
      </c>
      <c r="V59" s="256"/>
      <c r="W59" s="256"/>
      <c r="X59" s="256"/>
      <c r="Y59" s="256"/>
      <c r="Z59" s="256"/>
      <c r="AA59" s="256"/>
      <c r="AB59" s="256">
        <f>SUM(EM[[#This Row],[27M01]:[27M03]])</f>
        <v>0</v>
      </c>
      <c r="AC59" s="256">
        <f>SUM(EM[[#This Row],[27M04]:[27M06]])</f>
        <v>0</v>
      </c>
      <c r="AD59" s="256" t="str">
        <f>IF(SUM(EM[[#This Row],[26Q2]:[26Q4]])+SUM(EM[[#This Row],[27Q1]:[27Q2]])=0,"No FSCT",IF(AND(SUM(EM[[#This Row],[26Q2]:[26Q4]])&gt;0,SUM(EM[[#This Row],[27Q1]:[27Q2]])=0),"YES","NO"))</f>
        <v>YES</v>
      </c>
      <c r="AE59" s="120" t="str">
        <f>VLOOKUP(EM[[#This Row],[Product Line]],Prod_T6[],4,0)</f>
        <v>PV</v>
      </c>
      <c r="AF59" s="3"/>
      <c r="AG59" s="3"/>
      <c r="AH59" s="3" t="str">
        <v>3 - Negotiation</v>
      </c>
    </row>
    <row r="60" spans="1:34" ht="14.25" hidden="1" customHeight="1">
      <c r="A60" s="97" t="s">
        <v>164</v>
      </c>
      <c r="B60" s="87" t="s">
        <v>165</v>
      </c>
      <c r="C60" s="31"/>
      <c r="D60" s="2" t="str">
        <f>VLOOKUP(EM[[#This Row],[Product Line]],Prod_T6[],5,0)</f>
        <v>TCL</v>
      </c>
      <c r="E60" s="86" t="s">
        <v>54</v>
      </c>
      <c r="F60" s="86" t="s">
        <v>129</v>
      </c>
      <c r="G60" s="86" t="s">
        <v>115</v>
      </c>
      <c r="H60" s="87" t="s">
        <v>167</v>
      </c>
      <c r="I60" s="43" t="s">
        <v>132</v>
      </c>
      <c r="J60" s="13"/>
      <c r="K60" s="13"/>
      <c r="L60" s="13"/>
      <c r="M60" s="13">
        <v>0.8</v>
      </c>
      <c r="N60" s="13"/>
      <c r="O60" s="13"/>
      <c r="P60" s="13"/>
      <c r="Q60" s="13"/>
      <c r="R60" s="13"/>
      <c r="S60" s="32">
        <f>SUM(EM[[#This Row],[26M04]:[26M06]])</f>
        <v>0</v>
      </c>
      <c r="T60" s="69">
        <f>SUM(EM[[#This Row],[26M07]:[26M09]])</f>
        <v>0.8</v>
      </c>
      <c r="U60" s="69">
        <f>SUM(EM[[#This Row],[26M10]:[26M12]])</f>
        <v>0</v>
      </c>
      <c r="V60" s="256"/>
      <c r="W60" s="256"/>
      <c r="X60" s="256"/>
      <c r="Y60" s="256"/>
      <c r="Z60" s="256"/>
      <c r="AA60" s="256"/>
      <c r="AB60" s="256">
        <f>SUM(EM[[#This Row],[27M01]:[27M03]])</f>
        <v>0</v>
      </c>
      <c r="AC60" s="256">
        <f>SUM(EM[[#This Row],[27M04]:[27M06]])</f>
        <v>0</v>
      </c>
      <c r="AD60" s="256" t="str">
        <f>IF(SUM(EM[[#This Row],[26Q2]:[26Q4]])+SUM(EM[[#This Row],[27Q1]:[27Q2]])=0,"No FSCT",IF(AND(SUM(EM[[#This Row],[26Q2]:[26Q4]])&gt;0,SUM(EM[[#This Row],[27Q1]:[27Q2]])=0),"YES","NO"))</f>
        <v>YES</v>
      </c>
      <c r="AE60" s="85" t="str">
        <f>VLOOKUP(EM[[#This Row],[Product Line]],Prod_T6[],4,0)</f>
        <v>PV</v>
      </c>
      <c r="AF60" s="3"/>
      <c r="AG60" s="3"/>
      <c r="AH60" s="3" t="str">
        <v>2 - Initial offer</v>
      </c>
    </row>
    <row r="61" spans="1:34" ht="14.25" hidden="1" customHeight="1">
      <c r="A61" s="97" t="s">
        <v>164</v>
      </c>
      <c r="B61" s="87" t="s">
        <v>165</v>
      </c>
      <c r="C61" s="31"/>
      <c r="D61" s="2" t="str">
        <f>VLOOKUP(EM[[#This Row],[Product Line]],Prod_T6[],5,0)</f>
        <v>TCL</v>
      </c>
      <c r="E61" s="86" t="s">
        <v>54</v>
      </c>
      <c r="F61" s="86" t="s">
        <v>166</v>
      </c>
      <c r="G61" s="86" t="s">
        <v>115</v>
      </c>
      <c r="H61" s="87" t="s">
        <v>167</v>
      </c>
      <c r="I61" s="43" t="s">
        <v>132</v>
      </c>
      <c r="J61" s="13"/>
      <c r="K61" s="13"/>
      <c r="L61" s="13"/>
      <c r="M61" s="13">
        <v>0.8</v>
      </c>
      <c r="N61" s="13"/>
      <c r="O61" s="13"/>
      <c r="P61" s="13"/>
      <c r="Q61" s="13"/>
      <c r="R61" s="13"/>
      <c r="S61" s="32">
        <f>SUM(EM[[#This Row],[26M04]:[26M06]])</f>
        <v>0</v>
      </c>
      <c r="T61" s="69">
        <f>SUM(EM[[#This Row],[26M07]:[26M09]])</f>
        <v>0.8</v>
      </c>
      <c r="U61" s="69">
        <f>SUM(EM[[#This Row],[26M10]:[26M12]])</f>
        <v>0</v>
      </c>
      <c r="V61" s="256"/>
      <c r="W61" s="256"/>
      <c r="X61" s="256"/>
      <c r="Y61" s="256"/>
      <c r="Z61" s="256"/>
      <c r="AA61" s="256"/>
      <c r="AB61" s="256">
        <f>SUM(EM[[#This Row],[27M01]:[27M03]])</f>
        <v>0</v>
      </c>
      <c r="AC61" s="256">
        <f>SUM(EM[[#This Row],[27M04]:[27M06]])</f>
        <v>0</v>
      </c>
      <c r="AD61" s="256" t="str">
        <f>IF(SUM(EM[[#This Row],[26Q2]:[26Q4]])+SUM(EM[[#This Row],[27Q1]:[27Q2]])=0,"No FSCT",IF(AND(SUM(EM[[#This Row],[26Q2]:[26Q4]])&gt;0,SUM(EM[[#This Row],[27Q1]:[27Q2]])=0),"YES","NO"))</f>
        <v>YES</v>
      </c>
      <c r="AE61" s="85" t="str">
        <f>VLOOKUP(EM[[#This Row],[Product Line]],Prod_T6[],4,0)</f>
        <v>PV</v>
      </c>
      <c r="AF61" s="3"/>
      <c r="AG61" s="3"/>
      <c r="AH61" s="3" t="str">
        <v>2 - Initial offer</v>
      </c>
    </row>
    <row r="62" spans="1:34" ht="14.25" customHeight="1">
      <c r="A62" s="97" t="s">
        <v>85</v>
      </c>
      <c r="B62" s="87" t="s">
        <v>377</v>
      </c>
      <c r="C62" s="31"/>
      <c r="D62" s="2" t="str">
        <f>VLOOKUP(EM[[#This Row],[Product Line]],Prod_T6[],5,0)</f>
        <v>TCL</v>
      </c>
      <c r="E62" s="86" t="s">
        <v>54</v>
      </c>
      <c r="F62" s="86" t="s">
        <v>129</v>
      </c>
      <c r="G62" s="86" t="s">
        <v>156</v>
      </c>
      <c r="H62" s="87" t="s">
        <v>378</v>
      </c>
      <c r="I62" s="43" t="s">
        <v>117</v>
      </c>
      <c r="J62" s="13"/>
      <c r="K62" s="13">
        <v>1.2</v>
      </c>
      <c r="L62" s="13"/>
      <c r="M62" s="13"/>
      <c r="N62" s="13"/>
      <c r="O62" s="13"/>
      <c r="P62" s="13"/>
      <c r="Q62" s="13"/>
      <c r="R62" s="13"/>
      <c r="S62" s="32">
        <f>SUM(EM[[#This Row],[26M04]:[26M06]])</f>
        <v>1.2</v>
      </c>
      <c r="T62" s="69">
        <f>SUM(EM[[#This Row],[26M07]:[26M09]])</f>
        <v>0</v>
      </c>
      <c r="U62" s="69">
        <f>SUM(EM[[#This Row],[26M10]:[26M12]])</f>
        <v>0</v>
      </c>
      <c r="V62" s="256"/>
      <c r="W62" s="256"/>
      <c r="X62" s="256"/>
      <c r="Y62" s="256"/>
      <c r="Z62" s="256"/>
      <c r="AA62" s="256"/>
      <c r="AB62" s="256">
        <f>SUM(EM[[#This Row],[27M01]:[27M03]])</f>
        <v>0</v>
      </c>
      <c r="AC62" s="256">
        <f>SUM(EM[[#This Row],[27M04]:[27M06]])</f>
        <v>0</v>
      </c>
      <c r="AD62" s="256" t="str">
        <f>IF(SUM(EM[[#This Row],[26Q2]:[26Q4]])+SUM(EM[[#This Row],[27Q1]:[27Q2]])=0,"No FSCT",IF(AND(SUM(EM[[#This Row],[26Q2]:[26Q4]])&gt;0,SUM(EM[[#This Row],[27Q1]:[27Q2]])=0),"YES","NO"))</f>
        <v>YES</v>
      </c>
      <c r="AE62" s="85" t="str">
        <f>VLOOKUP(EM[[#This Row],[Product Line]],Prod_T6[],4,0)</f>
        <v>PV</v>
      </c>
      <c r="AF62" s="3"/>
      <c r="AG62" s="3"/>
      <c r="AH62" s="3" t="str">
        <v>6 - Won</v>
      </c>
    </row>
    <row r="63" spans="1:34" ht="14.25" hidden="1" customHeight="1">
      <c r="A63" s="97" t="s">
        <v>83</v>
      </c>
      <c r="B63" s="87" t="s">
        <v>165</v>
      </c>
      <c r="C63" s="31"/>
      <c r="D63" s="2" t="str">
        <f>VLOOKUP(EM[[#This Row],[Product Line]],Prod_T6[],5,0)</f>
        <v>TCL</v>
      </c>
      <c r="E63" s="86" t="s">
        <v>54</v>
      </c>
      <c r="F63" s="86" t="s">
        <v>166</v>
      </c>
      <c r="G63" s="86" t="s">
        <v>115</v>
      </c>
      <c r="H63" s="87" t="s">
        <v>356</v>
      </c>
      <c r="I63" s="43" t="s">
        <v>132</v>
      </c>
      <c r="J63" s="13"/>
      <c r="K63" s="13"/>
      <c r="L63" s="13"/>
      <c r="M63" s="13"/>
      <c r="N63" s="13"/>
      <c r="O63" s="13">
        <v>7.2</v>
      </c>
      <c r="P63" s="13"/>
      <c r="Q63" s="13"/>
      <c r="R63" s="13"/>
      <c r="S63" s="32">
        <f>SUM(EM[[#This Row],[26M04]:[26M06]])</f>
        <v>0</v>
      </c>
      <c r="T63" s="69">
        <f>SUM(EM[[#This Row],[26M07]:[26M09]])</f>
        <v>7.2</v>
      </c>
      <c r="U63" s="69">
        <f>SUM(EM[[#This Row],[26M10]:[26M12]])</f>
        <v>0</v>
      </c>
      <c r="V63" s="256"/>
      <c r="W63" s="256"/>
      <c r="X63" s="256"/>
      <c r="Y63" s="256"/>
      <c r="Z63" s="256"/>
      <c r="AA63" s="256"/>
      <c r="AB63" s="256">
        <f>SUM(EM[[#This Row],[27M01]:[27M03]])</f>
        <v>0</v>
      </c>
      <c r="AC63" s="256">
        <f>SUM(EM[[#This Row],[27M04]:[27M06]])</f>
        <v>0</v>
      </c>
      <c r="AD63" s="256" t="str">
        <f>IF(SUM(EM[[#This Row],[26Q2]:[26Q4]])+SUM(EM[[#This Row],[27Q1]:[27Q2]])=0,"No FSCT",IF(AND(SUM(EM[[#This Row],[26Q2]:[26Q4]])&gt;0,SUM(EM[[#This Row],[27Q1]:[27Q2]])=0),"YES","NO"))</f>
        <v>YES</v>
      </c>
      <c r="AE63" s="85" t="str">
        <f>VLOOKUP(EM[[#This Row],[Product Line]],Prod_T6[],4,0)</f>
        <v>PV</v>
      </c>
      <c r="AF63" s="3"/>
      <c r="AG63" s="3"/>
      <c r="AH63" s="3" t="str">
        <v>2 - Initial offer</v>
      </c>
    </row>
    <row r="64" spans="1:34" ht="14.25" customHeight="1">
      <c r="A64" s="97" t="s">
        <v>90</v>
      </c>
      <c r="B64" s="87" t="s">
        <v>469</v>
      </c>
      <c r="C64" s="31"/>
      <c r="D64" s="2" t="str">
        <f>VLOOKUP(EM[[#This Row],[Product Line]],Prod_T6[],5,0)</f>
        <v>TCL</v>
      </c>
      <c r="E64" s="86" t="s">
        <v>54</v>
      </c>
      <c r="F64" s="86" t="s">
        <v>297</v>
      </c>
      <c r="G64" s="86" t="s">
        <v>136</v>
      </c>
      <c r="H64" s="87" t="s">
        <v>470</v>
      </c>
      <c r="I64" s="43" t="s">
        <v>132</v>
      </c>
      <c r="J64" s="13"/>
      <c r="K64" s="13"/>
      <c r="L64" s="13"/>
      <c r="M64" s="13"/>
      <c r="N64" s="13"/>
      <c r="O64" s="13"/>
      <c r="P64" s="13"/>
      <c r="Q64" s="13">
        <v>8</v>
      </c>
      <c r="R64" s="13"/>
      <c r="S64" s="32">
        <f>SUM(EM[[#This Row],[26M04]:[26M06]])</f>
        <v>0</v>
      </c>
      <c r="T64" s="69">
        <f>SUM(EM[[#This Row],[26M07]:[26M09]])</f>
        <v>0</v>
      </c>
      <c r="U64" s="69">
        <f>SUM(EM[[#This Row],[26M10]:[26M12]])</f>
        <v>8</v>
      </c>
      <c r="V64" s="256"/>
      <c r="W64" s="256"/>
      <c r="X64" s="256"/>
      <c r="Y64" s="256"/>
      <c r="Z64" s="256"/>
      <c r="AA64" s="256"/>
      <c r="AB64" s="256">
        <f>SUM(EM[[#This Row],[27M01]:[27M03]])</f>
        <v>0</v>
      </c>
      <c r="AC64" s="256">
        <f>SUM(EM[[#This Row],[27M04]:[27M06]])</f>
        <v>0</v>
      </c>
      <c r="AD64" s="256" t="str">
        <f>IF(SUM(EM[[#This Row],[26Q2]:[26Q4]])+SUM(EM[[#This Row],[27Q1]:[27Q2]])=0,"No FSCT",IF(AND(SUM(EM[[#This Row],[26Q2]:[26Q4]])&gt;0,SUM(EM[[#This Row],[27Q1]:[27Q2]])=0),"YES","NO"))</f>
        <v>YES</v>
      </c>
      <c r="AE64" s="85" t="str">
        <f>VLOOKUP(EM[[#This Row],[Product Line]],Prod_T6[],4,0)</f>
        <v>PV</v>
      </c>
      <c r="AF64" s="3"/>
      <c r="AG64" s="3"/>
      <c r="AH64" s="3" t="str">
        <v>3 - Negotiation</v>
      </c>
    </row>
    <row r="65" spans="1:34" ht="14.25" hidden="1" customHeight="1">
      <c r="A65" s="97" t="s">
        <v>375</v>
      </c>
      <c r="B65" s="87" t="s">
        <v>165</v>
      </c>
      <c r="C65" s="31"/>
      <c r="D65" s="2" t="str">
        <f>VLOOKUP(EM[[#This Row],[Product Line]],Prod_T6[],5,0)</f>
        <v>TCL</v>
      </c>
      <c r="E65" s="86" t="s">
        <v>54</v>
      </c>
      <c r="F65" s="86" t="s">
        <v>166</v>
      </c>
      <c r="G65" s="86" t="s">
        <v>115</v>
      </c>
      <c r="H65" s="87" t="s">
        <v>376</v>
      </c>
      <c r="I65" s="43" t="s">
        <v>132</v>
      </c>
      <c r="J65" s="13"/>
      <c r="K65" s="13"/>
      <c r="L65" s="13"/>
      <c r="M65" s="13"/>
      <c r="N65" s="13">
        <v>1.6</v>
      </c>
      <c r="O65" s="13"/>
      <c r="P65" s="13"/>
      <c r="Q65" s="13"/>
      <c r="R65" s="13"/>
      <c r="S65" s="32">
        <f>SUM(EM[[#This Row],[26M04]:[26M06]])</f>
        <v>0</v>
      </c>
      <c r="T65" s="69">
        <f>SUM(EM[[#This Row],[26M07]:[26M09]])</f>
        <v>1.6</v>
      </c>
      <c r="U65" s="69">
        <f>SUM(EM[[#This Row],[26M10]:[26M12]])</f>
        <v>0</v>
      </c>
      <c r="V65" s="256"/>
      <c r="W65" s="256"/>
      <c r="X65" s="256"/>
      <c r="Y65" s="256"/>
      <c r="Z65" s="256"/>
      <c r="AA65" s="256"/>
      <c r="AB65" s="256">
        <f>SUM(EM[[#This Row],[27M01]:[27M03]])</f>
        <v>0</v>
      </c>
      <c r="AC65" s="256">
        <f>SUM(EM[[#This Row],[27M04]:[27M06]])</f>
        <v>0</v>
      </c>
      <c r="AD65" s="256" t="str">
        <f>IF(SUM(EM[[#This Row],[26Q2]:[26Q4]])+SUM(EM[[#This Row],[27Q1]:[27Q2]])=0,"No FSCT",IF(AND(SUM(EM[[#This Row],[26Q2]:[26Q4]])&gt;0,SUM(EM[[#This Row],[27Q1]:[27Q2]])=0),"YES","NO"))</f>
        <v>YES</v>
      </c>
      <c r="AE65" s="85" t="str">
        <f>VLOOKUP(EM[[#This Row],[Product Line]],Prod_T6[],4,0)</f>
        <v>PV</v>
      </c>
      <c r="AF65" s="3"/>
      <c r="AG65" s="3"/>
      <c r="AH65" s="3" t="str">
        <v>2 - Initial offer</v>
      </c>
    </row>
    <row r="66" spans="1:34" ht="14.25" hidden="1" customHeight="1">
      <c r="A66" s="97" t="s">
        <v>446</v>
      </c>
      <c r="B66" s="87" t="s">
        <v>165</v>
      </c>
      <c r="C66" s="31"/>
      <c r="D66" s="2" t="str">
        <f>VLOOKUP(EM[[#This Row],[Product Line]],Prod_T6[],5,0)</f>
        <v>TCL</v>
      </c>
      <c r="E66" s="86" t="s">
        <v>54</v>
      </c>
      <c r="F66" s="86" t="s">
        <v>166</v>
      </c>
      <c r="G66" s="86" t="s">
        <v>213</v>
      </c>
      <c r="H66" s="87" t="s">
        <v>447</v>
      </c>
      <c r="I66" s="43" t="s">
        <v>132</v>
      </c>
      <c r="J66" s="13"/>
      <c r="K66" s="13"/>
      <c r="L66" s="13"/>
      <c r="M66" s="13"/>
      <c r="N66" s="13"/>
      <c r="O66" s="13"/>
      <c r="P66" s="13"/>
      <c r="Q66" s="13">
        <v>1.2</v>
      </c>
      <c r="R66" s="13"/>
      <c r="S66" s="32">
        <f>SUM(EM[[#This Row],[26M04]:[26M06]])</f>
        <v>0</v>
      </c>
      <c r="T66" s="69">
        <f>SUM(EM[[#This Row],[26M07]:[26M09]])</f>
        <v>0</v>
      </c>
      <c r="U66" s="69">
        <f>SUM(EM[[#This Row],[26M10]:[26M12]])</f>
        <v>1.2</v>
      </c>
      <c r="V66" s="256"/>
      <c r="W66" s="256"/>
      <c r="X66" s="256"/>
      <c r="Y66" s="256"/>
      <c r="Z66" s="256"/>
      <c r="AA66" s="256"/>
      <c r="AB66" s="256">
        <f>SUM(EM[[#This Row],[27M01]:[27M03]])</f>
        <v>0</v>
      </c>
      <c r="AC66" s="256">
        <f>SUM(EM[[#This Row],[27M04]:[27M06]])</f>
        <v>0</v>
      </c>
      <c r="AD66" s="256" t="str">
        <f>IF(SUM(EM[[#This Row],[26Q2]:[26Q4]])+SUM(EM[[#This Row],[27Q1]:[27Q2]])=0,"No FSCT",IF(AND(SUM(EM[[#This Row],[26Q2]:[26Q4]])&gt;0,SUM(EM[[#This Row],[27Q1]:[27Q2]])=0),"YES","NO"))</f>
        <v>YES</v>
      </c>
      <c r="AE66" s="85" t="str">
        <f>VLOOKUP(EM[[#This Row],[Product Line]],Prod_T6[],4,0)</f>
        <v>PV</v>
      </c>
      <c r="AF66" s="3"/>
      <c r="AG66" s="3"/>
      <c r="AH66" s="3" t="str">
        <v>1 - Lead qualification</v>
      </c>
    </row>
    <row r="67" spans="1:34" ht="14.25" hidden="1" customHeight="1">
      <c r="A67" s="97" t="s">
        <v>83</v>
      </c>
      <c r="B67" s="87" t="s">
        <v>361</v>
      </c>
      <c r="C67" s="31"/>
      <c r="D67" s="2" t="str">
        <f>VLOOKUP(EM[[#This Row],[Product Line]],Prod_T6[],5,0)</f>
        <v>TCL</v>
      </c>
      <c r="E67" s="86" t="s">
        <v>54</v>
      </c>
      <c r="F67" s="86" t="s">
        <v>297</v>
      </c>
      <c r="G67" s="86" t="s">
        <v>213</v>
      </c>
      <c r="H67" s="87" t="s">
        <v>362</v>
      </c>
      <c r="I67" s="43" t="s">
        <v>132</v>
      </c>
      <c r="J67" s="13"/>
      <c r="K67" s="13"/>
      <c r="L67" s="13"/>
      <c r="M67" s="13"/>
      <c r="N67" s="13"/>
      <c r="O67" s="13"/>
      <c r="P67" s="13"/>
      <c r="Q67" s="13"/>
      <c r="R67" s="13">
        <v>10</v>
      </c>
      <c r="S67" s="32">
        <f>SUM(EM[[#This Row],[26M04]:[26M06]])</f>
        <v>0</v>
      </c>
      <c r="T67" s="69">
        <f>SUM(EM[[#This Row],[26M07]:[26M09]])</f>
        <v>0</v>
      </c>
      <c r="U67" s="69">
        <f>SUM(EM[[#This Row],[26M10]:[26M12]])</f>
        <v>10</v>
      </c>
      <c r="V67" s="256"/>
      <c r="W67" s="256"/>
      <c r="X67" s="256"/>
      <c r="Y67" s="256"/>
      <c r="Z67" s="256"/>
      <c r="AA67" s="256"/>
      <c r="AB67" s="256">
        <f>SUM(EM[[#This Row],[27M01]:[27M03]])</f>
        <v>0</v>
      </c>
      <c r="AC67" s="256">
        <f>SUM(EM[[#This Row],[27M04]:[27M06]])</f>
        <v>0</v>
      </c>
      <c r="AD67" s="256" t="str">
        <f>IF(SUM(EM[[#This Row],[26Q2]:[26Q4]])+SUM(EM[[#This Row],[27Q1]:[27Q2]])=0,"No FSCT",IF(AND(SUM(EM[[#This Row],[26Q2]:[26Q4]])&gt;0,SUM(EM[[#This Row],[27Q1]:[27Q2]])=0),"YES","NO"))</f>
        <v>YES</v>
      </c>
      <c r="AE67" s="85" t="str">
        <f>VLOOKUP(EM[[#This Row],[Product Line]],Prod_T6[],4,0)</f>
        <v>PV</v>
      </c>
      <c r="AF67" s="3"/>
      <c r="AG67" s="3"/>
      <c r="AH67" s="3" t="str">
        <v>1 - Lead qualification</v>
      </c>
    </row>
    <row r="68" spans="1:34" ht="14.25" hidden="1" customHeight="1">
      <c r="A68" s="97" t="s">
        <v>81</v>
      </c>
      <c r="B68" s="87" t="s">
        <v>168</v>
      </c>
      <c r="C68" s="31"/>
      <c r="D68" s="2" t="str">
        <f>VLOOKUP(EM[[#This Row],[Product Line]],Prod_T6[],5,0)</f>
        <v>TCL</v>
      </c>
      <c r="E68" s="86" t="s">
        <v>54</v>
      </c>
      <c r="F68" s="86" t="s">
        <v>170</v>
      </c>
      <c r="G68" s="86" t="s">
        <v>115</v>
      </c>
      <c r="H68" s="87" t="s">
        <v>171</v>
      </c>
      <c r="I68" s="43" t="s">
        <v>132</v>
      </c>
      <c r="J68" s="13"/>
      <c r="K68" s="13"/>
      <c r="L68" s="13"/>
      <c r="M68" s="13"/>
      <c r="N68" s="13"/>
      <c r="O68" s="13">
        <v>4.9000000000000004</v>
      </c>
      <c r="P68" s="13"/>
      <c r="Q68" s="13"/>
      <c r="R68" s="13"/>
      <c r="S68" s="32">
        <f>SUM(EM[[#This Row],[26M04]:[26M06]])</f>
        <v>0</v>
      </c>
      <c r="T68" s="69">
        <f>SUM(EM[[#This Row],[26M07]:[26M09]])</f>
        <v>4.9000000000000004</v>
      </c>
      <c r="U68" s="69">
        <f>SUM(EM[[#This Row],[26M10]:[26M12]])</f>
        <v>0</v>
      </c>
      <c r="V68" s="256"/>
      <c r="W68" s="256"/>
      <c r="X68" s="256"/>
      <c r="Y68" s="256"/>
      <c r="Z68" s="256"/>
      <c r="AA68" s="256"/>
      <c r="AB68" s="256">
        <f>SUM(EM[[#This Row],[27M01]:[27M03]])</f>
        <v>0</v>
      </c>
      <c r="AC68" s="256">
        <f>SUM(EM[[#This Row],[27M04]:[27M06]])</f>
        <v>0</v>
      </c>
      <c r="AD68" s="256" t="str">
        <f>IF(SUM(EM[[#This Row],[26Q2]:[26Q4]])+SUM(EM[[#This Row],[27Q1]:[27Q2]])=0,"No FSCT",IF(AND(SUM(EM[[#This Row],[26Q2]:[26Q4]])&gt;0,SUM(EM[[#This Row],[27Q1]:[27Q2]])=0),"YES","NO"))</f>
        <v>YES</v>
      </c>
      <c r="AE68" s="85" t="str">
        <f>VLOOKUP(EM[[#This Row],[Product Line]],Prod_T6[],4,0)</f>
        <v>PV</v>
      </c>
      <c r="AF68" s="3"/>
      <c r="AG68" s="3"/>
      <c r="AH68" s="3" t="str">
        <v>2 - Initial offer</v>
      </c>
    </row>
    <row r="69" spans="1:34" ht="14.25" customHeight="1">
      <c r="A69" s="97" t="s">
        <v>83</v>
      </c>
      <c r="B69" s="87" t="s">
        <v>357</v>
      </c>
      <c r="C69" s="31"/>
      <c r="D69" s="2" t="str">
        <f>VLOOKUP(EM[[#This Row],[Product Line]],Prod_T6[],5,0)</f>
        <v>TCL</v>
      </c>
      <c r="E69" s="86" t="s">
        <v>54</v>
      </c>
      <c r="F69" s="86" t="s">
        <v>166</v>
      </c>
      <c r="G69" s="86" t="s">
        <v>154</v>
      </c>
      <c r="H69" s="87" t="s">
        <v>358</v>
      </c>
      <c r="I69" s="43" t="s">
        <v>117</v>
      </c>
      <c r="J69" s="13"/>
      <c r="K69" s="13">
        <v>1.2</v>
      </c>
      <c r="L69" s="13"/>
      <c r="M69" s="13"/>
      <c r="N69" s="13"/>
      <c r="O69" s="13"/>
      <c r="P69" s="13"/>
      <c r="Q69" s="13"/>
      <c r="R69" s="13"/>
      <c r="S69" s="32">
        <f>SUM(EM[[#This Row],[26M04]:[26M06]])</f>
        <v>1.2</v>
      </c>
      <c r="T69" s="69">
        <f>SUM(EM[[#This Row],[26M07]:[26M09]])</f>
        <v>0</v>
      </c>
      <c r="U69" s="69">
        <f>SUM(EM[[#This Row],[26M10]:[26M12]])</f>
        <v>0</v>
      </c>
      <c r="V69" s="256"/>
      <c r="W69" s="256"/>
      <c r="X69" s="256"/>
      <c r="Y69" s="256"/>
      <c r="Z69" s="256"/>
      <c r="AA69" s="256"/>
      <c r="AB69" s="256">
        <f>SUM(EM[[#This Row],[27M01]:[27M03]])</f>
        <v>0</v>
      </c>
      <c r="AC69" s="256">
        <f>SUM(EM[[#This Row],[27M04]:[27M06]])</f>
        <v>0</v>
      </c>
      <c r="AD69" s="256" t="str">
        <f>IF(SUM(EM[[#This Row],[26Q2]:[26Q4]])+SUM(EM[[#This Row],[27Q1]:[27Q2]])=0,"No FSCT",IF(AND(SUM(EM[[#This Row],[26Q2]:[26Q4]])&gt;0,SUM(EM[[#This Row],[27Q1]:[27Q2]])=0),"YES","NO"))</f>
        <v>YES</v>
      </c>
      <c r="AE69" s="85" t="str">
        <f>VLOOKUP(EM[[#This Row],[Product Line]],Prod_T6[],4,0)</f>
        <v>PV</v>
      </c>
      <c r="AF69" s="3"/>
      <c r="AG69" s="3"/>
      <c r="AH69" s="3" t="str">
        <v>4 - BAFO</v>
      </c>
    </row>
    <row r="70" spans="1:34" ht="14.25" hidden="1" customHeight="1">
      <c r="A70" s="97" t="s">
        <v>174</v>
      </c>
      <c r="B70" s="87" t="s">
        <v>179</v>
      </c>
      <c r="C70" s="31"/>
      <c r="D70" s="2" t="str">
        <f>VLOOKUP(EM[[#This Row],[Product Line]],Prod_T6[],5,0)</f>
        <v>TCL</v>
      </c>
      <c r="E70" s="86" t="s">
        <v>54</v>
      </c>
      <c r="F70" s="86" t="s">
        <v>160</v>
      </c>
      <c r="G70" s="86" t="s">
        <v>634</v>
      </c>
      <c r="H70" s="87" t="s">
        <v>713</v>
      </c>
      <c r="I70" s="43" t="s">
        <v>117</v>
      </c>
      <c r="J70" s="13"/>
      <c r="K70" s="13">
        <v>0.8</v>
      </c>
      <c r="L70" s="13"/>
      <c r="M70" s="13"/>
      <c r="N70" s="13"/>
      <c r="O70" s="13"/>
      <c r="P70" s="13"/>
      <c r="Q70" s="13"/>
      <c r="R70" s="13"/>
      <c r="S70" s="32">
        <f>SUM(EM[[#This Row],[26M04]:[26M06]])</f>
        <v>0.8</v>
      </c>
      <c r="T70" s="69">
        <f>SUM(EM[[#This Row],[26M07]:[26M09]])</f>
        <v>0</v>
      </c>
      <c r="U70" s="69">
        <f>SUM(EM[[#This Row],[26M10]:[26M12]])</f>
        <v>0</v>
      </c>
      <c r="V70" s="256"/>
      <c r="W70" s="256"/>
      <c r="X70" s="256"/>
      <c r="Y70" s="256"/>
      <c r="Z70" s="256"/>
      <c r="AA70" s="256"/>
      <c r="AB70" s="256">
        <f>SUM(EM[[#This Row],[27M01]:[27M03]])</f>
        <v>0</v>
      </c>
      <c r="AC70" s="256">
        <f>SUM(EM[[#This Row],[27M04]:[27M06]])</f>
        <v>0</v>
      </c>
      <c r="AD70" s="256" t="str">
        <f>IF(SUM(EM[[#This Row],[26Q2]:[26Q4]])+SUM(EM[[#This Row],[27Q1]:[27Q2]])=0,"No FSCT",IF(AND(SUM(EM[[#This Row],[26Q2]:[26Q4]])&gt;0,SUM(EM[[#This Row],[27Q1]:[27Q2]])=0),"YES","NO"))</f>
        <v>YES</v>
      </c>
      <c r="AE70" s="85" t="str">
        <f>VLOOKUP(EM[[#This Row],[Product Line]],Prod_T6[],4,0)</f>
        <v>PV</v>
      </c>
      <c r="AF70" s="3"/>
      <c r="AG70" s="3"/>
      <c r="AH70" s="3" t="str">
        <v>0  - Lost</v>
      </c>
    </row>
    <row r="71" spans="1:34" ht="14.25" hidden="1" customHeight="1">
      <c r="A71" s="97" t="s">
        <v>174</v>
      </c>
      <c r="B71" s="87" t="s">
        <v>179</v>
      </c>
      <c r="C71" s="31"/>
      <c r="D71" s="2" t="str">
        <f>VLOOKUP(EM[[#This Row],[Product Line]],Prod_T6[],5,0)</f>
        <v>TCL</v>
      </c>
      <c r="E71" s="86" t="s">
        <v>54</v>
      </c>
      <c r="F71" s="86" t="s">
        <v>170</v>
      </c>
      <c r="G71" s="86" t="s">
        <v>634</v>
      </c>
      <c r="H71" s="87" t="s">
        <v>714</v>
      </c>
      <c r="I71" s="43" t="s">
        <v>117</v>
      </c>
      <c r="J71" s="13"/>
      <c r="K71" s="13"/>
      <c r="L71" s="13"/>
      <c r="M71" s="13"/>
      <c r="N71" s="13">
        <v>1.8</v>
      </c>
      <c r="O71" s="13"/>
      <c r="P71" s="13"/>
      <c r="Q71" s="13"/>
      <c r="R71" s="13"/>
      <c r="S71" s="32">
        <f>SUM(EM[[#This Row],[26M04]:[26M06]])</f>
        <v>0</v>
      </c>
      <c r="T71" s="69">
        <f>SUM(EM[[#This Row],[26M07]:[26M09]])</f>
        <v>1.8</v>
      </c>
      <c r="U71" s="69">
        <f>SUM(EM[[#This Row],[26M10]:[26M12]])</f>
        <v>0</v>
      </c>
      <c r="V71" s="256"/>
      <c r="W71" s="256"/>
      <c r="X71" s="256"/>
      <c r="Y71" s="256"/>
      <c r="Z71" s="256"/>
      <c r="AA71" s="256"/>
      <c r="AB71" s="256">
        <f>SUM(EM[[#This Row],[27M01]:[27M03]])</f>
        <v>0</v>
      </c>
      <c r="AC71" s="256">
        <f>SUM(EM[[#This Row],[27M04]:[27M06]])</f>
        <v>0</v>
      </c>
      <c r="AD71" s="256" t="str">
        <f>IF(SUM(EM[[#This Row],[26Q2]:[26Q4]])+SUM(EM[[#This Row],[27Q1]:[27Q2]])=0,"No FSCT",IF(AND(SUM(EM[[#This Row],[26Q2]:[26Q4]])&gt;0,SUM(EM[[#This Row],[27Q1]:[27Q2]])=0),"YES","NO"))</f>
        <v>YES</v>
      </c>
      <c r="AE71" s="85" t="str">
        <f>VLOOKUP(EM[[#This Row],[Product Line]],Prod_T6[],4,0)</f>
        <v>PV</v>
      </c>
      <c r="AF71" s="3"/>
      <c r="AG71" s="3"/>
      <c r="AH71" s="3" t="str">
        <v>0  - Lost</v>
      </c>
    </row>
    <row r="72" spans="1:34" ht="14.25" hidden="1" customHeight="1">
      <c r="A72" s="97" t="s">
        <v>174</v>
      </c>
      <c r="B72" s="87" t="s">
        <v>179</v>
      </c>
      <c r="C72" s="31"/>
      <c r="D72" s="2" t="str">
        <f>VLOOKUP(EM[[#This Row],[Product Line]],Prod_T6[],5,0)</f>
        <v>Sunpower</v>
      </c>
      <c r="E72" s="86" t="s">
        <v>118</v>
      </c>
      <c r="F72" s="86" t="s">
        <v>180</v>
      </c>
      <c r="G72" s="86" t="s">
        <v>115</v>
      </c>
      <c r="H72" s="87" t="s">
        <v>181</v>
      </c>
      <c r="I72" s="43" t="s">
        <v>117</v>
      </c>
      <c r="J72" s="13"/>
      <c r="K72" s="13"/>
      <c r="L72" s="13">
        <v>1.8</v>
      </c>
      <c r="M72" s="13"/>
      <c r="N72" s="13"/>
      <c r="O72" s="13"/>
      <c r="P72" s="13"/>
      <c r="Q72" s="13"/>
      <c r="R72" s="13"/>
      <c r="S72" s="32">
        <f>SUM(EM[[#This Row],[26M04]:[26M06]])</f>
        <v>1.8</v>
      </c>
      <c r="T72" s="69">
        <f>SUM(EM[[#This Row],[26M07]:[26M09]])</f>
        <v>0</v>
      </c>
      <c r="U72" s="69">
        <f>SUM(EM[[#This Row],[26M10]:[26M12]])</f>
        <v>0</v>
      </c>
      <c r="V72" s="256"/>
      <c r="W72" s="256"/>
      <c r="X72" s="256"/>
      <c r="Y72" s="256"/>
      <c r="Z72" s="256"/>
      <c r="AA72" s="256"/>
      <c r="AB72" s="256">
        <f>SUM(EM[[#This Row],[27M01]:[27M03]])</f>
        <v>0</v>
      </c>
      <c r="AC72" s="256">
        <f>SUM(EM[[#This Row],[27M04]:[27M06]])</f>
        <v>0</v>
      </c>
      <c r="AD72" s="256" t="str">
        <f>IF(SUM(EM[[#This Row],[26Q2]:[26Q4]])+SUM(EM[[#This Row],[27Q1]:[27Q2]])=0,"No FSCT",IF(AND(SUM(EM[[#This Row],[26Q2]:[26Q4]])&gt;0,SUM(EM[[#This Row],[27Q1]:[27Q2]])=0),"YES","NO"))</f>
        <v>YES</v>
      </c>
      <c r="AE72" s="85" t="str">
        <f>VLOOKUP(EM[[#This Row],[Product Line]],Prod_T6[],4,0)</f>
        <v>PV</v>
      </c>
      <c r="AF72" s="3"/>
      <c r="AG72" s="3"/>
      <c r="AH72" s="3" t="str">
        <v>2 - Initial offer</v>
      </c>
    </row>
    <row r="73" spans="1:34" ht="14.25" hidden="1" customHeight="1">
      <c r="A73" s="97" t="s">
        <v>88</v>
      </c>
      <c r="B73" s="87" t="s">
        <v>463</v>
      </c>
      <c r="C73" s="31"/>
      <c r="D73" s="2" t="str">
        <f>VLOOKUP(EM[[#This Row],[Product Line]],Prod_T6[],5,0)</f>
        <v>Sunpower</v>
      </c>
      <c r="E73" s="86" t="s">
        <v>118</v>
      </c>
      <c r="F73" s="86" t="s">
        <v>145</v>
      </c>
      <c r="G73" s="86" t="s">
        <v>115</v>
      </c>
      <c r="H73" s="87" t="s">
        <v>464</v>
      </c>
      <c r="I73" s="43" t="s">
        <v>132</v>
      </c>
      <c r="J73" s="13"/>
      <c r="K73" s="13"/>
      <c r="L73" s="13"/>
      <c r="M73" s="13"/>
      <c r="N73" s="13">
        <v>3</v>
      </c>
      <c r="O73" s="13"/>
      <c r="P73" s="13"/>
      <c r="Q73" s="13"/>
      <c r="R73" s="13"/>
      <c r="S73" s="32">
        <f>SUM(EM[[#This Row],[26M04]:[26M06]])</f>
        <v>0</v>
      </c>
      <c r="T73" s="69">
        <f>SUM(EM[[#This Row],[26M07]:[26M09]])</f>
        <v>3</v>
      </c>
      <c r="U73" s="69">
        <f>SUM(EM[[#This Row],[26M10]:[26M12]])</f>
        <v>0</v>
      </c>
      <c r="V73" s="256"/>
      <c r="W73" s="256"/>
      <c r="X73" s="256"/>
      <c r="Y73" s="256"/>
      <c r="Z73" s="256"/>
      <c r="AA73" s="256"/>
      <c r="AB73" s="256">
        <f>SUM(EM[[#This Row],[27M01]:[27M03]])</f>
        <v>0</v>
      </c>
      <c r="AC73" s="256">
        <f>SUM(EM[[#This Row],[27M04]:[27M06]])</f>
        <v>0</v>
      </c>
      <c r="AD73" s="256" t="str">
        <f>IF(SUM(EM[[#This Row],[26Q2]:[26Q4]])+SUM(EM[[#This Row],[27Q1]:[27Q2]])=0,"No FSCT",IF(AND(SUM(EM[[#This Row],[26Q2]:[26Q4]])&gt;0,SUM(EM[[#This Row],[27Q1]:[27Q2]])=0),"YES","NO"))</f>
        <v>YES</v>
      </c>
      <c r="AE73" s="85" t="str">
        <f>VLOOKUP(EM[[#This Row],[Product Line]],Prod_T6[],4,0)</f>
        <v>PV</v>
      </c>
      <c r="AF73" s="3"/>
      <c r="AG73" s="3"/>
      <c r="AH73" s="3" t="str">
        <v>2 - Initial offer</v>
      </c>
    </row>
    <row r="74" spans="1:34" ht="14.25" hidden="1" customHeight="1">
      <c r="A74" s="97" t="s">
        <v>89</v>
      </c>
      <c r="B74" s="87" t="s">
        <v>465</v>
      </c>
      <c r="C74" s="31"/>
      <c r="D74" s="2" t="str">
        <f>VLOOKUP(EM[[#This Row],[Product Line]],Prod_T6[],5,0)</f>
        <v>TCL</v>
      </c>
      <c r="E74" s="86" t="s">
        <v>149</v>
      </c>
      <c r="F74" s="86" t="s">
        <v>433</v>
      </c>
      <c r="G74" s="86" t="s">
        <v>115</v>
      </c>
      <c r="H74" s="87" t="s">
        <v>466</v>
      </c>
      <c r="I74" s="43" t="s">
        <v>117</v>
      </c>
      <c r="J74" s="13"/>
      <c r="K74" s="13"/>
      <c r="L74" s="13"/>
      <c r="M74" s="13">
        <v>2.6</v>
      </c>
      <c r="N74" s="13"/>
      <c r="O74" s="13"/>
      <c r="P74" s="13"/>
      <c r="Q74" s="13"/>
      <c r="R74" s="13"/>
      <c r="S74" s="32">
        <f>SUM(EM[[#This Row],[26M04]:[26M06]])</f>
        <v>0</v>
      </c>
      <c r="T74" s="69">
        <f>SUM(EM[[#This Row],[26M07]:[26M09]])</f>
        <v>2.6</v>
      </c>
      <c r="U74" s="69">
        <f>SUM(EM[[#This Row],[26M10]:[26M12]])</f>
        <v>0</v>
      </c>
      <c r="V74" s="256"/>
      <c r="W74" s="256"/>
      <c r="X74" s="256"/>
      <c r="Y74" s="256"/>
      <c r="Z74" s="256"/>
      <c r="AA74" s="256"/>
      <c r="AB74" s="256">
        <f>SUM(EM[[#This Row],[27M01]:[27M03]])</f>
        <v>0</v>
      </c>
      <c r="AC74" s="256">
        <f>SUM(EM[[#This Row],[27M04]:[27M06]])</f>
        <v>0</v>
      </c>
      <c r="AD74" s="256" t="str">
        <f>IF(SUM(EM[[#This Row],[26Q2]:[26Q4]])+SUM(EM[[#This Row],[27Q1]:[27Q2]])=0,"No FSCT",IF(AND(SUM(EM[[#This Row],[26Q2]:[26Q4]])&gt;0,SUM(EM[[#This Row],[27Q1]:[27Q2]])=0),"YES","NO"))</f>
        <v>YES</v>
      </c>
      <c r="AE74" s="85" t="str">
        <f>VLOOKUP(EM[[#This Row],[Product Line]],Prod_T6[],4,0)</f>
        <v>PV</v>
      </c>
      <c r="AF74" s="3"/>
      <c r="AG74" s="3"/>
      <c r="AH74" s="3" t="str">
        <v>2 - Initial offer</v>
      </c>
    </row>
    <row r="75" spans="1:34" ht="14.25" hidden="1" customHeight="1">
      <c r="A75" s="97" t="s">
        <v>85</v>
      </c>
      <c r="B75" s="87" t="s">
        <v>386</v>
      </c>
      <c r="C75" s="31"/>
      <c r="D75" s="2" t="str">
        <f>VLOOKUP(EM[[#This Row],[Product Line]],Prod_T6[],5,0)</f>
        <v>TCL</v>
      </c>
      <c r="E75" s="86" t="s">
        <v>54</v>
      </c>
      <c r="F75" s="86" t="s">
        <v>129</v>
      </c>
      <c r="G75" s="86" t="s">
        <v>634</v>
      </c>
      <c r="H75" s="87" t="s">
        <v>715</v>
      </c>
      <c r="I75" s="43" t="s">
        <v>117</v>
      </c>
      <c r="J75" s="13"/>
      <c r="K75" s="13"/>
      <c r="L75" s="13"/>
      <c r="M75" s="13">
        <v>1.6</v>
      </c>
      <c r="N75" s="13"/>
      <c r="O75" s="13"/>
      <c r="P75" s="13"/>
      <c r="Q75" s="13"/>
      <c r="R75" s="13"/>
      <c r="S75" s="32">
        <f>SUM(EM[[#This Row],[26M04]:[26M06]])</f>
        <v>0</v>
      </c>
      <c r="T75" s="69">
        <f>SUM(EM[[#This Row],[26M07]:[26M09]])</f>
        <v>1.6</v>
      </c>
      <c r="U75" s="69">
        <f>SUM(EM[[#This Row],[26M10]:[26M12]])</f>
        <v>0</v>
      </c>
      <c r="V75" s="256"/>
      <c r="W75" s="256"/>
      <c r="X75" s="256"/>
      <c r="Y75" s="256"/>
      <c r="Z75" s="256"/>
      <c r="AA75" s="256"/>
      <c r="AB75" s="256">
        <f>SUM(EM[[#This Row],[27M01]:[27M03]])</f>
        <v>0</v>
      </c>
      <c r="AC75" s="256">
        <f>SUM(EM[[#This Row],[27M04]:[27M06]])</f>
        <v>0</v>
      </c>
      <c r="AD75" s="256" t="str">
        <f>IF(SUM(EM[[#This Row],[26Q2]:[26Q4]])+SUM(EM[[#This Row],[27Q1]:[27Q2]])=0,"No FSCT",IF(AND(SUM(EM[[#This Row],[26Q2]:[26Q4]])&gt;0,SUM(EM[[#This Row],[27Q1]:[27Q2]])=0),"YES","NO"))</f>
        <v>YES</v>
      </c>
      <c r="AE75" s="85" t="str">
        <f>VLOOKUP(EM[[#This Row],[Product Line]],Prod_T6[],4,0)</f>
        <v>PV</v>
      </c>
      <c r="AF75" s="3"/>
      <c r="AG75" s="3"/>
      <c r="AH75" s="3" t="str">
        <v>0  - Lost</v>
      </c>
    </row>
    <row r="76" spans="1:34" ht="14.25" hidden="1" customHeight="1">
      <c r="A76" s="97" t="s">
        <v>85</v>
      </c>
      <c r="B76" s="87" t="s">
        <v>386</v>
      </c>
      <c r="C76" s="31"/>
      <c r="D76" s="2" t="str">
        <f>VLOOKUP(EM[[#This Row],[Product Line]],Prod_T6[],5,0)</f>
        <v>TCL</v>
      </c>
      <c r="E76" s="86" t="s">
        <v>54</v>
      </c>
      <c r="F76" s="86" t="s">
        <v>121</v>
      </c>
      <c r="G76" s="86" t="s">
        <v>634</v>
      </c>
      <c r="H76" s="87" t="s">
        <v>716</v>
      </c>
      <c r="I76" s="43" t="s">
        <v>117</v>
      </c>
      <c r="J76" s="13"/>
      <c r="K76" s="13"/>
      <c r="L76" s="13"/>
      <c r="M76" s="13">
        <v>1.6</v>
      </c>
      <c r="N76" s="13"/>
      <c r="O76" s="13"/>
      <c r="P76" s="13"/>
      <c r="Q76" s="13"/>
      <c r="R76" s="13"/>
      <c r="S76" s="32">
        <f>SUM(EM[[#This Row],[26M04]:[26M06]])</f>
        <v>0</v>
      </c>
      <c r="T76" s="69">
        <f>SUM(EM[[#This Row],[26M07]:[26M09]])</f>
        <v>1.6</v>
      </c>
      <c r="U76" s="69">
        <f>SUM(EM[[#This Row],[26M10]:[26M12]])</f>
        <v>0</v>
      </c>
      <c r="V76" s="256"/>
      <c r="W76" s="256"/>
      <c r="X76" s="256"/>
      <c r="Y76" s="256"/>
      <c r="Z76" s="256"/>
      <c r="AA76" s="256"/>
      <c r="AB76" s="256">
        <f>SUM(EM[[#This Row],[27M01]:[27M03]])</f>
        <v>0</v>
      </c>
      <c r="AC76" s="256">
        <f>SUM(EM[[#This Row],[27M04]:[27M06]])</f>
        <v>0</v>
      </c>
      <c r="AD76" s="256" t="str">
        <f>IF(SUM(EM[[#This Row],[26Q2]:[26Q4]])+SUM(EM[[#This Row],[27Q1]:[27Q2]])=0,"No FSCT",IF(AND(SUM(EM[[#This Row],[26Q2]:[26Q4]])&gt;0,SUM(EM[[#This Row],[27Q1]:[27Q2]])=0),"YES","NO"))</f>
        <v>YES</v>
      </c>
      <c r="AE76" s="85" t="str">
        <f>VLOOKUP(EM[[#This Row],[Product Line]],Prod_T6[],4,0)</f>
        <v>PV</v>
      </c>
      <c r="AF76" s="3"/>
      <c r="AG76" s="3"/>
      <c r="AH76" s="3" t="str">
        <v>0  - Lost</v>
      </c>
    </row>
    <row r="77" spans="1:34" ht="14.25" hidden="1" customHeight="1">
      <c r="A77" s="97" t="s">
        <v>174</v>
      </c>
      <c r="B77" s="87" t="s">
        <v>177</v>
      </c>
      <c r="C77" s="31"/>
      <c r="D77" s="2" t="str">
        <f>VLOOKUP(EM[[#This Row],[Product Line]],Prod_T6[],5,0)</f>
        <v>TCL</v>
      </c>
      <c r="E77" s="86" t="s">
        <v>113</v>
      </c>
      <c r="F77" s="86" t="s">
        <v>182</v>
      </c>
      <c r="G77" s="86" t="s">
        <v>115</v>
      </c>
      <c r="H77" s="87" t="s">
        <v>183</v>
      </c>
      <c r="I77" s="43" t="s">
        <v>132</v>
      </c>
      <c r="J77" s="13"/>
      <c r="K77" s="13"/>
      <c r="L77" s="13"/>
      <c r="M77" s="13"/>
      <c r="N77" s="13"/>
      <c r="O77" s="13"/>
      <c r="P77" s="13">
        <v>64</v>
      </c>
      <c r="Q77" s="13">
        <v>64</v>
      </c>
      <c r="R77" s="13"/>
      <c r="S77" s="32">
        <f>SUM(EM[[#This Row],[26M04]:[26M06]])</f>
        <v>0</v>
      </c>
      <c r="T77" s="69">
        <f>SUM(EM[[#This Row],[26M07]:[26M09]])</f>
        <v>0</v>
      </c>
      <c r="U77" s="69">
        <f>SUM(EM[[#This Row],[26M10]:[26M12]])</f>
        <v>128</v>
      </c>
      <c r="V77" s="256"/>
      <c r="W77" s="256"/>
      <c r="X77" s="256"/>
      <c r="Y77" s="256"/>
      <c r="Z77" s="256"/>
      <c r="AA77" s="256"/>
      <c r="AB77" s="256">
        <f>SUM(EM[[#This Row],[27M01]:[27M03]])</f>
        <v>0</v>
      </c>
      <c r="AC77" s="256">
        <f>SUM(EM[[#This Row],[27M04]:[27M06]])</f>
        <v>0</v>
      </c>
      <c r="AD77" s="256" t="str">
        <f>IF(SUM(EM[[#This Row],[26Q2]:[26Q4]])+SUM(EM[[#This Row],[27Q1]:[27Q2]])=0,"No FSCT",IF(AND(SUM(EM[[#This Row],[26Q2]:[26Q4]])&gt;0,SUM(EM[[#This Row],[27Q1]:[27Q2]])=0),"YES","NO"))</f>
        <v>YES</v>
      </c>
      <c r="AE77" s="85" t="str">
        <f>VLOOKUP(EM[[#This Row],[Product Line]],Prod_T6[],4,0)</f>
        <v>PV</v>
      </c>
      <c r="AF77" s="3"/>
      <c r="AG77" s="3"/>
      <c r="AH77" s="3" t="str">
        <v>2 - Initial offer</v>
      </c>
    </row>
    <row r="78" spans="1:34" ht="14.25" hidden="1" customHeight="1">
      <c r="A78" s="97" t="s">
        <v>174</v>
      </c>
      <c r="B78" s="87" t="s">
        <v>177</v>
      </c>
      <c r="C78" s="31"/>
      <c r="D78" s="2" t="str">
        <f>VLOOKUP(EM[[#This Row],[Product Line]],Prod_T6[],5,0)</f>
        <v>TCL</v>
      </c>
      <c r="E78" s="86" t="s">
        <v>54</v>
      </c>
      <c r="F78" s="86" t="s">
        <v>126</v>
      </c>
      <c r="G78" s="86" t="s">
        <v>115</v>
      </c>
      <c r="H78" s="87" t="s">
        <v>184</v>
      </c>
      <c r="I78" s="43" t="s">
        <v>132</v>
      </c>
      <c r="J78" s="13"/>
      <c r="K78" s="13"/>
      <c r="L78" s="13"/>
      <c r="M78" s="13"/>
      <c r="N78" s="13"/>
      <c r="O78" s="13"/>
      <c r="P78" s="13">
        <v>22</v>
      </c>
      <c r="Q78" s="13">
        <v>22</v>
      </c>
      <c r="R78" s="13"/>
      <c r="S78" s="32">
        <f>SUM(EM[[#This Row],[26M04]:[26M06]])</f>
        <v>0</v>
      </c>
      <c r="T78" s="69">
        <f>SUM(EM[[#This Row],[26M07]:[26M09]])</f>
        <v>0</v>
      </c>
      <c r="U78" s="69">
        <f>SUM(EM[[#This Row],[26M10]:[26M12]])</f>
        <v>44</v>
      </c>
      <c r="V78" s="256"/>
      <c r="W78" s="256"/>
      <c r="X78" s="256"/>
      <c r="Y78" s="256"/>
      <c r="Z78" s="256"/>
      <c r="AA78" s="256"/>
      <c r="AB78" s="256">
        <f>SUM(EM[[#This Row],[27M01]:[27M03]])</f>
        <v>0</v>
      </c>
      <c r="AC78" s="256">
        <f>SUM(EM[[#This Row],[27M04]:[27M06]])</f>
        <v>0</v>
      </c>
      <c r="AD78" s="256" t="str">
        <f>IF(SUM(EM[[#This Row],[26Q2]:[26Q4]])+SUM(EM[[#This Row],[27Q1]:[27Q2]])=0,"No FSCT",IF(AND(SUM(EM[[#This Row],[26Q2]:[26Q4]])&gt;0,SUM(EM[[#This Row],[27Q1]:[27Q2]])=0),"YES","NO"))</f>
        <v>YES</v>
      </c>
      <c r="AE78" s="85" t="str">
        <f>VLOOKUP(EM[[#This Row],[Product Line]],Prod_T6[],4,0)</f>
        <v>PV</v>
      </c>
      <c r="AF78" s="3"/>
      <c r="AG78" s="3"/>
      <c r="AH78" s="3" t="str">
        <v>2 - Initial offer</v>
      </c>
    </row>
    <row r="79" spans="1:34" ht="14.25" customHeight="1">
      <c r="A79" s="97" t="s">
        <v>85</v>
      </c>
      <c r="B79" s="87" t="s">
        <v>379</v>
      </c>
      <c r="C79" s="31"/>
      <c r="D79" s="2" t="str">
        <f>VLOOKUP(EM[[#This Row],[Product Line]],Prod_T6[],5,0)</f>
        <v>TCL</v>
      </c>
      <c r="E79" s="86" t="s">
        <v>54</v>
      </c>
      <c r="F79" s="86" t="s">
        <v>129</v>
      </c>
      <c r="G79" s="86" t="s">
        <v>120</v>
      </c>
      <c r="H79" s="87" t="s">
        <v>380</v>
      </c>
      <c r="I79" s="43" t="s">
        <v>117</v>
      </c>
      <c r="J79" s="13"/>
      <c r="K79" s="13"/>
      <c r="L79" s="13"/>
      <c r="M79" s="13">
        <v>0.4</v>
      </c>
      <c r="N79" s="13"/>
      <c r="O79" s="13"/>
      <c r="P79" s="13"/>
      <c r="Q79" s="13"/>
      <c r="R79" s="13"/>
      <c r="S79" s="32">
        <f>SUM(EM[[#This Row],[26M04]:[26M06]])</f>
        <v>0</v>
      </c>
      <c r="T79" s="69">
        <f>SUM(EM[[#This Row],[26M07]:[26M09]])</f>
        <v>0.4</v>
      </c>
      <c r="U79" s="69">
        <f>SUM(EM[[#This Row],[26M10]:[26M12]])</f>
        <v>0</v>
      </c>
      <c r="V79" s="256"/>
      <c r="W79" s="256"/>
      <c r="X79" s="256"/>
      <c r="Y79" s="256"/>
      <c r="Z79" s="256"/>
      <c r="AA79" s="256"/>
      <c r="AB79" s="256">
        <f>SUM(EM[[#This Row],[27M01]:[27M03]])</f>
        <v>0</v>
      </c>
      <c r="AC79" s="256">
        <f>SUM(EM[[#This Row],[27M04]:[27M06]])</f>
        <v>0</v>
      </c>
      <c r="AD79" s="256" t="str">
        <f>IF(SUM(EM[[#This Row],[26Q2]:[26Q4]])+SUM(EM[[#This Row],[27Q1]:[27Q2]])=0,"No FSCT",IF(AND(SUM(EM[[#This Row],[26Q2]:[26Q4]])&gt;0,SUM(EM[[#This Row],[27Q1]:[27Q2]])=0),"YES","NO"))</f>
        <v>YES</v>
      </c>
      <c r="AE79" s="85" t="str">
        <f>VLOOKUP(EM[[#This Row],[Product Line]],Prod_T6[],4,0)</f>
        <v>PV</v>
      </c>
      <c r="AF79" s="3"/>
      <c r="AG79" s="3"/>
      <c r="AH79" s="3" t="str">
        <v>5 - Finalize contract</v>
      </c>
    </row>
    <row r="80" spans="1:34" ht="14.25" customHeight="1">
      <c r="A80" s="97" t="s">
        <v>85</v>
      </c>
      <c r="B80" s="87" t="s">
        <v>379</v>
      </c>
      <c r="C80" s="31"/>
      <c r="D80" s="2" t="str">
        <f>VLOOKUP(EM[[#This Row],[Product Line]],Prod_T6[],5,0)</f>
        <v>TCL</v>
      </c>
      <c r="E80" s="86" t="s">
        <v>54</v>
      </c>
      <c r="F80" s="86" t="s">
        <v>160</v>
      </c>
      <c r="G80" s="86" t="s">
        <v>120</v>
      </c>
      <c r="H80" s="87" t="s">
        <v>383</v>
      </c>
      <c r="I80" s="43" t="s">
        <v>117</v>
      </c>
      <c r="J80" s="13"/>
      <c r="K80" s="13"/>
      <c r="L80" s="13"/>
      <c r="M80" s="13">
        <v>0.4</v>
      </c>
      <c r="N80" s="13"/>
      <c r="O80" s="13"/>
      <c r="P80" s="13"/>
      <c r="Q80" s="13"/>
      <c r="R80" s="13"/>
      <c r="S80" s="32">
        <f>SUM(EM[[#This Row],[26M04]:[26M06]])</f>
        <v>0</v>
      </c>
      <c r="T80" s="69">
        <f>SUM(EM[[#This Row],[26M07]:[26M09]])</f>
        <v>0.4</v>
      </c>
      <c r="U80" s="69">
        <f>SUM(EM[[#This Row],[26M10]:[26M12]])</f>
        <v>0</v>
      </c>
      <c r="V80" s="256"/>
      <c r="W80" s="256"/>
      <c r="X80" s="256"/>
      <c r="Y80" s="256"/>
      <c r="Z80" s="256"/>
      <c r="AA80" s="256"/>
      <c r="AB80" s="256">
        <f>SUM(EM[[#This Row],[27M01]:[27M03]])</f>
        <v>0</v>
      </c>
      <c r="AC80" s="256">
        <f>SUM(EM[[#This Row],[27M04]:[27M06]])</f>
        <v>0</v>
      </c>
      <c r="AD80" s="256" t="str">
        <f>IF(SUM(EM[[#This Row],[26Q2]:[26Q4]])+SUM(EM[[#This Row],[27Q1]:[27Q2]])=0,"No FSCT",IF(AND(SUM(EM[[#This Row],[26Q2]:[26Q4]])&gt;0,SUM(EM[[#This Row],[27Q1]:[27Q2]])=0),"YES","NO"))</f>
        <v>YES</v>
      </c>
      <c r="AE80" s="85" t="str">
        <f>VLOOKUP(EM[[#This Row],[Product Line]],Prod_T6[],4,0)</f>
        <v>PV</v>
      </c>
      <c r="AF80" s="3"/>
      <c r="AG80" s="3"/>
      <c r="AH80" s="3" t="str">
        <v>5 - Finalize contract</v>
      </c>
    </row>
    <row r="81" spans="1:34" ht="14.25" customHeight="1">
      <c r="A81" s="3"/>
      <c r="B81" s="38"/>
      <c r="C81" s="3"/>
      <c r="D81" s="3"/>
      <c r="E81" s="3"/>
      <c r="F81" s="38"/>
      <c r="G81" s="38"/>
      <c r="H81" s="119" t="s">
        <v>638</v>
      </c>
      <c r="I81" s="118"/>
      <c r="J81" s="196">
        <f>SUBTOTAL(9,EM[26M04])</f>
        <v>14</v>
      </c>
      <c r="K81" s="197">
        <f>SUBTOTAL(9,EM[26M05])</f>
        <v>22.199999999999992</v>
      </c>
      <c r="L81" s="198">
        <f>SUBTOTAL(9,EM[26M06])</f>
        <v>15</v>
      </c>
      <c r="M81" s="196">
        <f>SUBTOTAL(9,EM[26M07])</f>
        <v>8.8000000000000007</v>
      </c>
      <c r="N81" s="197">
        <f>SUBTOTAL(9,EM[26M08])</f>
        <v>16</v>
      </c>
      <c r="O81" s="198">
        <f>SUBTOTAL(9,EM[26M09])</f>
        <v>10</v>
      </c>
      <c r="P81" s="196">
        <f>SUBTOTAL(9,EM[26M10])</f>
        <v>17</v>
      </c>
      <c r="Q81" s="197">
        <f>SUBTOTAL(9,EM[26M11])</f>
        <v>25</v>
      </c>
      <c r="R81" s="198">
        <f>SUBTOTAL(9,EM[26M12])</f>
        <v>0</v>
      </c>
      <c r="S81" s="199">
        <f>SUBTOTAL(9,EM[26Q2])</f>
        <v>51.20000000000001</v>
      </c>
      <c r="T81" s="199">
        <f>SUBTOTAL(9,EM[26Q3])</f>
        <v>34.799999999999997</v>
      </c>
      <c r="U81" s="199">
        <f>SUBTOTAL(9,EM[26Q4])</f>
        <v>42</v>
      </c>
      <c r="V81" s="257"/>
      <c r="W81" s="257"/>
      <c r="X81" s="257"/>
      <c r="Y81" s="257"/>
      <c r="Z81" s="257"/>
      <c r="AA81" s="257"/>
      <c r="AB81" s="257"/>
      <c r="AC81" s="257"/>
      <c r="AD81" s="257"/>
      <c r="AE81" s="3"/>
      <c r="AF81" s="3"/>
      <c r="AG81" s="3"/>
      <c r="AH81" s="3"/>
    </row>
  </sheetData>
  <phoneticPr fontId="58" type="noConversion"/>
  <dataValidations count="4">
    <dataValidation type="list" allowBlank="1" showInputMessage="1" showErrorMessage="1" sqref="E6:E80" xr:uid="{03E0FACF-C566-4E38-8E20-3E2BA792E1BD}">
      <formula1>Product_List</formula1>
    </dataValidation>
    <dataValidation type="list" allowBlank="1" showInputMessage="1" showErrorMessage="1" sqref="G6:G80" xr:uid="{F2A23A71-CA15-4874-AF44-50819DA768B0}">
      <formula1>Stage_List</formula1>
    </dataValidation>
    <dataValidation allowBlank="1" showInputMessage="1" showErrorMessage="1" sqref="A6:B80" xr:uid="{D5D49FC1-17D7-41A7-844F-D0365F9C6228}"/>
    <dataValidation type="list" allowBlank="1" showInputMessage="1" showErrorMessage="1" sqref="F6:F80" xr:uid="{A78BCBCD-272B-44C6-B05E-BEE2CE76970C}">
      <formula1>INDIRECT(E6)</formula1>
    </dataValidation>
  </dataValidations>
  <pageMargins left="0.70866141732283505" right="0.70866141732283505" top="0.74803149606299202" bottom="0.74803149606299202" header="0.31496062992126" footer="0.31496062992126"/>
  <pageSetup paperSize="9" scale="46" orientation="landscape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FF850-765B-4503-AB51-82E9A076A97F}">
  <sheetPr codeName="Sheet10">
    <tabColor rgb="FF00B050"/>
    <pageSetUpPr fitToPage="1"/>
  </sheetPr>
  <dimension ref="A1:AH33"/>
  <sheetViews>
    <sheetView topLeftCell="G1" zoomScale="85" zoomScaleNormal="85" workbookViewId="0">
      <selection activeCell="AC3" sqref="AC3"/>
    </sheetView>
  </sheetViews>
  <sheetFormatPr defaultColWidth="8.08984375" defaultRowHeight="14.25" customHeight="1" outlineLevelCol="1"/>
  <cols>
    <col min="1" max="1" width="9.36328125" style="2" customWidth="1"/>
    <col min="2" max="2" width="15.90625" style="1" customWidth="1"/>
    <col min="3" max="3" width="10.36328125" style="2" customWidth="1"/>
    <col min="4" max="4" width="10.36328125" style="1" bestFit="1" customWidth="1"/>
    <col min="5" max="5" width="15.90625" style="4" bestFit="1" customWidth="1"/>
    <col min="6" max="6" width="19.90625" style="2" customWidth="1"/>
    <col min="7" max="7" width="16.08984375" style="2" bestFit="1" customWidth="1" outlineLevel="1"/>
    <col min="8" max="8" width="44.6328125" style="2" bestFit="1" customWidth="1" outlineLevel="1"/>
    <col min="9" max="9" width="16.36328125" style="2" bestFit="1" customWidth="1" outlineLevel="1"/>
    <col min="10" max="14" width="11.08984375" style="2" bestFit="1" customWidth="1" outlineLevel="1"/>
    <col min="15" max="17" width="11.08984375" style="5" bestFit="1" customWidth="1"/>
    <col min="18" max="18" width="11.08984375" style="2" bestFit="1" customWidth="1"/>
    <col min="19" max="21" width="11.36328125" style="2" bestFit="1" customWidth="1"/>
    <col min="22" max="27" width="12.7265625" style="2" bestFit="1" customWidth="1"/>
    <col min="28" max="29" width="11.36328125" style="2" bestFit="1" customWidth="1"/>
    <col min="30" max="30" width="16.7265625" style="2" bestFit="1" customWidth="1"/>
    <col min="31" max="31" width="19.90625" style="2" bestFit="1" customWidth="1"/>
    <col min="32" max="33" width="8.08984375" style="2"/>
    <col min="34" max="34" width="16.08984375" style="2" bestFit="1" customWidth="1"/>
    <col min="35" max="16384" width="8.08984375" style="2"/>
  </cols>
  <sheetData>
    <row r="1" spans="1:34" ht="14.25" customHeight="1">
      <c r="A1" s="3"/>
      <c r="B1" s="3"/>
      <c r="C1" s="3"/>
      <c r="D1" s="3"/>
      <c r="E1" s="3"/>
      <c r="F1" s="38"/>
      <c r="G1" s="38" t="s">
        <v>622</v>
      </c>
      <c r="H1" s="38"/>
      <c r="I1" s="34"/>
      <c r="J1" s="2" t="s">
        <v>623</v>
      </c>
      <c r="K1" s="2" t="s">
        <v>623</v>
      </c>
      <c r="L1" s="2" t="s">
        <v>623</v>
      </c>
      <c r="M1" s="2" t="s">
        <v>623</v>
      </c>
      <c r="N1" s="2" t="s">
        <v>623</v>
      </c>
      <c r="O1" s="2" t="s">
        <v>623</v>
      </c>
      <c r="P1" s="2" t="s">
        <v>623</v>
      </c>
      <c r="Q1" s="2" t="s">
        <v>623</v>
      </c>
      <c r="R1" s="2" t="s">
        <v>623</v>
      </c>
      <c r="S1" s="2" t="s">
        <v>623</v>
      </c>
      <c r="T1" s="2" t="s">
        <v>623</v>
      </c>
      <c r="U1" s="2" t="s">
        <v>623</v>
      </c>
      <c r="V1" s="2" t="s">
        <v>623</v>
      </c>
      <c r="W1" s="2" t="s">
        <v>623</v>
      </c>
      <c r="X1" s="2" t="s">
        <v>623</v>
      </c>
      <c r="Y1" s="2" t="s">
        <v>623</v>
      </c>
      <c r="Z1" s="2" t="s">
        <v>623</v>
      </c>
      <c r="AA1" s="2" t="s">
        <v>623</v>
      </c>
      <c r="AB1" s="2" t="s">
        <v>623</v>
      </c>
      <c r="AC1" s="2" t="s">
        <v>623</v>
      </c>
      <c r="AE1" s="3"/>
      <c r="AF1" s="3"/>
      <c r="AG1" s="3"/>
      <c r="AH1" s="3"/>
    </row>
    <row r="2" spans="1:34" ht="14.25" customHeight="1">
      <c r="A2" s="3"/>
      <c r="B2" s="3"/>
      <c r="C2" s="3"/>
      <c r="D2" s="3"/>
      <c r="E2" s="3"/>
      <c r="F2" s="38"/>
      <c r="G2" s="38" t="s">
        <v>27</v>
      </c>
      <c r="H2" s="49"/>
      <c r="I2" s="63"/>
      <c r="J2" s="195" cm="1">
        <f t="array" aca="1" ref="J2" ca="1">SUMPRODUCT((IT[Product Category]=$G2)*SUBTOTAL(109,OFFSET(INDEX(IT[26M04],1),ROW(IT[26M04])-MIN(ROW(IT[26M04])),0,1)))</f>
        <v>315</v>
      </c>
      <c r="K2" s="195" cm="1">
        <f t="array" aca="1" ref="K2" ca="1">SUMPRODUCT((IT[Product Category]=$G2)*SUBTOTAL(109,OFFSET(INDEX(IT[26M05],1),ROW(IT[26M05])-MIN(ROW(IT[26M05])),0,1)))</f>
        <v>380</v>
      </c>
      <c r="L2" s="195" cm="1">
        <f t="array" aca="1" ref="L2" ca="1">SUMPRODUCT((IT[Product Category]=$G2)*SUBTOTAL(109,OFFSET(INDEX(IT[26M06],1),ROW(IT[26M06])-MIN(ROW(IT[26M06])),0,1)))</f>
        <v>533</v>
      </c>
      <c r="M2" s="195" cm="1">
        <f t="array" aca="1" ref="M2" ca="1">SUMPRODUCT((IT[Product Category]=$G2)*SUBTOTAL(109,OFFSET(INDEX(IT[26M07],1),ROW(IT[26M07])-MIN(ROW(IT[26M07])),0,1)))</f>
        <v>792</v>
      </c>
      <c r="N2" s="195" cm="1">
        <f t="array" aca="1" ref="N2" ca="1">SUMPRODUCT((IT[Product Category]=$G2)*SUBTOTAL(109,OFFSET(INDEX(IT[26M08],1),ROW(IT[26M08])-MIN(ROW(IT[26M08])),0,1)))</f>
        <v>422</v>
      </c>
      <c r="O2" s="195" cm="1">
        <f t="array" aca="1" ref="O2" ca="1">SUMPRODUCT((IT[Product Category]=$G2)*SUBTOTAL(109,OFFSET(INDEX(IT[26M09],1),ROW(IT[26M09])-MIN(ROW(IT[26M09])),0,1)))</f>
        <v>762</v>
      </c>
      <c r="P2" s="195" cm="1">
        <f t="array" aca="1" ref="P2" ca="1">SUMPRODUCT((IT[Product Category]=$G2)*SUBTOTAL(109,OFFSET(INDEX(IT[26M10],1),ROW(IT[26M10])-MIN(ROW(IT[26M10])),0,1)))</f>
        <v>694</v>
      </c>
      <c r="Q2" s="195" cm="1">
        <f t="array" aca="1" ref="Q2" ca="1">SUMPRODUCT((IT[Product Category]=$G2)*SUBTOTAL(109,OFFSET(INDEX(IT[26M11],1),ROW(IT[26M11])-MIN(ROW(IT[26M11])),0,1)))</f>
        <v>854</v>
      </c>
      <c r="R2" s="195" cm="1">
        <f t="array" aca="1" ref="R2" ca="1">SUMPRODUCT((IT[Product Category]=$G2)*SUBTOTAL(109,OFFSET(INDEX(IT[26M12],1),ROW(IT[26M12])-MIN(ROW(IT[26M12])),0,1)))</f>
        <v>946</v>
      </c>
      <c r="S2" s="195" cm="1">
        <f t="array" aca="1" ref="S2" ca="1">SUMPRODUCT((IT[Product Category]=$G2)*SUBTOTAL(109,OFFSET(INDEX(IT[26Q2],1),ROW(IT[26Q2])-MIN(ROW(IT[26Q2])),0,1)))</f>
        <v>1153</v>
      </c>
      <c r="T2" s="195" cm="1">
        <f t="array" aca="1" ref="T2" ca="1">SUMPRODUCT((IT[Product Category]=$G2)*SUBTOTAL(109,OFFSET(INDEX(IT[26Q3],1),ROW(IT[26Q3])-MIN(ROW(IT[26Q3])),0,1)))</f>
        <v>1976</v>
      </c>
      <c r="U2" s="195" cm="1">
        <f t="array" aca="1" ref="U2" ca="1">SUMPRODUCT((IT[Product Category]=$G2)*SUBTOTAL(109,OFFSET(INDEX(IT[26Q4],1),ROW(IT[26Q4])-MIN(ROW(IT[26Q4])),0,1)))</f>
        <v>2494</v>
      </c>
      <c r="V2" s="195" cm="1">
        <f t="array" aca="1" ref="V2" ca="1">SUMPRODUCT((IT[Product Category]=$G2)*SUBTOTAL(109,OFFSET(INDEX(IT[27M01],1),ROW(IT[27M01])-MIN(ROW(IT[27M01])),0,1)))</f>
        <v>0</v>
      </c>
      <c r="W2" s="195" cm="1">
        <f t="array" aca="1" ref="W2" ca="1">SUMPRODUCT((IT[Product Category]=$G2)*SUBTOTAL(109,OFFSET(INDEX(IT[27M02],1),ROW(IT[27M02])-MIN(ROW(IT[27M02])),0,1)))</f>
        <v>0</v>
      </c>
      <c r="X2" s="195" cm="1">
        <f t="array" aca="1" ref="X2" ca="1">SUMPRODUCT((IT[Product Category]=$G2)*SUBTOTAL(109,OFFSET(INDEX(IT[27M03],1),ROW(IT[27M03])-MIN(ROW(IT[27M03])),0,1)))</f>
        <v>0</v>
      </c>
      <c r="Y2" s="195" cm="1">
        <f t="array" aca="1" ref="Y2" ca="1">SUMPRODUCT((IT[Product Category]=$G2)*SUBTOTAL(109,OFFSET(INDEX(IT[27M04],1),ROW(IT[27M04])-MIN(ROW(IT[27M04])),0,1)))</f>
        <v>0</v>
      </c>
      <c r="Z2" s="195" cm="1">
        <f t="array" aca="1" ref="Z2" ca="1">SUMPRODUCT((IT[Product Category]=$G2)*SUBTOTAL(109,OFFSET(INDEX(IT[27M05],1),ROW(IT[27M05])-MIN(ROW(IT[27M05])),0,1)))</f>
        <v>0</v>
      </c>
      <c r="AA2" s="195" cm="1">
        <f t="array" aca="1" ref="AA2" ca="1">SUMPRODUCT((IT[Product Category]=$G2)*SUBTOTAL(109,OFFSET(INDEX(IT[27M06],1),ROW(IT[27M06])-MIN(ROW(IT[27M06])),0,1)))</f>
        <v>0</v>
      </c>
      <c r="AB2" s="195" cm="1">
        <f t="array" aca="1" ref="AB2" ca="1">SUMPRODUCT((IT[Product Category]=$G2)*SUBTOTAL(109,OFFSET(INDEX(IT[27Q1],1),ROW(IT[27Q1])-MIN(ROW(IT[27Q1])),0,1)))</f>
        <v>0</v>
      </c>
      <c r="AC2" s="195" cm="1">
        <f t="array" aca="1" ref="AC2" ca="1">SUMPRODUCT((IT[Product Category]=$G2)*SUBTOTAL(109,OFFSET(INDEX(IT[27Q2],1),ROW(IT[27Q2])-MIN(ROW(IT[27Q2])),0,1)))</f>
        <v>0</v>
      </c>
      <c r="AD2" s="255"/>
      <c r="AE2" s="3"/>
      <c r="AF2" s="3"/>
      <c r="AG2" s="3"/>
      <c r="AH2" s="3"/>
    </row>
    <row r="3" spans="1:34" ht="14.25" customHeight="1">
      <c r="A3" s="3"/>
      <c r="B3" s="3"/>
      <c r="C3" s="3"/>
      <c r="D3" s="3"/>
      <c r="E3" s="3"/>
      <c r="F3" s="38"/>
      <c r="G3" s="38" t="s">
        <v>87</v>
      </c>
      <c r="H3" s="49"/>
      <c r="I3" s="63"/>
      <c r="J3" s="195" cm="1">
        <f t="array" aca="1" ref="J3" ca="1">SUMPRODUCT((IT[Product Category]=$G3)*SUBTOTAL(109,OFFSET(INDEX(IT[26M04],1),ROW(IT[26M04])-MIN(ROW(IT[26M04])),0,1)))</f>
        <v>0</v>
      </c>
      <c r="K3" s="195" cm="1">
        <f t="array" aca="1" ref="K3" ca="1">SUMPRODUCT((IT[Product Category]=$G3)*SUBTOTAL(109,OFFSET(INDEX(IT[26M05],1),ROW(IT[26M05])-MIN(ROW(IT[26M05])),0,1)))</f>
        <v>0</v>
      </c>
      <c r="L3" s="195" cm="1">
        <f t="array" aca="1" ref="L3" ca="1">SUMPRODUCT((IT[Product Category]=$G3)*SUBTOTAL(109,OFFSET(INDEX(IT[26M06],1),ROW(IT[26M06])-MIN(ROW(IT[26M06])),0,1)))</f>
        <v>0</v>
      </c>
      <c r="M3" s="195" cm="1">
        <f t="array" aca="1" ref="M3" ca="1">SUMPRODUCT((IT[Product Category]=$G3)*SUBTOTAL(109,OFFSET(INDEX(IT[26M07],1),ROW(IT[26M07])-MIN(ROW(IT[26M07])),0,1)))</f>
        <v>0</v>
      </c>
      <c r="N3" s="195" cm="1">
        <f t="array" aca="1" ref="N3" ca="1">SUMPRODUCT((IT[Product Category]=$G3)*SUBTOTAL(109,OFFSET(INDEX(IT[26M08],1),ROW(IT[26M08])-MIN(ROW(IT[26M08])),0,1)))</f>
        <v>0</v>
      </c>
      <c r="O3" s="195" cm="1">
        <f t="array" aca="1" ref="O3" ca="1">SUMPRODUCT((IT[Product Category]=$G3)*SUBTOTAL(109,OFFSET(INDEX(IT[26M09],1),ROW(IT[26M09])-MIN(ROW(IT[26M09])),0,1)))</f>
        <v>0</v>
      </c>
      <c r="P3" s="195" cm="1">
        <f t="array" aca="1" ref="P3" ca="1">SUMPRODUCT((IT[Product Category]=$G3)*SUBTOTAL(109,OFFSET(INDEX(IT[26M10],1),ROW(IT[26M10])-MIN(ROW(IT[26M10])),0,1)))</f>
        <v>0</v>
      </c>
      <c r="Q3" s="195" cm="1">
        <f t="array" aca="1" ref="Q3" ca="1">SUMPRODUCT((IT[Product Category]=$G3)*SUBTOTAL(109,OFFSET(INDEX(IT[26M11],1),ROW(IT[26M11])-MIN(ROW(IT[26M11])),0,1)))</f>
        <v>0</v>
      </c>
      <c r="R3" s="195" cm="1">
        <f t="array" aca="1" ref="R3" ca="1">SUMPRODUCT((IT[Product Category]=$G3)*SUBTOTAL(109,OFFSET(INDEX(IT[26M12],1),ROW(IT[26M12])-MIN(ROW(IT[26M12])),0,1)))</f>
        <v>0</v>
      </c>
      <c r="S3" s="195" cm="1">
        <f t="array" aca="1" ref="S3" ca="1">SUMPRODUCT((IT[Product Category]=$G3)*SUBTOTAL(109,OFFSET(INDEX(IT[26Q2],1),ROW(IT[26Q2])-MIN(ROW(IT[26Q2])),0,1)))</f>
        <v>0</v>
      </c>
      <c r="T3" s="195" cm="1">
        <f t="array" aca="1" ref="T3" ca="1">SUMPRODUCT((IT[Product Category]=$G3)*SUBTOTAL(109,OFFSET(INDEX(IT[26Q3],1),ROW(IT[26Q3])-MIN(ROW(IT[26Q3])),0,1)))</f>
        <v>0</v>
      </c>
      <c r="U3" s="195" cm="1">
        <f t="array" aca="1" ref="U3" ca="1">SUMPRODUCT((IT[Product Category]=$G3)*SUBTOTAL(109,OFFSET(INDEX(IT[26Q4],1),ROW(IT[26Q4])-MIN(ROW(IT[26Q4])),0,1)))</f>
        <v>0</v>
      </c>
      <c r="V3" s="195" cm="1">
        <f t="array" aca="1" ref="V3" ca="1">SUMPRODUCT((IT[Product Category]=$G3)*SUBTOTAL(109,OFFSET(INDEX(IT[27M01],1),ROW(IT[27M01])-MIN(ROW(IT[27M01])),0,1)))</f>
        <v>0</v>
      </c>
      <c r="W3" s="195" cm="1">
        <f t="array" aca="1" ref="W3" ca="1">SUMPRODUCT((IT[Product Category]=$G3)*SUBTOTAL(109,OFFSET(INDEX(IT[27M02],1),ROW(IT[27M02])-MIN(ROW(IT[27M02])),0,1)))</f>
        <v>0</v>
      </c>
      <c r="X3" s="195" cm="1">
        <f t="array" aca="1" ref="X3" ca="1">SUMPRODUCT((IT[Product Category]=$G3)*SUBTOTAL(109,OFFSET(INDEX(IT[27M03],1),ROW(IT[27M03])-MIN(ROW(IT[27M03])),0,1)))</f>
        <v>0</v>
      </c>
      <c r="Y3" s="195" cm="1">
        <f t="array" aca="1" ref="Y3" ca="1">SUMPRODUCT((IT[Product Category]=$G3)*SUBTOTAL(109,OFFSET(INDEX(IT[27M04],1),ROW(IT[27M04])-MIN(ROW(IT[27M04])),0,1)))</f>
        <v>0</v>
      </c>
      <c r="Z3" s="195" cm="1">
        <f t="array" aca="1" ref="Z3" ca="1">SUMPRODUCT((IT[Product Category]=$G3)*SUBTOTAL(109,OFFSET(INDEX(IT[27M05],1),ROW(IT[27M05])-MIN(ROW(IT[27M05])),0,1)))</f>
        <v>0</v>
      </c>
      <c r="AA3" s="195" cm="1">
        <f t="array" aca="1" ref="AA3" ca="1">SUMPRODUCT((IT[Product Category]=$G3)*SUBTOTAL(109,OFFSET(INDEX(IT[27M06],1),ROW(IT[27M06])-MIN(ROW(IT[27M06])),0,1)))</f>
        <v>0</v>
      </c>
      <c r="AB3" s="195" cm="1">
        <f t="array" aca="1" ref="AB3" ca="1">SUMPRODUCT((IT[Product Category]=$G3)*SUBTOTAL(109,OFFSET(INDEX(IT[27Q1],1),ROW(IT[27Q1])-MIN(ROW(IT[27Q1])),0,1)))</f>
        <v>0</v>
      </c>
      <c r="AC3" s="195" cm="1">
        <f t="array" aca="1" ref="AC3" ca="1">SUMPRODUCT((IT[Product Category]=$G3)*SUBTOTAL(109,OFFSET(INDEX(IT[27Q2],1),ROW(IT[27Q2])-MIN(ROW(IT[27Q2])),0,1)))</f>
        <v>0</v>
      </c>
      <c r="AD3" s="255"/>
      <c r="AE3" s="3"/>
      <c r="AF3" s="3"/>
      <c r="AG3" s="3"/>
      <c r="AH3" s="3"/>
    </row>
    <row r="4" spans="1:34" ht="14.25" customHeight="1">
      <c r="A4" s="3"/>
      <c r="B4" s="3"/>
      <c r="C4" s="3"/>
      <c r="D4" s="3"/>
      <c r="E4" s="3"/>
      <c r="F4" s="3"/>
      <c r="G4" s="38" t="s">
        <v>70</v>
      </c>
      <c r="H4" s="49"/>
      <c r="I4" s="64"/>
      <c r="J4" s="195" cm="1">
        <f t="array" aca="1" ref="J4" ca="1">SUMPRODUCT((IT[Product Category]=$G4)*SUBTOTAL(109,OFFSET(INDEX(IT[26M04],1),ROW(IT[26M04])-MIN(ROW(IT[26M04])),0,1)))</f>
        <v>36</v>
      </c>
      <c r="K4" s="195" cm="1">
        <f t="array" aca="1" ref="K4" ca="1">SUMPRODUCT((IT[Product Category]=$G4)*SUBTOTAL(109,OFFSET(INDEX(IT[26M05],1),ROW(IT[26M05])-MIN(ROW(IT[26M05])),0,1)))</f>
        <v>66</v>
      </c>
      <c r="L4" s="195" cm="1">
        <f t="array" aca="1" ref="L4" ca="1">SUMPRODUCT((IT[Product Category]=$G4)*SUBTOTAL(109,OFFSET(INDEX(IT[26M06],1),ROW(IT[26M06])-MIN(ROW(IT[26M06])),0,1)))</f>
        <v>55</v>
      </c>
      <c r="M4" s="195" cm="1">
        <f t="array" aca="1" ref="M4" ca="1">SUMPRODUCT((IT[Product Category]=$G4)*SUBTOTAL(109,OFFSET(INDEX(IT[26M07],1),ROW(IT[26M07])-MIN(ROW(IT[26M07])),0,1)))</f>
        <v>63</v>
      </c>
      <c r="N4" s="195" cm="1">
        <f t="array" aca="1" ref="N4" ca="1">SUMPRODUCT((IT[Product Category]=$G4)*SUBTOTAL(109,OFFSET(INDEX(IT[26M08],1),ROW(IT[26M08])-MIN(ROW(IT[26M08])),0,1)))</f>
        <v>22.6</v>
      </c>
      <c r="O4" s="195" cm="1">
        <f t="array" aca="1" ref="O4" ca="1">SUMPRODUCT((IT[Product Category]=$G4)*SUBTOTAL(109,OFFSET(INDEX(IT[26M09],1),ROW(IT[26M09])-MIN(ROW(IT[26M09])),0,1)))</f>
        <v>93</v>
      </c>
      <c r="P4" s="195" cm="1">
        <f t="array" aca="1" ref="P4" ca="1">SUMPRODUCT((IT[Product Category]=$G4)*SUBTOTAL(109,OFFSET(INDEX(IT[26M10],1),ROW(IT[26M10])-MIN(ROW(IT[26M10])),0,1)))</f>
        <v>56</v>
      </c>
      <c r="Q4" s="195" cm="1">
        <f t="array" aca="1" ref="Q4" ca="1">SUMPRODUCT((IT[Product Category]=$G4)*SUBTOTAL(109,OFFSET(INDEX(IT[26M11],1),ROW(IT[26M11])-MIN(ROW(IT[26M11])),0,1)))</f>
        <v>76</v>
      </c>
      <c r="R4" s="195" cm="1">
        <f t="array" aca="1" ref="R4" ca="1">SUMPRODUCT((IT[Product Category]=$G4)*SUBTOTAL(109,OFFSET(INDEX(IT[26M12],1),ROW(IT[26M12])-MIN(ROW(IT[26M12])),0,1)))</f>
        <v>35</v>
      </c>
      <c r="S4" s="195" cm="1">
        <f t="array" aca="1" ref="S4" ca="1">SUMPRODUCT((IT[Product Category]=$G4)*SUBTOTAL(109,OFFSET(INDEX(IT[26Q2],1),ROW(IT[26Q2])-MIN(ROW(IT[26Q2])),0,1)))</f>
        <v>126</v>
      </c>
      <c r="T4" s="195" cm="1">
        <f t="array" aca="1" ref="T4" ca="1">SUMPRODUCT((IT[Product Category]=$G4)*SUBTOTAL(109,OFFSET(INDEX(IT[26Q3],1),ROW(IT[26Q3])-MIN(ROW(IT[26Q3])),0,1)))</f>
        <v>178.60000000000002</v>
      </c>
      <c r="U4" s="195" cm="1">
        <f t="array" aca="1" ref="U4" ca="1">SUMPRODUCT((IT[Product Category]=$G4)*SUBTOTAL(109,OFFSET(INDEX(IT[26Q4],1),ROW(IT[26Q4])-MIN(ROW(IT[26Q4])),0,1)))</f>
        <v>167</v>
      </c>
      <c r="V4" s="195" cm="1">
        <f t="array" aca="1" ref="V4" ca="1">SUMPRODUCT((IT[Product Category]=$G4)*SUBTOTAL(109,OFFSET(INDEX(IT[27M01],1),ROW(IT[27M01])-MIN(ROW(IT[27M01])),0,1)))</f>
        <v>0</v>
      </c>
      <c r="W4" s="195" cm="1">
        <f t="array" aca="1" ref="W4" ca="1">SUMPRODUCT((IT[Product Category]=$G4)*SUBTOTAL(109,OFFSET(INDEX(IT[27M02],1),ROW(IT[27M02])-MIN(ROW(IT[27M02])),0,1)))</f>
        <v>0</v>
      </c>
      <c r="X4" s="195" cm="1">
        <f t="array" aca="1" ref="X4" ca="1">SUMPRODUCT((IT[Product Category]=$G4)*SUBTOTAL(109,OFFSET(INDEX(IT[27M03],1),ROW(IT[27M03])-MIN(ROW(IT[27M03])),0,1)))</f>
        <v>0</v>
      </c>
      <c r="Y4" s="195" cm="1">
        <f t="array" aca="1" ref="Y4" ca="1">SUMPRODUCT((IT[Product Category]=$G4)*SUBTOTAL(109,OFFSET(INDEX(IT[27M04],1),ROW(IT[27M04])-MIN(ROW(IT[27M04])),0,1)))</f>
        <v>0</v>
      </c>
      <c r="Z4" s="195" cm="1">
        <f t="array" aca="1" ref="Z4" ca="1">SUMPRODUCT((IT[Product Category]=$G4)*SUBTOTAL(109,OFFSET(INDEX(IT[27M05],1),ROW(IT[27M05])-MIN(ROW(IT[27M05])),0,1)))</f>
        <v>0</v>
      </c>
      <c r="AA4" s="195" cm="1">
        <f t="array" aca="1" ref="AA4" ca="1">SUMPRODUCT((IT[Product Category]=$G4)*SUBTOTAL(109,OFFSET(INDEX(IT[27M06],1),ROW(IT[27M06])-MIN(ROW(IT[27M06])),0,1)))</f>
        <v>0</v>
      </c>
      <c r="AB4" s="195" cm="1">
        <f t="array" aca="1" ref="AB4" ca="1">SUMPRODUCT((IT[Product Category]=$G4)*SUBTOTAL(109,OFFSET(INDEX(IT[27Q1],1),ROW(IT[27Q1])-MIN(ROW(IT[27Q1])),0,1)))</f>
        <v>0</v>
      </c>
      <c r="AC4" s="195" cm="1">
        <f t="array" aca="1" ref="AC4" ca="1">SUMPRODUCT((IT[Product Category]=$G4)*SUBTOTAL(109,OFFSET(INDEX(IT[27Q2],1),ROW(IT[27Q2])-MIN(ROW(IT[27Q2])),0,1)))</f>
        <v>0</v>
      </c>
      <c r="AD4" s="255"/>
      <c r="AE4" s="3"/>
      <c r="AF4" s="3"/>
      <c r="AG4" s="3"/>
      <c r="AH4" s="3"/>
    </row>
    <row r="5" spans="1:34" ht="14.25" customHeight="1">
      <c r="A5" s="10" t="s">
        <v>45</v>
      </c>
      <c r="B5" s="11" t="s">
        <v>1</v>
      </c>
      <c r="C5" s="10" t="s">
        <v>92</v>
      </c>
      <c r="D5" s="10" t="s">
        <v>624</v>
      </c>
      <c r="E5" s="10" t="s">
        <v>3</v>
      </c>
      <c r="F5" s="10" t="s">
        <v>28</v>
      </c>
      <c r="G5" s="11" t="s">
        <v>5</v>
      </c>
      <c r="H5" s="11" t="s">
        <v>93</v>
      </c>
      <c r="I5" s="9" t="s">
        <v>94</v>
      </c>
      <c r="J5" s="12" t="s">
        <v>95</v>
      </c>
      <c r="K5" s="12" t="s">
        <v>96</v>
      </c>
      <c r="L5" s="12" t="s">
        <v>97</v>
      </c>
      <c r="M5" s="12" t="s">
        <v>98</v>
      </c>
      <c r="N5" s="12" t="s">
        <v>99</v>
      </c>
      <c r="O5" s="12" t="s">
        <v>625</v>
      </c>
      <c r="P5" s="12" t="s">
        <v>34</v>
      </c>
      <c r="Q5" s="12" t="s">
        <v>101</v>
      </c>
      <c r="R5" s="12" t="s">
        <v>36</v>
      </c>
      <c r="S5" s="193" t="s">
        <v>626</v>
      </c>
      <c r="T5" s="193" t="s">
        <v>627</v>
      </c>
      <c r="U5" s="107" t="s">
        <v>628</v>
      </c>
      <c r="V5" s="107" t="s">
        <v>629</v>
      </c>
      <c r="W5" s="107" t="s">
        <v>103</v>
      </c>
      <c r="X5" s="107" t="s">
        <v>104</v>
      </c>
      <c r="Y5" s="107" t="s">
        <v>105</v>
      </c>
      <c r="Z5" s="107" t="s">
        <v>106</v>
      </c>
      <c r="AA5" s="107" t="s">
        <v>107</v>
      </c>
      <c r="AB5" s="107" t="s">
        <v>630</v>
      </c>
      <c r="AC5" s="107" t="s">
        <v>631</v>
      </c>
      <c r="AD5" s="107" t="s">
        <v>632</v>
      </c>
      <c r="AE5" s="78" t="s">
        <v>26</v>
      </c>
      <c r="AF5" s="36"/>
      <c r="AG5" s="36"/>
      <c r="AH5" s="36"/>
    </row>
    <row r="6" spans="1:34" ht="14.25" customHeight="1">
      <c r="A6" s="29" t="s">
        <v>31</v>
      </c>
      <c r="B6" s="1" t="s">
        <v>365</v>
      </c>
      <c r="C6" s="3"/>
      <c r="D6" s="2" t="str">
        <f>VLOOKUP(IT[[#This Row],[Product Line]],Prod_T6[],5,0)</f>
        <v>Sunpower</v>
      </c>
      <c r="E6" s="2" t="s">
        <v>197</v>
      </c>
      <c r="F6" s="1" t="s">
        <v>235</v>
      </c>
      <c r="G6" s="2" t="s">
        <v>120</v>
      </c>
      <c r="H6" s="1"/>
      <c r="I6" s="40" t="s">
        <v>117</v>
      </c>
      <c r="J6" s="13">
        <v>15</v>
      </c>
      <c r="K6" s="13">
        <v>30</v>
      </c>
      <c r="L6" s="13">
        <v>30</v>
      </c>
      <c r="M6" s="13">
        <v>50</v>
      </c>
      <c r="N6" s="13">
        <v>20</v>
      </c>
      <c r="O6" s="13">
        <v>30</v>
      </c>
      <c r="P6" s="13">
        <v>40</v>
      </c>
      <c r="Q6" s="13">
        <v>50</v>
      </c>
      <c r="R6" s="13">
        <v>40</v>
      </c>
      <c r="S6" s="32"/>
      <c r="T6" s="69">
        <f>SUM(IT[[#This Row],[26M07]:[26M09]])</f>
        <v>100</v>
      </c>
      <c r="U6" s="69">
        <f>SUM(IT[[#This Row],[26M10]:[26M12]])</f>
        <v>130</v>
      </c>
      <c r="V6" s="256"/>
      <c r="W6" s="256"/>
      <c r="X6" s="256"/>
      <c r="Y6" s="256"/>
      <c r="Z6" s="256"/>
      <c r="AA6" s="256"/>
      <c r="AB6" s="256">
        <f>SUM(IT[[#This Row],[27M01]:[27M03]])</f>
        <v>0</v>
      </c>
      <c r="AC6" s="256">
        <f>SUM(IT[[#This Row],[27M04]:[27M06]])</f>
        <v>0</v>
      </c>
      <c r="AD6" s="256" t="str">
        <f>IF(SUM(IT[[#This Row],[26Q2]:[26Q4]])+SUM(IT[[#This Row],[27Q1]:[27Q2]])=0,"No FSCT",IF(AND(SUM(IT[[#This Row],[26Q2]:[26Q4]])&gt;0,SUM(IT[[#This Row],[27Q1]:[27Q2]])=0),"YES","NO"))</f>
        <v>YES</v>
      </c>
      <c r="AE6" s="85" t="str">
        <f>VLOOKUP(IT[[#This Row],[Product Line]],Prod_T6[],4,0)</f>
        <v>ESS</v>
      </c>
      <c r="AH6" s="2" t="str" cm="1">
        <f t="array" ref="AH6:AH32">IT[Stage]</f>
        <v>5 - Finalize contract</v>
      </c>
    </row>
    <row r="7" spans="1:34" ht="14.25" customHeight="1">
      <c r="A7" s="29" t="s">
        <v>31</v>
      </c>
      <c r="B7" s="1" t="s">
        <v>365</v>
      </c>
      <c r="C7" s="3"/>
      <c r="D7" s="2" t="str">
        <f>VLOOKUP(IT[[#This Row],[Product Line]],Prod_T6[],5,0)</f>
        <v>Sunpower</v>
      </c>
      <c r="E7" s="2" t="s">
        <v>197</v>
      </c>
      <c r="F7" s="117" t="s">
        <v>371</v>
      </c>
      <c r="G7" s="2" t="s">
        <v>120</v>
      </c>
      <c r="H7" s="1"/>
      <c r="I7" s="40" t="s">
        <v>117</v>
      </c>
      <c r="J7" s="84">
        <v>50</v>
      </c>
      <c r="K7" s="84">
        <v>100</v>
      </c>
      <c r="L7" s="84">
        <v>100</v>
      </c>
      <c r="M7" s="13">
        <v>140</v>
      </c>
      <c r="N7" s="13">
        <v>100</v>
      </c>
      <c r="O7" s="13">
        <v>130</v>
      </c>
      <c r="P7" s="13">
        <v>150</v>
      </c>
      <c r="Q7" s="13">
        <v>200</v>
      </c>
      <c r="R7" s="13">
        <v>200</v>
      </c>
      <c r="S7" s="32">
        <f>SUM(IT[[#This Row],[26M04]:[26M06]])</f>
        <v>250</v>
      </c>
      <c r="T7" s="69">
        <f>SUM(IT[[#This Row],[26M07]:[26M09]])</f>
        <v>370</v>
      </c>
      <c r="U7" s="69">
        <f>SUM(IT[[#This Row],[26M10]:[26M12]])</f>
        <v>550</v>
      </c>
      <c r="V7" s="256"/>
      <c r="W7" s="256"/>
      <c r="X7" s="256"/>
      <c r="Y7" s="256"/>
      <c r="Z7" s="256"/>
      <c r="AA7" s="256"/>
      <c r="AB7" s="256">
        <f>SUM(IT[[#This Row],[27M01]:[27M03]])</f>
        <v>0</v>
      </c>
      <c r="AC7" s="256">
        <f>SUM(IT[[#This Row],[27M04]:[27M06]])</f>
        <v>0</v>
      </c>
      <c r="AD7" s="256" t="str">
        <f>IF(SUM(IT[[#This Row],[26Q2]:[26Q4]])+SUM(IT[[#This Row],[27Q1]:[27Q2]])=0,"No FSCT",IF(AND(SUM(IT[[#This Row],[26Q2]:[26Q4]])&gt;0,SUM(IT[[#This Row],[27Q1]:[27Q2]])=0),"YES","NO"))</f>
        <v>YES</v>
      </c>
      <c r="AE7" s="85" t="str">
        <f>VLOOKUP(IT[[#This Row],[Product Line]],Prod_T6[],4,0)</f>
        <v>ESS</v>
      </c>
      <c r="AH7" s="2" t="str">
        <v>5 - Finalize contract</v>
      </c>
    </row>
    <row r="8" spans="1:34" ht="14.25" customHeight="1">
      <c r="A8" s="29" t="s">
        <v>31</v>
      </c>
      <c r="B8" s="1" t="s">
        <v>365</v>
      </c>
      <c r="C8" s="3"/>
      <c r="D8" s="2" t="str">
        <f>VLOOKUP(IT[[#This Row],[Product Line]],Prod_T6[],5,0)</f>
        <v>Sunpower</v>
      </c>
      <c r="E8" s="2" t="s">
        <v>197</v>
      </c>
      <c r="F8" s="1" t="s">
        <v>64</v>
      </c>
      <c r="G8" s="2" t="s">
        <v>120</v>
      </c>
      <c r="H8" s="1"/>
      <c r="I8" s="40" t="s">
        <v>117</v>
      </c>
      <c r="J8" s="13">
        <v>250</v>
      </c>
      <c r="K8" s="13">
        <v>250</v>
      </c>
      <c r="L8" s="13">
        <v>400</v>
      </c>
      <c r="M8" s="13">
        <v>600</v>
      </c>
      <c r="N8" s="13">
        <v>300</v>
      </c>
      <c r="O8" s="13">
        <v>600</v>
      </c>
      <c r="P8" s="13">
        <v>500</v>
      </c>
      <c r="Q8" s="13">
        <v>600</v>
      </c>
      <c r="R8" s="13">
        <v>700</v>
      </c>
      <c r="S8" s="32">
        <f>SUM(IT[[#This Row],[26M04]:[26M06]])</f>
        <v>900</v>
      </c>
      <c r="T8" s="69">
        <f>SUM(IT[[#This Row],[26M07]:[26M09]])</f>
        <v>1500</v>
      </c>
      <c r="U8" s="69">
        <f>SUM(IT[[#This Row],[26M10]:[26M12]])</f>
        <v>1800</v>
      </c>
      <c r="V8" s="256"/>
      <c r="W8" s="256"/>
      <c r="X8" s="256"/>
      <c r="Y8" s="256"/>
      <c r="Z8" s="256"/>
      <c r="AA8" s="256"/>
      <c r="AB8" s="256">
        <f>SUM(IT[[#This Row],[27M01]:[27M03]])</f>
        <v>0</v>
      </c>
      <c r="AC8" s="256">
        <f>SUM(IT[[#This Row],[27M04]:[27M06]])</f>
        <v>0</v>
      </c>
      <c r="AD8" s="256" t="str">
        <f>IF(SUM(IT[[#This Row],[26Q2]:[26Q4]])+SUM(IT[[#This Row],[27Q1]:[27Q2]])=0,"No FSCT",IF(AND(SUM(IT[[#This Row],[26Q2]:[26Q4]])&gt;0,SUM(IT[[#This Row],[27Q1]:[27Q2]])=0),"YES","NO"))</f>
        <v>YES</v>
      </c>
      <c r="AE8" s="85" t="str">
        <f>VLOOKUP(IT[[#This Row],[Product Line]],Prod_T6[],4,0)</f>
        <v>ESS</v>
      </c>
      <c r="AH8" s="2" t="str">
        <v>5 - Finalize contract</v>
      </c>
    </row>
    <row r="9" spans="1:34" ht="14.25" customHeight="1">
      <c r="A9" s="29" t="s">
        <v>31</v>
      </c>
      <c r="B9" s="1" t="s">
        <v>365</v>
      </c>
      <c r="C9" s="3" t="s">
        <v>369</v>
      </c>
      <c r="D9" s="2" t="str">
        <f>VLOOKUP(IT[[#This Row],[Product Line]],Prod_T6[],5,0)</f>
        <v>TCL</v>
      </c>
      <c r="E9" s="2" t="s">
        <v>314</v>
      </c>
      <c r="F9" s="1" t="s">
        <v>372</v>
      </c>
      <c r="G9" s="2" t="s">
        <v>136</v>
      </c>
      <c r="H9" s="1"/>
      <c r="I9" s="40" t="s">
        <v>117</v>
      </c>
      <c r="J9" s="13"/>
      <c r="K9" s="13">
        <v>6</v>
      </c>
      <c r="L9" s="13">
        <v>8</v>
      </c>
      <c r="M9" s="13">
        <v>6</v>
      </c>
      <c r="N9" s="13">
        <v>1</v>
      </c>
      <c r="O9" s="13">
        <v>4</v>
      </c>
      <c r="P9" s="155">
        <v>6</v>
      </c>
      <c r="Q9" s="13">
        <v>6</v>
      </c>
      <c r="R9" s="13">
        <v>3</v>
      </c>
      <c r="S9" s="32">
        <f>SUM(IT[[#This Row],[26M04]:[26M06]])</f>
        <v>14</v>
      </c>
      <c r="T9" s="69">
        <f>SUM(IT[[#This Row],[26M07]:[26M09]])</f>
        <v>11</v>
      </c>
      <c r="U9" s="69">
        <f>SUM(IT[[#This Row],[26M10]:[26M12]])</f>
        <v>15</v>
      </c>
      <c r="V9" s="256"/>
      <c r="W9" s="256"/>
      <c r="X9" s="256"/>
      <c r="Y9" s="256"/>
      <c r="Z9" s="256"/>
      <c r="AA9" s="256"/>
      <c r="AB9" s="256">
        <f>SUM(IT[[#This Row],[27M01]:[27M03]])</f>
        <v>0</v>
      </c>
      <c r="AC9" s="256">
        <f>SUM(IT[[#This Row],[27M04]:[27M06]])</f>
        <v>0</v>
      </c>
      <c r="AD9" s="256" t="str">
        <f>IF(SUM(IT[[#This Row],[26Q2]:[26Q4]])+SUM(IT[[#This Row],[27Q1]:[27Q2]])=0,"No FSCT",IF(AND(SUM(IT[[#This Row],[26Q2]:[26Q4]])&gt;0,SUM(IT[[#This Row],[27Q1]:[27Q2]])=0),"YES","NO"))</f>
        <v>YES</v>
      </c>
      <c r="AE9" s="85" t="str">
        <f>VLOOKUP(IT[[#This Row],[Product Line]],Prod_T6[],4,0)</f>
        <v>PV</v>
      </c>
      <c r="AH9" s="2" t="str">
        <v>3 - Negotiation</v>
      </c>
    </row>
    <row r="10" spans="1:34" ht="14.25" customHeight="1">
      <c r="A10" s="29" t="s">
        <v>31</v>
      </c>
      <c r="B10" s="1" t="s">
        <v>365</v>
      </c>
      <c r="C10" s="3" t="s">
        <v>369</v>
      </c>
      <c r="D10" s="2" t="str">
        <f>VLOOKUP(IT[[#This Row],[Product Line]],Prod_T6[],5,0)</f>
        <v>TCL</v>
      </c>
      <c r="E10" s="2" t="s">
        <v>314</v>
      </c>
      <c r="F10" s="1" t="s">
        <v>315</v>
      </c>
      <c r="G10" s="2" t="s">
        <v>136</v>
      </c>
      <c r="H10" s="1"/>
      <c r="I10" s="40" t="s">
        <v>117</v>
      </c>
      <c r="J10" s="13">
        <v>5</v>
      </c>
      <c r="K10" s="13">
        <v>6</v>
      </c>
      <c r="L10" s="13">
        <v>6</v>
      </c>
      <c r="M10" s="13">
        <v>3</v>
      </c>
      <c r="N10" s="13">
        <v>1</v>
      </c>
      <c r="O10" s="13">
        <v>4</v>
      </c>
      <c r="P10" s="155">
        <v>4</v>
      </c>
      <c r="Q10" s="13">
        <v>4</v>
      </c>
      <c r="R10" s="13">
        <v>3</v>
      </c>
      <c r="S10" s="32">
        <f>SUM(IT[[#This Row],[26M04]:[26M06]])</f>
        <v>17</v>
      </c>
      <c r="T10" s="69">
        <f>SUM(IT[[#This Row],[26M07]:[26M09]])</f>
        <v>8</v>
      </c>
      <c r="U10" s="69">
        <f>SUM(IT[[#This Row],[26M10]:[26M12]])</f>
        <v>11</v>
      </c>
      <c r="V10" s="256"/>
      <c r="W10" s="256"/>
      <c r="X10" s="256"/>
      <c r="Y10" s="256"/>
      <c r="Z10" s="256"/>
      <c r="AA10" s="256"/>
      <c r="AB10" s="256">
        <f>SUM(IT[[#This Row],[27M01]:[27M03]])</f>
        <v>0</v>
      </c>
      <c r="AC10" s="256">
        <f>SUM(IT[[#This Row],[27M04]:[27M06]])</f>
        <v>0</v>
      </c>
      <c r="AD10" s="256" t="str">
        <f>IF(SUM(IT[[#This Row],[26Q2]:[26Q4]])+SUM(IT[[#This Row],[27Q1]:[27Q2]])=0,"No FSCT",IF(AND(SUM(IT[[#This Row],[26Q2]:[26Q4]])&gt;0,SUM(IT[[#This Row],[27Q1]:[27Q2]])=0),"YES","NO"))</f>
        <v>YES</v>
      </c>
      <c r="AE10" s="85" t="str">
        <f>VLOOKUP(IT[[#This Row],[Product Line]],Prod_T6[],4,0)</f>
        <v>PV</v>
      </c>
      <c r="AH10" s="2" t="str">
        <v>3 - Negotiation</v>
      </c>
    </row>
    <row r="11" spans="1:34" ht="14.25" customHeight="1">
      <c r="A11" s="29" t="s">
        <v>31</v>
      </c>
      <c r="B11" s="1" t="s">
        <v>365</v>
      </c>
      <c r="C11" s="3" t="s">
        <v>369</v>
      </c>
      <c r="D11" s="2" t="str">
        <f>VLOOKUP(IT[[#This Row],[Product Line]],Prod_T6[],5,0)</f>
        <v>TCL</v>
      </c>
      <c r="E11" s="2" t="s">
        <v>314</v>
      </c>
      <c r="F11" s="1" t="s">
        <v>315</v>
      </c>
      <c r="G11" s="2" t="s">
        <v>136</v>
      </c>
      <c r="H11" s="1"/>
      <c r="I11" s="40" t="s">
        <v>117</v>
      </c>
      <c r="J11" s="13">
        <v>5</v>
      </c>
      <c r="K11" s="13"/>
      <c r="L11" s="13"/>
      <c r="M11" s="13"/>
      <c r="N11" s="13"/>
      <c r="O11" s="13"/>
      <c r="P11" s="13"/>
      <c r="Q11" s="13"/>
      <c r="R11" s="13"/>
      <c r="S11" s="32">
        <f>SUM(IT[[#This Row],[26M04]:[26M06]])</f>
        <v>5</v>
      </c>
      <c r="T11" s="69">
        <f>SUM(IT[[#This Row],[26M07]:[26M09]])</f>
        <v>0</v>
      </c>
      <c r="U11" s="69">
        <f>SUM(IT[[#This Row],[26M10]:[26M12]])</f>
        <v>0</v>
      </c>
      <c r="V11" s="256"/>
      <c r="W11" s="256"/>
      <c r="X11" s="256"/>
      <c r="Y11" s="256"/>
      <c r="Z11" s="256"/>
      <c r="AA11" s="256"/>
      <c r="AB11" s="256">
        <f>SUM(IT[[#This Row],[27M01]:[27M03]])</f>
        <v>0</v>
      </c>
      <c r="AC11" s="256">
        <f>SUM(IT[[#This Row],[27M04]:[27M06]])</f>
        <v>0</v>
      </c>
      <c r="AD11" s="256" t="str">
        <f>IF(SUM(IT[[#This Row],[26Q2]:[26Q4]])+SUM(IT[[#This Row],[27Q1]:[27Q2]])=0,"No FSCT",IF(AND(SUM(IT[[#This Row],[26Q2]:[26Q4]])&gt;0,SUM(IT[[#This Row],[27Q1]:[27Q2]])=0),"YES","NO"))</f>
        <v>YES</v>
      </c>
      <c r="AE11" s="85" t="str">
        <f>VLOOKUP(IT[[#This Row],[Product Line]],Prod_T6[],4,0)</f>
        <v>PV</v>
      </c>
      <c r="AH11" s="2" t="str">
        <v>3 - Negotiation</v>
      </c>
    </row>
    <row r="12" spans="1:34" ht="14.25" customHeight="1">
      <c r="A12" s="29" t="s">
        <v>31</v>
      </c>
      <c r="B12" s="1" t="s">
        <v>365</v>
      </c>
      <c r="C12" s="3" t="s">
        <v>369</v>
      </c>
      <c r="D12" s="2" t="str">
        <f>VLOOKUP(IT[[#This Row],[Product Line]],Prod_T6[],5,0)</f>
        <v>TCL</v>
      </c>
      <c r="E12" s="2" t="s">
        <v>314</v>
      </c>
      <c r="F12" s="1" t="s">
        <v>373</v>
      </c>
      <c r="G12" s="2" t="s">
        <v>136</v>
      </c>
      <c r="H12" s="1"/>
      <c r="I12" s="40" t="s">
        <v>117</v>
      </c>
      <c r="J12" s="13">
        <v>3</v>
      </c>
      <c r="K12" s="13">
        <v>7</v>
      </c>
      <c r="L12" s="13">
        <v>5</v>
      </c>
      <c r="M12" s="13"/>
      <c r="N12" s="13"/>
      <c r="O12" s="13"/>
      <c r="P12" s="13"/>
      <c r="Q12" s="13"/>
      <c r="R12" s="13"/>
      <c r="S12" s="32"/>
      <c r="T12" s="69">
        <f>SUM(IT[[#This Row],[26M07]:[26M09]])</f>
        <v>0</v>
      </c>
      <c r="U12" s="69">
        <f>SUM(IT[[#This Row],[26M10]:[26M12]])</f>
        <v>0</v>
      </c>
      <c r="V12" s="256"/>
      <c r="W12" s="256"/>
      <c r="X12" s="256"/>
      <c r="Y12" s="256"/>
      <c r="Z12" s="256"/>
      <c r="AA12" s="256"/>
      <c r="AB12" s="256">
        <f>SUM(IT[[#This Row],[27M01]:[27M03]])</f>
        <v>0</v>
      </c>
      <c r="AC12" s="256">
        <f>SUM(IT[[#This Row],[27M04]:[27M06]])</f>
        <v>0</v>
      </c>
      <c r="AD12" s="256" t="str">
        <f>IF(SUM(IT[[#This Row],[26Q2]:[26Q4]])+SUM(IT[[#This Row],[27Q1]:[27Q2]])=0,"No FSCT",IF(AND(SUM(IT[[#This Row],[26Q2]:[26Q4]])&gt;0,SUM(IT[[#This Row],[27Q1]:[27Q2]])=0),"YES","NO"))</f>
        <v>No FSCT</v>
      </c>
      <c r="AE12" s="85" t="str">
        <f>VLOOKUP(IT[[#This Row],[Product Line]],Prod_T6[],4,0)</f>
        <v>PV</v>
      </c>
      <c r="AH12" s="2" t="str">
        <v>3 - Negotiation</v>
      </c>
    </row>
    <row r="13" spans="1:34" ht="14.25" customHeight="1">
      <c r="A13" s="29" t="s">
        <v>31</v>
      </c>
      <c r="B13" s="1" t="s">
        <v>365</v>
      </c>
      <c r="C13" s="3" t="s">
        <v>369</v>
      </c>
      <c r="D13" s="2" t="str">
        <f>VLOOKUP(IT[[#This Row],[Product Line]],Prod_T6[],5,0)</f>
        <v>TCL</v>
      </c>
      <c r="E13" s="2" t="s">
        <v>54</v>
      </c>
      <c r="F13" s="1" t="s">
        <v>129</v>
      </c>
      <c r="G13" s="2" t="s">
        <v>136</v>
      </c>
      <c r="H13" s="1"/>
      <c r="I13" s="40" t="s">
        <v>374</v>
      </c>
      <c r="J13" s="13"/>
      <c r="K13" s="13"/>
      <c r="L13" s="13"/>
      <c r="M13" s="13">
        <v>4</v>
      </c>
      <c r="N13" s="13">
        <v>1</v>
      </c>
      <c r="O13" s="13">
        <v>7</v>
      </c>
      <c r="P13" s="13"/>
      <c r="Q13" s="13"/>
      <c r="R13" s="13"/>
      <c r="S13" s="32">
        <f>SUM(IT[[#This Row],[26M04]:[26M06]])</f>
        <v>0</v>
      </c>
      <c r="T13" s="69">
        <f>SUM(IT[[#This Row],[26M07]:[26M09]])</f>
        <v>12</v>
      </c>
      <c r="U13" s="69">
        <f>SUM(IT[[#This Row],[26M10]:[26M12]])</f>
        <v>0</v>
      </c>
      <c r="V13" s="256"/>
      <c r="W13" s="256"/>
      <c r="X13" s="256"/>
      <c r="Y13" s="256"/>
      <c r="Z13" s="256"/>
      <c r="AA13" s="256"/>
      <c r="AB13" s="256">
        <f>SUM(IT[[#This Row],[27M01]:[27M03]])</f>
        <v>0</v>
      </c>
      <c r="AC13" s="256">
        <f>SUM(IT[[#This Row],[27M04]:[27M06]])</f>
        <v>0</v>
      </c>
      <c r="AD13" s="256" t="str">
        <f>IF(SUM(IT[[#This Row],[26Q2]:[26Q4]])+SUM(IT[[#This Row],[27Q1]:[27Q2]])=0,"No FSCT",IF(AND(SUM(IT[[#This Row],[26Q2]:[26Q4]])&gt;0,SUM(IT[[#This Row],[27Q1]:[27Q2]])=0),"YES","NO"))</f>
        <v>YES</v>
      </c>
      <c r="AE13" s="85" t="str">
        <f>VLOOKUP(IT[[#This Row],[Product Line]],Prod_T6[],4,0)</f>
        <v>PV</v>
      </c>
      <c r="AH13" s="3" t="str">
        <v>3 - Negotiation</v>
      </c>
    </row>
    <row r="14" spans="1:34" ht="14.25" customHeight="1">
      <c r="A14" s="29" t="s">
        <v>31</v>
      </c>
      <c r="B14" s="1" t="s">
        <v>365</v>
      </c>
      <c r="C14" s="3" t="s">
        <v>369</v>
      </c>
      <c r="D14" s="2" t="str">
        <f>VLOOKUP(IT[[#This Row],[Product Line]],Prod_T6[],5,0)</f>
        <v>TCL</v>
      </c>
      <c r="E14" s="2" t="s">
        <v>54</v>
      </c>
      <c r="F14" s="1" t="s">
        <v>121</v>
      </c>
      <c r="G14" s="2" t="s">
        <v>136</v>
      </c>
      <c r="H14" s="1"/>
      <c r="I14" s="40" t="s">
        <v>117</v>
      </c>
      <c r="J14" s="13">
        <v>2</v>
      </c>
      <c r="K14" s="13">
        <v>8</v>
      </c>
      <c r="L14" s="13">
        <v>6</v>
      </c>
      <c r="M14" s="67">
        <v>12</v>
      </c>
      <c r="N14" s="67">
        <v>2</v>
      </c>
      <c r="O14" s="67">
        <v>8</v>
      </c>
      <c r="P14" s="13">
        <v>8</v>
      </c>
      <c r="Q14" s="13">
        <v>8</v>
      </c>
      <c r="R14" s="13">
        <v>6</v>
      </c>
      <c r="S14" s="32">
        <f>SUM(IT[[#This Row],[26M04]:[26M06]])</f>
        <v>16</v>
      </c>
      <c r="T14" s="69">
        <f>SUM(IT[[#This Row],[26M07]:[26M09]])</f>
        <v>22</v>
      </c>
      <c r="U14" s="69">
        <f>SUM(IT[[#This Row],[26M10]:[26M12]])</f>
        <v>22</v>
      </c>
      <c r="V14" s="256"/>
      <c r="W14" s="256"/>
      <c r="X14" s="256"/>
      <c r="Y14" s="256"/>
      <c r="Z14" s="256"/>
      <c r="AA14" s="256"/>
      <c r="AB14" s="256">
        <f>SUM(IT[[#This Row],[27M01]:[27M03]])</f>
        <v>0</v>
      </c>
      <c r="AC14" s="256">
        <f>SUM(IT[[#This Row],[27M04]:[27M06]])</f>
        <v>0</v>
      </c>
      <c r="AD14" s="256" t="str">
        <f>IF(SUM(IT[[#This Row],[26Q2]:[26Q4]])+SUM(IT[[#This Row],[27Q1]:[27Q2]])=0,"No FSCT",IF(AND(SUM(IT[[#This Row],[26Q2]:[26Q4]])&gt;0,SUM(IT[[#This Row],[27Q1]:[27Q2]])=0),"YES","NO"))</f>
        <v>YES</v>
      </c>
      <c r="AE14" s="85" t="str">
        <f>VLOOKUP(IT[[#This Row],[Product Line]],Prod_T6[],4,0)</f>
        <v>PV</v>
      </c>
      <c r="AF14" s="3"/>
      <c r="AG14" s="3"/>
      <c r="AH14" s="3" t="str">
        <v>3 - Negotiation</v>
      </c>
    </row>
    <row r="15" spans="1:34" ht="14.25" customHeight="1">
      <c r="A15" s="29" t="s">
        <v>31</v>
      </c>
      <c r="B15" s="1" t="s">
        <v>365</v>
      </c>
      <c r="C15" s="3" t="s">
        <v>369</v>
      </c>
      <c r="D15" s="2" t="str">
        <f>VLOOKUP(IT[[#This Row],[Product Line]],Prod_T6[],5,0)</f>
        <v>TCL</v>
      </c>
      <c r="E15" s="2" t="s">
        <v>54</v>
      </c>
      <c r="F15" s="1" t="s">
        <v>160</v>
      </c>
      <c r="G15" s="2" t="s">
        <v>136</v>
      </c>
      <c r="H15" s="1"/>
      <c r="I15" s="40" t="s">
        <v>117</v>
      </c>
      <c r="J15" s="13">
        <v>2</v>
      </c>
      <c r="K15" s="13"/>
      <c r="L15" s="13"/>
      <c r="M15" s="67"/>
      <c r="N15" s="67"/>
      <c r="O15" s="67"/>
      <c r="P15" s="13"/>
      <c r="Q15" s="13"/>
      <c r="R15" s="13"/>
      <c r="S15" s="32">
        <f>SUM(IT[[#This Row],[26M04]:[26M06]])</f>
        <v>2</v>
      </c>
      <c r="T15" s="69">
        <f>SUM(IT[[#This Row],[26M07]:[26M09]])</f>
        <v>0</v>
      </c>
      <c r="U15" s="69">
        <f>SUM(IT[[#This Row],[26M10]:[26M12]])</f>
        <v>0</v>
      </c>
      <c r="V15" s="256"/>
      <c r="W15" s="256"/>
      <c r="X15" s="256"/>
      <c r="Y15" s="256"/>
      <c r="Z15" s="256"/>
      <c r="AA15" s="256"/>
      <c r="AB15" s="256">
        <f>SUM(IT[[#This Row],[27M01]:[27M03]])</f>
        <v>0</v>
      </c>
      <c r="AC15" s="256">
        <f>SUM(IT[[#This Row],[27M04]:[27M06]])</f>
        <v>0</v>
      </c>
      <c r="AD15" s="256" t="str">
        <f>IF(SUM(IT[[#This Row],[26Q2]:[26Q4]])+SUM(IT[[#This Row],[27Q1]:[27Q2]])=0,"No FSCT",IF(AND(SUM(IT[[#This Row],[26Q2]:[26Q4]])&gt;0,SUM(IT[[#This Row],[27Q1]:[27Q2]])=0),"YES","NO"))</f>
        <v>YES</v>
      </c>
      <c r="AE15" s="85" t="str">
        <f>VLOOKUP(IT[[#This Row],[Product Line]],Prod_T6[],4,0)</f>
        <v>PV</v>
      </c>
      <c r="AF15" s="3"/>
      <c r="AG15" s="3"/>
      <c r="AH15" s="2" t="str">
        <v>3 - Negotiation</v>
      </c>
    </row>
    <row r="16" spans="1:34" ht="14.25" customHeight="1">
      <c r="A16" s="29" t="s">
        <v>31</v>
      </c>
      <c r="B16" s="1" t="s">
        <v>365</v>
      </c>
      <c r="C16" s="3" t="s">
        <v>369</v>
      </c>
      <c r="D16" s="2" t="str">
        <f>VLOOKUP(IT[[#This Row],[Product Line]],Prod_T6[],5,0)</f>
        <v>TCL</v>
      </c>
      <c r="E16" s="2" t="s">
        <v>54</v>
      </c>
      <c r="F16" s="1" t="s">
        <v>166</v>
      </c>
      <c r="G16" s="2" t="s">
        <v>136</v>
      </c>
      <c r="H16" s="1"/>
      <c r="I16" s="40" t="s">
        <v>117</v>
      </c>
      <c r="J16" s="13"/>
      <c r="K16" s="13">
        <v>10</v>
      </c>
      <c r="L16" s="13">
        <v>6</v>
      </c>
      <c r="M16" s="13"/>
      <c r="N16" s="13"/>
      <c r="O16" s="13"/>
      <c r="P16" s="13"/>
      <c r="Q16" s="13"/>
      <c r="R16" s="13"/>
      <c r="S16" s="32"/>
      <c r="T16" s="69">
        <f>SUM(IT[[#This Row],[26M07]:[26M09]])</f>
        <v>0</v>
      </c>
      <c r="U16" s="69">
        <f>SUM(IT[[#This Row],[26M10]:[26M12]])</f>
        <v>0</v>
      </c>
      <c r="V16" s="256"/>
      <c r="W16" s="256"/>
      <c r="X16" s="256"/>
      <c r="Y16" s="256"/>
      <c r="Z16" s="256"/>
      <c r="AA16" s="256"/>
      <c r="AB16" s="256">
        <f>SUM(IT[[#This Row],[27M01]:[27M03]])</f>
        <v>0</v>
      </c>
      <c r="AC16" s="256">
        <f>SUM(IT[[#This Row],[27M04]:[27M06]])</f>
        <v>0</v>
      </c>
      <c r="AD16" s="256" t="str">
        <f>IF(SUM(IT[[#This Row],[26Q2]:[26Q4]])+SUM(IT[[#This Row],[27Q1]:[27Q2]])=0,"No FSCT",IF(AND(SUM(IT[[#This Row],[26Q2]:[26Q4]])&gt;0,SUM(IT[[#This Row],[27Q1]:[27Q2]])=0),"YES","NO"))</f>
        <v>No FSCT</v>
      </c>
      <c r="AE16" s="85" t="str">
        <f>VLOOKUP(IT[[#This Row],[Product Line]],Prod_T6[],4,0)</f>
        <v>PV</v>
      </c>
      <c r="AH16" s="2" t="str">
        <v>3 - Negotiation</v>
      </c>
    </row>
    <row r="17" spans="1:34" ht="14.25" customHeight="1">
      <c r="A17" s="29" t="s">
        <v>31</v>
      </c>
      <c r="B17" s="1" t="s">
        <v>365</v>
      </c>
      <c r="C17" s="3" t="s">
        <v>369</v>
      </c>
      <c r="D17" s="2" t="str">
        <f>VLOOKUP(IT[[#This Row],[Product Line]],Prod_T6[],5,0)</f>
        <v>TCL</v>
      </c>
      <c r="E17" s="2" t="s">
        <v>54</v>
      </c>
      <c r="F17" s="1" t="s">
        <v>297</v>
      </c>
      <c r="G17" s="2" t="s">
        <v>136</v>
      </c>
      <c r="H17" s="1"/>
      <c r="I17" s="40" t="s">
        <v>117</v>
      </c>
      <c r="J17" s="13"/>
      <c r="K17" s="13"/>
      <c r="L17" s="13"/>
      <c r="M17" s="13">
        <v>8</v>
      </c>
      <c r="N17" s="13"/>
      <c r="O17" s="13">
        <v>12</v>
      </c>
      <c r="P17" s="13"/>
      <c r="Q17" s="13">
        <v>8</v>
      </c>
      <c r="R17" s="13"/>
      <c r="S17" s="32">
        <f>SUM(IT[[#This Row],[26M04]:[26M06]])</f>
        <v>0</v>
      </c>
      <c r="T17" s="69">
        <f>SUM(IT[[#This Row],[26M07]:[26M09]])</f>
        <v>20</v>
      </c>
      <c r="U17" s="69">
        <f>SUM(IT[[#This Row],[26M10]:[26M12]])</f>
        <v>8</v>
      </c>
      <c r="V17" s="256"/>
      <c r="W17" s="256"/>
      <c r="X17" s="256"/>
      <c r="Y17" s="256"/>
      <c r="Z17" s="256"/>
      <c r="AA17" s="256"/>
      <c r="AB17" s="256">
        <f>SUM(IT[[#This Row],[27M01]:[27M03]])</f>
        <v>0</v>
      </c>
      <c r="AC17" s="256">
        <f>SUM(IT[[#This Row],[27M04]:[27M06]])</f>
        <v>0</v>
      </c>
      <c r="AD17" s="256" t="str">
        <f>IF(SUM(IT[[#This Row],[26Q2]:[26Q4]])+SUM(IT[[#This Row],[27Q1]:[27Q2]])=0,"No FSCT",IF(AND(SUM(IT[[#This Row],[26Q2]:[26Q4]])&gt;0,SUM(IT[[#This Row],[27Q1]:[27Q2]])=0),"YES","NO"))</f>
        <v>YES</v>
      </c>
      <c r="AE17" s="85" t="str">
        <f>VLOOKUP(IT[[#This Row],[Product Line]],Prod_T6[],4,0)</f>
        <v>PV</v>
      </c>
      <c r="AH17" s="2" t="str">
        <v>3 - Negotiation</v>
      </c>
    </row>
    <row r="18" spans="1:34" ht="14.25" customHeight="1">
      <c r="A18" s="29" t="s">
        <v>31</v>
      </c>
      <c r="B18" s="1" t="s">
        <v>365</v>
      </c>
      <c r="C18" s="3" t="s">
        <v>369</v>
      </c>
      <c r="D18" s="2" t="str">
        <f>VLOOKUP(IT[[#This Row],[Product Line]],Prod_T6[],5,0)</f>
        <v>TCL</v>
      </c>
      <c r="E18" s="2" t="s">
        <v>54</v>
      </c>
      <c r="F18" s="1" t="s">
        <v>170</v>
      </c>
      <c r="G18" s="2" t="s">
        <v>136</v>
      </c>
      <c r="H18" s="1"/>
      <c r="I18" s="40" t="s">
        <v>117</v>
      </c>
      <c r="J18" s="13">
        <v>2</v>
      </c>
      <c r="K18" s="13">
        <v>2</v>
      </c>
      <c r="L18" s="13"/>
      <c r="M18" s="13"/>
      <c r="N18" s="13"/>
      <c r="O18" s="13"/>
      <c r="P18" s="13"/>
      <c r="Q18" s="13"/>
      <c r="R18" s="13"/>
      <c r="S18" s="32">
        <f>SUM(IT[[#This Row],[26M04]:[26M06]])</f>
        <v>4</v>
      </c>
      <c r="T18" s="69">
        <f>SUM(IT[[#This Row],[26M07]:[26M09]])</f>
        <v>0</v>
      </c>
      <c r="U18" s="69">
        <f>SUM(IT[[#This Row],[26M10]:[26M12]])</f>
        <v>0</v>
      </c>
      <c r="V18" s="256"/>
      <c r="W18" s="256"/>
      <c r="X18" s="256"/>
      <c r="Y18" s="256"/>
      <c r="Z18" s="256"/>
      <c r="AA18" s="256"/>
      <c r="AB18" s="256">
        <f>SUM(IT[[#This Row],[27M01]:[27M03]])</f>
        <v>0</v>
      </c>
      <c r="AC18" s="256">
        <f>SUM(IT[[#This Row],[27M04]:[27M06]])</f>
        <v>0</v>
      </c>
      <c r="AD18" s="256" t="str">
        <f>IF(SUM(IT[[#This Row],[26Q2]:[26Q4]])+SUM(IT[[#This Row],[27Q1]:[27Q2]])=0,"No FSCT",IF(AND(SUM(IT[[#This Row],[26Q2]:[26Q4]])&gt;0,SUM(IT[[#This Row],[27Q1]:[27Q2]])=0),"YES","NO"))</f>
        <v>YES</v>
      </c>
      <c r="AE18" s="85" t="str">
        <f>VLOOKUP(IT[[#This Row],[Product Line]],Prod_T6[],4,0)</f>
        <v>PV</v>
      </c>
      <c r="AH18" s="2" t="str">
        <v>3 - Negotiation</v>
      </c>
    </row>
    <row r="19" spans="1:34" ht="14.25" customHeight="1">
      <c r="A19" s="29" t="s">
        <v>31</v>
      </c>
      <c r="B19" s="1" t="s">
        <v>365</v>
      </c>
      <c r="C19" s="3" t="s">
        <v>369</v>
      </c>
      <c r="D19" s="2" t="str">
        <f>VLOOKUP(IT[[#This Row],[Product Line]],Prod_T6[],5,0)</f>
        <v>TCL</v>
      </c>
      <c r="E19" s="2" t="s">
        <v>54</v>
      </c>
      <c r="F19" s="1" t="s">
        <v>299</v>
      </c>
      <c r="G19" s="2" t="s">
        <v>136</v>
      </c>
      <c r="H19" s="1"/>
      <c r="I19" s="40" t="s">
        <v>117</v>
      </c>
      <c r="J19" s="13"/>
      <c r="K19" s="13">
        <v>10</v>
      </c>
      <c r="L19" s="13">
        <v>5</v>
      </c>
      <c r="M19" s="13">
        <v>6</v>
      </c>
      <c r="N19" s="13"/>
      <c r="O19" s="13">
        <v>12</v>
      </c>
      <c r="P19" s="13"/>
      <c r="Q19" s="13">
        <v>12</v>
      </c>
      <c r="R19" s="13"/>
      <c r="S19" s="32">
        <f>SUM(IT[[#This Row],[26M04]:[26M06]])</f>
        <v>15</v>
      </c>
      <c r="T19" s="69">
        <f>SUM(IT[[#This Row],[26M07]:[26M09]])</f>
        <v>18</v>
      </c>
      <c r="U19" s="69">
        <f>SUM(IT[[#This Row],[26M10]:[26M12]])</f>
        <v>12</v>
      </c>
      <c r="V19" s="256"/>
      <c r="W19" s="256"/>
      <c r="X19" s="256"/>
      <c r="Y19" s="256"/>
      <c r="Z19" s="256"/>
      <c r="AA19" s="256"/>
      <c r="AB19" s="256">
        <f>SUM(IT[[#This Row],[27M01]:[27M03]])</f>
        <v>0</v>
      </c>
      <c r="AC19" s="256">
        <f>SUM(IT[[#This Row],[27M04]:[27M06]])</f>
        <v>0</v>
      </c>
      <c r="AD19" s="256" t="str">
        <f>IF(SUM(IT[[#This Row],[26Q2]:[26Q4]])+SUM(IT[[#This Row],[27Q1]:[27Q2]])=0,"No FSCT",IF(AND(SUM(IT[[#This Row],[26Q2]:[26Q4]])&gt;0,SUM(IT[[#This Row],[27Q1]:[27Q2]])=0),"YES","NO"))</f>
        <v>YES</v>
      </c>
      <c r="AE19" s="85" t="str">
        <f>VLOOKUP(IT[[#This Row],[Product Line]],Prod_T6[],4,0)</f>
        <v>PV</v>
      </c>
      <c r="AH19" s="2" t="str">
        <v>3 - Negotiation</v>
      </c>
    </row>
    <row r="20" spans="1:34" ht="14.25" customHeight="1">
      <c r="A20" s="29" t="s">
        <v>31</v>
      </c>
      <c r="B20" s="1" t="s">
        <v>365</v>
      </c>
      <c r="C20" s="3"/>
      <c r="D20" s="2" t="str">
        <f>VLOOKUP(IT[[#This Row],[Product Line]],Prod_T6[],5,0)</f>
        <v>Sunpower</v>
      </c>
      <c r="E20" s="2" t="s">
        <v>276</v>
      </c>
      <c r="F20" s="1" t="s">
        <v>366</v>
      </c>
      <c r="G20" s="2" t="s">
        <v>136</v>
      </c>
      <c r="H20" s="1" t="s">
        <v>367</v>
      </c>
      <c r="I20" s="40" t="s">
        <v>117</v>
      </c>
      <c r="J20" s="100">
        <v>3</v>
      </c>
      <c r="K20" s="100">
        <v>2</v>
      </c>
      <c r="L20" s="100">
        <v>2</v>
      </c>
      <c r="M20" s="13">
        <v>2</v>
      </c>
      <c r="N20" s="13">
        <v>1</v>
      </c>
      <c r="O20" s="13">
        <v>2</v>
      </c>
      <c r="P20" s="13">
        <v>2</v>
      </c>
      <c r="Q20" s="13">
        <v>1</v>
      </c>
      <c r="R20" s="13">
        <v>1</v>
      </c>
      <c r="S20" s="32">
        <f>SUM(IT[[#This Row],[26M04]:[26M06]])</f>
        <v>7</v>
      </c>
      <c r="T20" s="69">
        <f>SUM(IT[[#This Row],[26M07]:[26M09]])</f>
        <v>5</v>
      </c>
      <c r="U20" s="69">
        <f>SUM(IT[[#This Row],[26M10]:[26M12]])</f>
        <v>4</v>
      </c>
      <c r="V20" s="256"/>
      <c r="W20" s="256"/>
      <c r="X20" s="256"/>
      <c r="Y20" s="256"/>
      <c r="Z20" s="256"/>
      <c r="AA20" s="256"/>
      <c r="AB20" s="256">
        <f>SUM(IT[[#This Row],[27M01]:[27M03]])</f>
        <v>0</v>
      </c>
      <c r="AC20" s="256">
        <f>SUM(IT[[#This Row],[27M04]:[27M06]])</f>
        <v>0</v>
      </c>
      <c r="AD20" s="256" t="str">
        <f>IF(SUM(IT[[#This Row],[26Q2]:[26Q4]])+SUM(IT[[#This Row],[27Q1]:[27Q2]])=0,"No FSCT",IF(AND(SUM(IT[[#This Row],[26Q2]:[26Q4]])&gt;0,SUM(IT[[#This Row],[27Q1]:[27Q2]])=0),"YES","NO"))</f>
        <v>YES</v>
      </c>
      <c r="AE20" s="85" t="str">
        <f>VLOOKUP(IT[[#This Row],[Product Line]],Prod_T6[],4,0)</f>
        <v>PV</v>
      </c>
      <c r="AH20" s="2" t="str">
        <v>3 - Negotiation</v>
      </c>
    </row>
    <row r="21" spans="1:34" ht="14.25" customHeight="1">
      <c r="A21" s="29" t="s">
        <v>31</v>
      </c>
      <c r="B21" s="1" t="s">
        <v>365</v>
      </c>
      <c r="C21" s="3"/>
      <c r="D21" s="2" t="str">
        <f>VLOOKUP(IT[[#This Row],[Product Line]],Prod_T6[],5,0)</f>
        <v>Sunpower</v>
      </c>
      <c r="E21" s="2" t="s">
        <v>118</v>
      </c>
      <c r="F21" s="1" t="s">
        <v>180</v>
      </c>
      <c r="G21" s="2" t="s">
        <v>136</v>
      </c>
      <c r="H21" s="1"/>
      <c r="I21" s="40" t="s">
        <v>117</v>
      </c>
      <c r="J21" s="13">
        <v>4</v>
      </c>
      <c r="K21" s="13">
        <v>5</v>
      </c>
      <c r="L21" s="13">
        <v>4</v>
      </c>
      <c r="M21" s="13">
        <v>4</v>
      </c>
      <c r="N21" s="13">
        <v>3</v>
      </c>
      <c r="O21" s="13">
        <v>6</v>
      </c>
      <c r="P21" s="13">
        <v>6</v>
      </c>
      <c r="Q21" s="13">
        <v>7</v>
      </c>
      <c r="R21" s="13">
        <v>5</v>
      </c>
      <c r="S21" s="32">
        <f>SUM(IT[[#This Row],[26M04]:[26M06]])</f>
        <v>13</v>
      </c>
      <c r="T21" s="69">
        <f>SUM(IT[[#This Row],[26M07]:[26M09]])</f>
        <v>13</v>
      </c>
      <c r="U21" s="69">
        <f>SUM(IT[[#This Row],[26M10]:[26M12]])</f>
        <v>18</v>
      </c>
      <c r="V21" s="256"/>
      <c r="W21" s="256"/>
      <c r="X21" s="256"/>
      <c r="Y21" s="256"/>
      <c r="Z21" s="256"/>
      <c r="AA21" s="256"/>
      <c r="AB21" s="256">
        <f>SUM(IT[[#This Row],[27M01]:[27M03]])</f>
        <v>0</v>
      </c>
      <c r="AC21" s="256">
        <f>SUM(IT[[#This Row],[27M04]:[27M06]])</f>
        <v>0</v>
      </c>
      <c r="AD21" s="256" t="str">
        <f>IF(SUM(IT[[#This Row],[26Q2]:[26Q4]])+SUM(IT[[#This Row],[27Q1]:[27Q2]])=0,"No FSCT",IF(AND(SUM(IT[[#This Row],[26Q2]:[26Q4]])&gt;0,SUM(IT[[#This Row],[27Q1]:[27Q2]])=0),"YES","NO"))</f>
        <v>YES</v>
      </c>
      <c r="AE21" s="85" t="str">
        <f>VLOOKUP(IT[[#This Row],[Product Line]],Prod_T6[],4,0)</f>
        <v>PV</v>
      </c>
      <c r="AH21" s="2" t="str">
        <v>3 - Negotiation</v>
      </c>
    </row>
    <row r="22" spans="1:34" ht="14.25" customHeight="1">
      <c r="A22" s="29" t="s">
        <v>31</v>
      </c>
      <c r="B22" s="1" t="s">
        <v>365</v>
      </c>
      <c r="C22" s="3"/>
      <c r="D22" s="2" t="str">
        <f>VLOOKUP(IT[[#This Row],[Product Line]],Prod_T6[],5,0)</f>
        <v>Sunpower</v>
      </c>
      <c r="E22" s="2" t="s">
        <v>118</v>
      </c>
      <c r="F22" s="1" t="s">
        <v>145</v>
      </c>
      <c r="G22" s="2" t="s">
        <v>136</v>
      </c>
      <c r="H22" s="1"/>
      <c r="I22" s="40" t="s">
        <v>117</v>
      </c>
      <c r="J22" s="13">
        <v>2</v>
      </c>
      <c r="K22" s="13">
        <v>2</v>
      </c>
      <c r="L22" s="13">
        <v>3</v>
      </c>
      <c r="M22" s="13">
        <v>2</v>
      </c>
      <c r="N22" s="13">
        <v>1</v>
      </c>
      <c r="O22" s="13">
        <v>2</v>
      </c>
      <c r="P22" s="13">
        <v>2</v>
      </c>
      <c r="Q22" s="13">
        <v>2</v>
      </c>
      <c r="R22" s="13">
        <v>2</v>
      </c>
      <c r="S22" s="32">
        <f>SUM(IT[[#This Row],[26M04]:[26M06]])</f>
        <v>7</v>
      </c>
      <c r="T22" s="69">
        <f>SUM(IT[[#This Row],[26M07]:[26M09]])</f>
        <v>5</v>
      </c>
      <c r="U22" s="69">
        <f>SUM(IT[[#This Row],[26M10]:[26M12]])</f>
        <v>6</v>
      </c>
      <c r="V22" s="256"/>
      <c r="W22" s="256"/>
      <c r="X22" s="256"/>
      <c r="Y22" s="256"/>
      <c r="Z22" s="256"/>
      <c r="AA22" s="256"/>
      <c r="AB22" s="256">
        <f>SUM(IT[[#This Row],[27M01]:[27M03]])</f>
        <v>0</v>
      </c>
      <c r="AC22" s="256">
        <f>SUM(IT[[#This Row],[27M04]:[27M06]])</f>
        <v>0</v>
      </c>
      <c r="AD22" s="256" t="str">
        <f>IF(SUM(IT[[#This Row],[26Q2]:[26Q4]])+SUM(IT[[#This Row],[27Q1]:[27Q2]])=0,"No FSCT",IF(AND(SUM(IT[[#This Row],[26Q2]:[26Q4]])&gt;0,SUM(IT[[#This Row],[27Q1]:[27Q2]])=0),"YES","NO"))</f>
        <v>YES</v>
      </c>
      <c r="AE22" s="85" t="str">
        <f>VLOOKUP(IT[[#This Row],[Product Line]],Prod_T6[],4,0)</f>
        <v>PV</v>
      </c>
      <c r="AH22" s="2" t="str">
        <v>3 - Negotiation</v>
      </c>
    </row>
    <row r="23" spans="1:34" ht="14.25" customHeight="1">
      <c r="A23" s="29" t="s">
        <v>31</v>
      </c>
      <c r="B23" s="1" t="s">
        <v>365</v>
      </c>
      <c r="C23" s="3"/>
      <c r="D23" s="2" t="str">
        <f>VLOOKUP(IT[[#This Row],[Product Line]],Prod_T6[],5,0)</f>
        <v>Sunpower</v>
      </c>
      <c r="E23" s="2" t="s">
        <v>118</v>
      </c>
      <c r="F23" s="1" t="s">
        <v>255</v>
      </c>
      <c r="G23" s="2" t="s">
        <v>136</v>
      </c>
      <c r="H23" s="1"/>
      <c r="I23" s="40" t="s">
        <v>117</v>
      </c>
      <c r="J23" s="13">
        <v>8</v>
      </c>
      <c r="K23" s="13">
        <v>8</v>
      </c>
      <c r="L23" s="13">
        <v>10</v>
      </c>
      <c r="M23" s="13">
        <v>8</v>
      </c>
      <c r="N23" s="13">
        <v>6</v>
      </c>
      <c r="O23" s="13">
        <v>12</v>
      </c>
      <c r="P23" s="13">
        <v>12</v>
      </c>
      <c r="Q23" s="13">
        <v>12</v>
      </c>
      <c r="R23" s="13">
        <v>10</v>
      </c>
      <c r="S23" s="32">
        <f>SUM(IT[[#This Row],[26M04]:[26M06]])</f>
        <v>26</v>
      </c>
      <c r="T23" s="69">
        <f>SUM(IT[[#This Row],[26M07]:[26M09]])</f>
        <v>26</v>
      </c>
      <c r="U23" s="69">
        <f>SUM(IT[[#This Row],[26M10]:[26M12]])</f>
        <v>34</v>
      </c>
      <c r="V23" s="256"/>
      <c r="W23" s="256"/>
      <c r="X23" s="256"/>
      <c r="Y23" s="256"/>
      <c r="Z23" s="256"/>
      <c r="AA23" s="256"/>
      <c r="AB23" s="256">
        <f>SUM(IT[[#This Row],[27M01]:[27M03]])</f>
        <v>0</v>
      </c>
      <c r="AC23" s="256">
        <f>SUM(IT[[#This Row],[27M04]:[27M06]])</f>
        <v>0</v>
      </c>
      <c r="AD23" s="256" t="str">
        <f>IF(SUM(IT[[#This Row],[26Q2]:[26Q4]])+SUM(IT[[#This Row],[27Q1]:[27Q2]])=0,"No FSCT",IF(AND(SUM(IT[[#This Row],[26Q2]:[26Q4]])&gt;0,SUM(IT[[#This Row],[27Q1]:[27Q2]])=0),"YES","NO"))</f>
        <v>YES</v>
      </c>
      <c r="AE23" s="85" t="str">
        <f>VLOOKUP(IT[[#This Row],[Product Line]],Prod_T6[],4,0)</f>
        <v>PV</v>
      </c>
      <c r="AH23" s="2" t="str">
        <v>3 - Negotiation</v>
      </c>
    </row>
    <row r="24" spans="1:34" ht="14.25" customHeight="1">
      <c r="A24" s="29" t="s">
        <v>91</v>
      </c>
      <c r="B24" s="1" t="s">
        <v>365</v>
      </c>
      <c r="C24" s="3" t="s">
        <v>369</v>
      </c>
      <c r="D24" s="2" t="str">
        <f>VLOOKUP(IT[[#This Row],[Product Line]],Prod_T6[],5,0)</f>
        <v>TCL</v>
      </c>
      <c r="E24" s="2" t="s">
        <v>149</v>
      </c>
      <c r="F24" s="1" t="s">
        <v>589</v>
      </c>
      <c r="G24" s="2" t="s">
        <v>136</v>
      </c>
      <c r="H24" s="1"/>
      <c r="I24" s="40" t="s">
        <v>117</v>
      </c>
      <c r="J24" s="13"/>
      <c r="K24" s="13"/>
      <c r="L24" s="13"/>
      <c r="M24" s="121">
        <v>0</v>
      </c>
      <c r="N24" s="13"/>
      <c r="O24" s="13"/>
      <c r="P24" s="13"/>
      <c r="Q24" s="13"/>
      <c r="R24" s="13"/>
      <c r="S24" s="32">
        <f>SUM(IT[[#This Row],[26M04]:[26M06]])</f>
        <v>0</v>
      </c>
      <c r="T24" s="69">
        <f>SUM(IT[[#This Row],[26M07]:[26M09]])</f>
        <v>0</v>
      </c>
      <c r="U24" s="69">
        <f>SUM(IT[[#This Row],[26M10]:[26M12]])</f>
        <v>0</v>
      </c>
      <c r="V24" s="256"/>
      <c r="W24" s="256"/>
      <c r="X24" s="256"/>
      <c r="Y24" s="256"/>
      <c r="Z24" s="256"/>
      <c r="AA24" s="256"/>
      <c r="AB24" s="256">
        <f>SUM(IT[[#This Row],[27M01]:[27M03]])</f>
        <v>0</v>
      </c>
      <c r="AC24" s="256">
        <f>SUM(IT[[#This Row],[27M04]:[27M06]])</f>
        <v>0</v>
      </c>
      <c r="AD24" s="256" t="str">
        <f>IF(SUM(IT[[#This Row],[26Q2]:[26Q4]])+SUM(IT[[#This Row],[27Q1]:[27Q2]])=0,"No FSCT",IF(AND(SUM(IT[[#This Row],[26Q2]:[26Q4]])&gt;0,SUM(IT[[#This Row],[27Q1]:[27Q2]])=0),"YES","NO"))</f>
        <v>No FSCT</v>
      </c>
      <c r="AE24" s="85" t="str">
        <f>VLOOKUP(IT[[#This Row],[Product Line]],Prod_T6[],4,0)</f>
        <v>PV</v>
      </c>
      <c r="AH24" s="2" t="str">
        <v>3 - Negotiation</v>
      </c>
    </row>
    <row r="25" spans="1:34" ht="14.25" customHeight="1">
      <c r="A25" s="29" t="s">
        <v>91</v>
      </c>
      <c r="B25" s="1" t="s">
        <v>365</v>
      </c>
      <c r="C25" s="3" t="s">
        <v>369</v>
      </c>
      <c r="D25" s="2" t="str">
        <f>VLOOKUP(IT[[#This Row],[Product Line]],Prod_T6[],5,0)</f>
        <v>TCL</v>
      </c>
      <c r="E25" s="2" t="s">
        <v>149</v>
      </c>
      <c r="F25" s="1" t="s">
        <v>155</v>
      </c>
      <c r="G25" s="2" t="s">
        <v>136</v>
      </c>
      <c r="H25" s="1"/>
      <c r="I25" s="40" t="s">
        <v>117</v>
      </c>
      <c r="J25" s="13"/>
      <c r="K25" s="13"/>
      <c r="L25" s="13"/>
      <c r="M25" s="121">
        <v>0</v>
      </c>
      <c r="N25" s="13"/>
      <c r="O25" s="154"/>
      <c r="P25" s="151">
        <v>0</v>
      </c>
      <c r="Q25" s="13"/>
      <c r="R25" s="13"/>
      <c r="S25" s="32">
        <f>SUM(IT[[#This Row],[26M04]:[26M06]])</f>
        <v>0</v>
      </c>
      <c r="T25" s="69">
        <f>SUM(IT[[#This Row],[26M07]:[26M09]])</f>
        <v>0</v>
      </c>
      <c r="U25" s="69">
        <f>SUM(IT[[#This Row],[26M10]:[26M12]])</f>
        <v>0</v>
      </c>
      <c r="V25" s="256"/>
      <c r="W25" s="256"/>
      <c r="X25" s="256"/>
      <c r="Y25" s="256"/>
      <c r="Z25" s="256"/>
      <c r="AA25" s="256"/>
      <c r="AB25" s="256">
        <f>SUM(IT[[#This Row],[27M01]:[27M03]])</f>
        <v>0</v>
      </c>
      <c r="AC25" s="256">
        <f>SUM(IT[[#This Row],[27M04]:[27M06]])</f>
        <v>0</v>
      </c>
      <c r="AD25" s="256" t="str">
        <f>IF(SUM(IT[[#This Row],[26Q2]:[26Q4]])+SUM(IT[[#This Row],[27Q1]:[27Q2]])=0,"No FSCT",IF(AND(SUM(IT[[#This Row],[26Q2]:[26Q4]])&gt;0,SUM(IT[[#This Row],[27Q1]:[27Q2]])=0),"YES","NO"))</f>
        <v>No FSCT</v>
      </c>
      <c r="AE25" s="85" t="str">
        <f>VLOOKUP(IT[[#This Row],[Product Line]],Prod_T6[],4,0)</f>
        <v>PV</v>
      </c>
      <c r="AH25" s="2" t="str">
        <v>3 - Negotiation</v>
      </c>
    </row>
    <row r="26" spans="1:34" ht="14.25" customHeight="1">
      <c r="A26" s="29" t="s">
        <v>91</v>
      </c>
      <c r="B26" s="1" t="s">
        <v>365</v>
      </c>
      <c r="C26" s="3" t="s">
        <v>369</v>
      </c>
      <c r="D26" s="2" t="str">
        <f>VLOOKUP(IT[[#This Row],[Product Line]],Prod_T6[],5,0)</f>
        <v>TCL</v>
      </c>
      <c r="E26" s="2" t="s">
        <v>149</v>
      </c>
      <c r="F26" s="179" t="s">
        <v>491</v>
      </c>
      <c r="G26" s="2" t="s">
        <v>136</v>
      </c>
      <c r="H26" s="1"/>
      <c r="I26" s="40" t="s">
        <v>117</v>
      </c>
      <c r="J26" s="13"/>
      <c r="K26" s="13"/>
      <c r="L26" s="13"/>
      <c r="M26" s="121">
        <v>0</v>
      </c>
      <c r="N26" s="13"/>
      <c r="O26" s="13"/>
      <c r="P26" s="151">
        <v>0</v>
      </c>
      <c r="Q26" s="13"/>
      <c r="R26" s="13"/>
      <c r="S26" s="32">
        <f>SUM(IT[[#This Row],[26M04]:[26M06]])</f>
        <v>0</v>
      </c>
      <c r="T26" s="69">
        <f>SUM(IT[[#This Row],[26M07]:[26M09]])</f>
        <v>0</v>
      </c>
      <c r="U26" s="69">
        <f>SUM(IT[[#This Row],[26M10]:[26M12]])</f>
        <v>0</v>
      </c>
      <c r="V26" s="256"/>
      <c r="W26" s="256"/>
      <c r="X26" s="256"/>
      <c r="Y26" s="256"/>
      <c r="Z26" s="256"/>
      <c r="AA26" s="256"/>
      <c r="AB26" s="256">
        <f>SUM(IT[[#This Row],[27M01]:[27M03]])</f>
        <v>0</v>
      </c>
      <c r="AC26" s="256">
        <f>SUM(IT[[#This Row],[27M04]:[27M06]])</f>
        <v>0</v>
      </c>
      <c r="AD26" s="256" t="str">
        <f>IF(SUM(IT[[#This Row],[26Q2]:[26Q4]])+SUM(IT[[#This Row],[27Q1]:[27Q2]])=0,"No FSCT",IF(AND(SUM(IT[[#This Row],[26Q2]:[26Q4]])&gt;0,SUM(IT[[#This Row],[27Q1]:[27Q2]])=0),"YES","NO"))</f>
        <v>No FSCT</v>
      </c>
      <c r="AE26" s="85" t="str">
        <f>VLOOKUP(IT[[#This Row],[Product Line]],Prod_T6[],4,0)</f>
        <v>PV</v>
      </c>
      <c r="AH26" s="2" t="str">
        <v>3 - Negotiation</v>
      </c>
    </row>
    <row r="27" spans="1:34" ht="14.25" customHeight="1">
      <c r="A27" s="29" t="s">
        <v>91</v>
      </c>
      <c r="B27" s="1" t="s">
        <v>365</v>
      </c>
      <c r="C27" s="3" t="s">
        <v>369</v>
      </c>
      <c r="D27" s="2" t="str">
        <f>VLOOKUP(IT[[#This Row],[Product Line]],Prod_T6[],5,0)</f>
        <v>TCL</v>
      </c>
      <c r="E27" s="2" t="s">
        <v>113</v>
      </c>
      <c r="F27" s="1" t="s">
        <v>182</v>
      </c>
      <c r="G27" s="2" t="s">
        <v>136</v>
      </c>
      <c r="H27" s="1"/>
      <c r="I27" s="40" t="s">
        <v>117</v>
      </c>
      <c r="J27" s="13"/>
      <c r="K27" s="13"/>
      <c r="L27" s="13"/>
      <c r="M27" s="121">
        <v>0</v>
      </c>
      <c r="N27" s="13"/>
      <c r="O27" s="13">
        <v>5</v>
      </c>
      <c r="P27" s="13"/>
      <c r="Q27" s="13">
        <v>8</v>
      </c>
      <c r="R27" s="13"/>
      <c r="S27" s="32">
        <f>SUM(IT[[#This Row],[26M04]:[26M06]])</f>
        <v>0</v>
      </c>
      <c r="T27" s="69">
        <f>SUM(IT[[#This Row],[26M07]:[26M09]])</f>
        <v>5</v>
      </c>
      <c r="U27" s="69">
        <f>SUM(IT[[#This Row],[26M10]:[26M12]])</f>
        <v>8</v>
      </c>
      <c r="V27" s="256"/>
      <c r="W27" s="256"/>
      <c r="X27" s="256"/>
      <c r="Y27" s="256"/>
      <c r="Z27" s="256"/>
      <c r="AA27" s="256"/>
      <c r="AB27" s="256">
        <f>SUM(IT[[#This Row],[27M01]:[27M03]])</f>
        <v>0</v>
      </c>
      <c r="AC27" s="256">
        <f>SUM(IT[[#This Row],[27M04]:[27M06]])</f>
        <v>0</v>
      </c>
      <c r="AD27" s="256" t="str">
        <f>IF(SUM(IT[[#This Row],[26Q2]:[26Q4]])+SUM(IT[[#This Row],[27Q1]:[27Q2]])=0,"No FSCT",IF(AND(SUM(IT[[#This Row],[26Q2]:[26Q4]])&gt;0,SUM(IT[[#This Row],[27Q1]:[27Q2]])=0),"YES","NO"))</f>
        <v>YES</v>
      </c>
      <c r="AE27" s="85" t="str">
        <f>VLOOKUP(IT[[#This Row],[Product Line]],Prod_T6[],4,0)</f>
        <v>PV</v>
      </c>
      <c r="AH27" s="2" t="str">
        <v>3 - Negotiation</v>
      </c>
    </row>
    <row r="28" spans="1:34" ht="14.25" customHeight="1">
      <c r="A28" s="29" t="s">
        <v>91</v>
      </c>
      <c r="B28" s="1" t="s">
        <v>365</v>
      </c>
      <c r="C28" s="3" t="s">
        <v>369</v>
      </c>
      <c r="D28" s="2" t="str">
        <f>VLOOKUP(IT[[#This Row],[Product Line]],Prod_T6[],5,0)</f>
        <v>TCL</v>
      </c>
      <c r="E28" s="2" t="s">
        <v>113</v>
      </c>
      <c r="F28" s="1" t="s">
        <v>153</v>
      </c>
      <c r="G28" s="2" t="s">
        <v>136</v>
      </c>
      <c r="H28" s="1"/>
      <c r="I28" s="40" t="s">
        <v>117</v>
      </c>
      <c r="J28" s="13"/>
      <c r="K28" s="13"/>
      <c r="L28" s="13"/>
      <c r="M28" s="13"/>
      <c r="N28" s="13"/>
      <c r="O28" s="151"/>
      <c r="P28" s="13">
        <v>10</v>
      </c>
      <c r="Q28" s="13">
        <v>8</v>
      </c>
      <c r="R28" s="13">
        <v>5</v>
      </c>
      <c r="S28" s="32">
        <f>SUM(IT[[#This Row],[26M04]:[26M06]])</f>
        <v>0</v>
      </c>
      <c r="T28" s="69">
        <f>SUM(IT[[#This Row],[26M07]:[26M09]])</f>
        <v>0</v>
      </c>
      <c r="U28" s="69">
        <f>SUM(IT[[#This Row],[26M10]:[26M12]])</f>
        <v>23</v>
      </c>
      <c r="V28" s="256"/>
      <c r="W28" s="256"/>
      <c r="X28" s="256"/>
      <c r="Y28" s="256"/>
      <c r="Z28" s="256"/>
      <c r="AA28" s="256"/>
      <c r="AB28" s="256">
        <f>SUM(IT[[#This Row],[27M01]:[27M03]])</f>
        <v>0</v>
      </c>
      <c r="AC28" s="256">
        <f>SUM(IT[[#This Row],[27M04]:[27M06]])</f>
        <v>0</v>
      </c>
      <c r="AD28" s="256" t="str">
        <f>IF(SUM(IT[[#This Row],[26Q2]:[26Q4]])+SUM(IT[[#This Row],[27Q1]:[27Q2]])=0,"No FSCT",IF(AND(SUM(IT[[#This Row],[26Q2]:[26Q4]])&gt;0,SUM(IT[[#This Row],[27Q1]:[27Q2]])=0),"YES","NO"))</f>
        <v>YES</v>
      </c>
      <c r="AE28" s="120" t="str">
        <f>VLOOKUP(IT[[#This Row],[Product Line]],Prod_T6[],4,0)</f>
        <v>PV</v>
      </c>
      <c r="AH28" s="2" t="str">
        <v>3 - Negotiation</v>
      </c>
    </row>
    <row r="29" spans="1:34" ht="14.25" customHeight="1">
      <c r="A29" s="29" t="s">
        <v>91</v>
      </c>
      <c r="B29" s="1" t="s">
        <v>368</v>
      </c>
      <c r="C29" s="3" t="s">
        <v>369</v>
      </c>
      <c r="D29" s="2" t="str">
        <f>VLOOKUP(IT[[#This Row],[Product Line]],Prod_T6[],5,0)</f>
        <v>TCL</v>
      </c>
      <c r="E29" s="2" t="s">
        <v>314</v>
      </c>
      <c r="F29" s="1" t="s">
        <v>315</v>
      </c>
      <c r="G29" s="2" t="s">
        <v>136</v>
      </c>
      <c r="H29" s="1"/>
      <c r="I29" s="40" t="s">
        <v>117</v>
      </c>
      <c r="J29" s="13"/>
      <c r="K29" s="13"/>
      <c r="L29" s="13"/>
      <c r="M29" s="13">
        <v>3.6</v>
      </c>
      <c r="N29" s="13">
        <v>1.8</v>
      </c>
      <c r="O29" s="13">
        <v>4.4000000000000004</v>
      </c>
      <c r="P29" s="13"/>
      <c r="Q29" s="13"/>
      <c r="R29" s="13"/>
      <c r="S29" s="32">
        <f>SUM(IT[[#This Row],[26M04]:[26M06]])</f>
        <v>0</v>
      </c>
      <c r="T29" s="69">
        <f>SUM(IT[[#This Row],[26M07]:[26M09]])</f>
        <v>9.8000000000000007</v>
      </c>
      <c r="U29" s="69">
        <f>SUM(IT[[#This Row],[26M10]:[26M12]])</f>
        <v>0</v>
      </c>
      <c r="V29" s="256"/>
      <c r="W29" s="256"/>
      <c r="X29" s="256"/>
      <c r="Y29" s="256"/>
      <c r="Z29" s="256"/>
      <c r="AA29" s="256"/>
      <c r="AB29" s="256">
        <f>SUM(IT[[#This Row],[27M01]:[27M03]])</f>
        <v>0</v>
      </c>
      <c r="AC29" s="256">
        <f>SUM(IT[[#This Row],[27M04]:[27M06]])</f>
        <v>0</v>
      </c>
      <c r="AD29" s="256" t="str">
        <f>IF(SUM(IT[[#This Row],[26Q2]:[26Q4]])+SUM(IT[[#This Row],[27Q1]:[27Q2]])=0,"No FSCT",IF(AND(SUM(IT[[#This Row],[26Q2]:[26Q4]])&gt;0,SUM(IT[[#This Row],[27Q1]:[27Q2]])=0),"YES","NO"))</f>
        <v>YES</v>
      </c>
      <c r="AE29" s="120" t="str">
        <f>VLOOKUP(IT[[#This Row],[Product Line]],Prod_T6[],4,0)</f>
        <v>PV</v>
      </c>
      <c r="AH29" s="2" t="str">
        <v>3 - Negotiation</v>
      </c>
    </row>
    <row r="30" spans="1:34" ht="14.25" customHeight="1">
      <c r="A30" s="29" t="s">
        <v>91</v>
      </c>
      <c r="B30" s="1" t="s">
        <v>368</v>
      </c>
      <c r="C30" s="3" t="s">
        <v>369</v>
      </c>
      <c r="D30" s="2" t="str">
        <f>VLOOKUP(IT[[#This Row],[Product Line]],Prod_T6[],5,0)</f>
        <v>TCL</v>
      </c>
      <c r="E30" s="2" t="s">
        <v>54</v>
      </c>
      <c r="F30" s="1" t="s">
        <v>121</v>
      </c>
      <c r="G30" s="2" t="s">
        <v>136</v>
      </c>
      <c r="H30" s="1"/>
      <c r="I30" s="40" t="s">
        <v>117</v>
      </c>
      <c r="J30" s="13"/>
      <c r="K30" s="13"/>
      <c r="L30" s="13"/>
      <c r="M30" s="13">
        <v>4.4000000000000004</v>
      </c>
      <c r="N30" s="13">
        <v>1.8</v>
      </c>
      <c r="O30" s="13">
        <v>5.6</v>
      </c>
      <c r="P30" s="13"/>
      <c r="Q30" s="13"/>
      <c r="R30" s="13"/>
      <c r="S30" s="32">
        <f>SUM(IT[[#This Row],[26M04]:[26M06]])</f>
        <v>0</v>
      </c>
      <c r="T30" s="69">
        <f>SUM(IT[[#This Row],[26M07]:[26M09]])</f>
        <v>11.8</v>
      </c>
      <c r="U30" s="69">
        <f>SUM(IT[[#This Row],[26M10]:[26M12]])</f>
        <v>0</v>
      </c>
      <c r="V30" s="256"/>
      <c r="W30" s="256"/>
      <c r="X30" s="256"/>
      <c r="Y30" s="256"/>
      <c r="Z30" s="256"/>
      <c r="AA30" s="256"/>
      <c r="AB30" s="256">
        <f>SUM(IT[[#This Row],[27M01]:[27M03]])</f>
        <v>0</v>
      </c>
      <c r="AC30" s="256">
        <f>SUM(IT[[#This Row],[27M04]:[27M06]])</f>
        <v>0</v>
      </c>
      <c r="AD30" s="256" t="str">
        <f>IF(SUM(IT[[#This Row],[26Q2]:[26Q4]])+SUM(IT[[#This Row],[27Q1]:[27Q2]])=0,"No FSCT",IF(AND(SUM(IT[[#This Row],[26Q2]:[26Q4]])&gt;0,SUM(IT[[#This Row],[27Q1]:[27Q2]])=0),"YES","NO"))</f>
        <v>YES</v>
      </c>
      <c r="AE30" s="85" t="str">
        <f>VLOOKUP(IT[[#This Row],[Product Line]],Prod_T6[],4,0)</f>
        <v>PV</v>
      </c>
      <c r="AH30" s="2" t="str">
        <v>3 - Negotiation</v>
      </c>
    </row>
    <row r="31" spans="1:34" ht="14.25" customHeight="1">
      <c r="A31" s="29" t="s">
        <v>31</v>
      </c>
      <c r="B31" s="1" t="s">
        <v>368</v>
      </c>
      <c r="C31" s="3" t="s">
        <v>369</v>
      </c>
      <c r="D31" s="2" t="str">
        <f>VLOOKUP(IT[[#This Row],[Product Line]],Prod_T6[],5,0)</f>
        <v>TCL</v>
      </c>
      <c r="E31" s="2" t="s">
        <v>113</v>
      </c>
      <c r="F31" s="1" t="s">
        <v>182</v>
      </c>
      <c r="G31" s="2" t="s">
        <v>120</v>
      </c>
      <c r="H31" s="1" t="s">
        <v>370</v>
      </c>
      <c r="I31" s="40" t="s">
        <v>117</v>
      </c>
      <c r="J31" s="13"/>
      <c r="K31" s="13"/>
      <c r="L31" s="13"/>
      <c r="M31" s="13">
        <v>0</v>
      </c>
      <c r="N31" s="67">
        <v>3</v>
      </c>
      <c r="O31" s="13">
        <v>9</v>
      </c>
      <c r="P31" s="13">
        <v>6</v>
      </c>
      <c r="Q31" s="13"/>
      <c r="R31" s="13"/>
      <c r="S31" s="32"/>
      <c r="T31" s="69">
        <f>SUM(IT[[#This Row],[26M07]:[26M09]])</f>
        <v>12</v>
      </c>
      <c r="U31" s="69">
        <f>SUM(IT[[#This Row],[26M10]:[26M12]])</f>
        <v>6</v>
      </c>
      <c r="V31" s="256"/>
      <c r="W31" s="256"/>
      <c r="X31" s="256"/>
      <c r="Y31" s="256"/>
      <c r="Z31" s="256"/>
      <c r="AA31" s="256"/>
      <c r="AB31" s="256">
        <f>SUM(IT[[#This Row],[27M01]:[27M03]])</f>
        <v>0</v>
      </c>
      <c r="AC31" s="256">
        <f>SUM(IT[[#This Row],[27M04]:[27M06]])</f>
        <v>0</v>
      </c>
      <c r="AD31" s="256" t="str">
        <f>IF(SUM(IT[[#This Row],[26Q2]:[26Q4]])+SUM(IT[[#This Row],[27Q1]:[27Q2]])=0,"No FSCT",IF(AND(SUM(IT[[#This Row],[26Q2]:[26Q4]])&gt;0,SUM(IT[[#This Row],[27Q1]:[27Q2]])=0),"YES","NO"))</f>
        <v>YES</v>
      </c>
      <c r="AE31" s="85" t="str">
        <f>VLOOKUP(IT[[#This Row],[Product Line]],Prod_T6[],4,0)</f>
        <v>PV</v>
      </c>
      <c r="AH31" s="2" t="str">
        <v>5 - Finalize contract</v>
      </c>
    </row>
    <row r="32" spans="1:34" ht="14.25" customHeight="1">
      <c r="A32" s="29" t="s">
        <v>31</v>
      </c>
      <c r="B32" s="1" t="s">
        <v>365</v>
      </c>
      <c r="C32" s="3"/>
      <c r="D32" s="2" t="str">
        <f>VLOOKUP(IT[[#This Row],[Product Line]],Prod_T6[],5,0)</f>
        <v>TCL</v>
      </c>
      <c r="E32" s="2" t="s">
        <v>141</v>
      </c>
      <c r="F32" s="1" t="s">
        <v>46</v>
      </c>
      <c r="G32" s="2" t="s">
        <v>120</v>
      </c>
      <c r="H32" s="1"/>
      <c r="I32" s="40" t="s">
        <v>117</v>
      </c>
      <c r="J32" s="13"/>
      <c r="K32" s="13"/>
      <c r="L32" s="13">
        <v>3</v>
      </c>
      <c r="M32" s="13">
        <v>2</v>
      </c>
      <c r="N32" s="13">
        <v>2</v>
      </c>
      <c r="O32" s="13">
        <v>2</v>
      </c>
      <c r="P32" s="13">
        <v>4</v>
      </c>
      <c r="Q32" s="13">
        <v>4</v>
      </c>
      <c r="R32" s="13">
        <v>6</v>
      </c>
      <c r="S32" s="32">
        <f>SUM(IT[[#This Row],[26M04]:[26M06]])</f>
        <v>3</v>
      </c>
      <c r="T32" s="69">
        <f>SUM(IT[[#This Row],[26M07]:[26M09]])</f>
        <v>6</v>
      </c>
      <c r="U32" s="69">
        <f>SUM(IT[[#This Row],[26M10]:[26M12]])</f>
        <v>14</v>
      </c>
      <c r="V32" s="256"/>
      <c r="W32" s="256"/>
      <c r="X32" s="256"/>
      <c r="Y32" s="256"/>
      <c r="Z32" s="256"/>
      <c r="AA32" s="256"/>
      <c r="AB32" s="256">
        <f>SUM(IT[[#This Row],[27M01]:[27M03]])</f>
        <v>0</v>
      </c>
      <c r="AC32" s="256">
        <f>SUM(IT[[#This Row],[27M04]:[27M06]])</f>
        <v>0</v>
      </c>
      <c r="AD32" s="256" t="str">
        <f>IF(SUM(IT[[#This Row],[26Q2]:[26Q4]])+SUM(IT[[#This Row],[27Q1]:[27Q2]])=0,"No FSCT",IF(AND(SUM(IT[[#This Row],[26Q2]:[26Q4]])&gt;0,SUM(IT[[#This Row],[27Q1]:[27Q2]])=0),"YES","NO"))</f>
        <v>YES</v>
      </c>
      <c r="AE32" s="85" t="str">
        <f>VLOOKUP(IT[[#This Row],[Product Line]],Prod_T6[],4,0)</f>
        <v>ESS</v>
      </c>
      <c r="AH32" s="2" t="str">
        <v>5 - Finalize contract</v>
      </c>
    </row>
    <row r="33" spans="1:34" ht="14.25" customHeight="1">
      <c r="A33" s="3"/>
      <c r="B33" s="38"/>
      <c r="C33" s="3"/>
      <c r="D33" s="3"/>
      <c r="E33" s="3"/>
      <c r="F33" s="38"/>
      <c r="G33" s="38"/>
      <c r="H33" s="119" t="s">
        <v>638</v>
      </c>
      <c r="I33" s="118"/>
      <c r="J33" s="196">
        <f>SUBTOTAL(9,IT[26M04])</f>
        <v>351</v>
      </c>
      <c r="K33" s="197">
        <f>SUBTOTAL(9,IT[26M05])</f>
        <v>446</v>
      </c>
      <c r="L33" s="198">
        <f>SUBTOTAL(9,IT[26M06])</f>
        <v>588</v>
      </c>
      <c r="M33" s="196">
        <f>SUBTOTAL(9,IT[26M07])</f>
        <v>855</v>
      </c>
      <c r="N33" s="197">
        <f>SUBTOTAL(9,IT[26M08])</f>
        <v>444.6</v>
      </c>
      <c r="O33" s="198">
        <f>SUBTOTAL(9,IT[26M09])</f>
        <v>855</v>
      </c>
      <c r="P33" s="196">
        <f>SUBTOTAL(9,IT[26M10])</f>
        <v>750</v>
      </c>
      <c r="Q33" s="197">
        <f>SUBTOTAL(9,IT[26M11])</f>
        <v>930</v>
      </c>
      <c r="R33" s="198">
        <f>SUBTOTAL(9,IT[26M12])</f>
        <v>981</v>
      </c>
      <c r="S33" s="199">
        <f>SUBTOTAL(9,IT[26Q2])</f>
        <v>1279</v>
      </c>
      <c r="T33" s="199">
        <f>SUBTOTAL(9,IT[26Q3])</f>
        <v>2154.6000000000004</v>
      </c>
      <c r="U33" s="199">
        <f>SUBTOTAL(9,IT[26Q4])</f>
        <v>2661</v>
      </c>
      <c r="V33" s="257"/>
      <c r="W33" s="257"/>
      <c r="X33" s="257"/>
      <c r="Y33" s="257"/>
      <c r="Z33" s="257"/>
      <c r="AA33" s="257"/>
      <c r="AB33" s="257"/>
      <c r="AC33" s="257"/>
      <c r="AD33" s="257"/>
      <c r="AE33" s="3"/>
      <c r="AF33" s="3"/>
      <c r="AG33" s="3"/>
      <c r="AH33" s="3"/>
    </row>
  </sheetData>
  <phoneticPr fontId="45" type="noConversion"/>
  <dataValidations count="4">
    <dataValidation type="list" allowBlank="1" showInputMessage="1" showErrorMessage="1" sqref="A6:A32" xr:uid="{5D45CA7C-1287-4D85-BD83-F4AB62B363E3}">
      <formula1>Country_List</formula1>
    </dataValidation>
    <dataValidation type="list" allowBlank="1" showInputMessage="1" showErrorMessage="1" sqref="E6:E32" xr:uid="{78FA91C7-6CD1-43E4-8CF6-1F3AE852C712}">
      <formula1>Product_List</formula1>
    </dataValidation>
    <dataValidation type="list" allowBlank="1" showInputMessage="1" showErrorMessage="1" sqref="G6:G32" xr:uid="{E2FD947A-E83D-4964-ADE9-6C1CA773744E}">
      <formula1>Stage_List</formula1>
    </dataValidation>
    <dataValidation type="list" allowBlank="1" showInputMessage="1" showErrorMessage="1" sqref="B6:B32 F6:F32" xr:uid="{B24B1429-4545-4997-AF23-E1EE643AA404}">
      <formula1>INDIRECT(A6)</formula1>
    </dataValidation>
  </dataValidations>
  <pageMargins left="0.70866141732283505" right="0.70866141732283505" top="0.74803149606299202" bottom="0.74803149606299202" header="0.31496062992126" footer="0.31496062992126"/>
  <pageSetup paperSize="9" scale="49" orientation="landscape" r:id="rId1"/>
  <legacyDrawing r:id="rId2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978BF-D532-4642-A818-1865924D0BCB}">
  <sheetPr>
    <tabColor rgb="FF00B050"/>
    <pageSetUpPr fitToPage="1"/>
  </sheetPr>
  <dimension ref="A1:V35"/>
  <sheetViews>
    <sheetView topLeftCell="C12" zoomScale="115" zoomScaleNormal="115" workbookViewId="0">
      <selection activeCell="O34" sqref="O34"/>
    </sheetView>
  </sheetViews>
  <sheetFormatPr defaultColWidth="8.08984375" defaultRowHeight="14.25" customHeight="1" outlineLevelCol="1"/>
  <cols>
    <col min="1" max="1" width="12" style="2" bestFit="1" customWidth="1"/>
    <col min="2" max="2" width="38.08984375" style="1" customWidth="1"/>
    <col min="3" max="3" width="13.90625" style="3" customWidth="1" outlineLevel="1"/>
    <col min="4" max="4" width="15.36328125" style="2" bestFit="1" customWidth="1"/>
    <col min="5" max="5" width="31.6328125" style="1" customWidth="1"/>
    <col min="6" max="6" width="15.6328125" style="2" customWidth="1"/>
    <col min="7" max="7" width="10.36328125" style="1" customWidth="1"/>
    <col min="8" max="8" width="9.08984375" style="277" customWidth="1"/>
    <col min="9" max="9" width="7.36328125" style="2" customWidth="1"/>
    <col min="10" max="17" width="7.36328125" style="2" customWidth="1" outlineLevel="1"/>
    <col min="18" max="20" width="8.36328125" style="5" customWidth="1"/>
    <col min="21" max="21" width="19.36328125" style="2" bestFit="1" customWidth="1"/>
    <col min="22" max="16384" width="8.08984375" style="2"/>
  </cols>
  <sheetData>
    <row r="1" spans="1:22" ht="13">
      <c r="B1" s="2"/>
      <c r="F1" s="2" t="s">
        <v>5</v>
      </c>
      <c r="H1" s="6"/>
      <c r="I1" s="2" t="s">
        <v>623</v>
      </c>
      <c r="J1" s="2" t="s">
        <v>623</v>
      </c>
      <c r="K1" s="2" t="s">
        <v>623</v>
      </c>
      <c r="L1" s="2" t="s">
        <v>623</v>
      </c>
      <c r="M1" s="2" t="s">
        <v>623</v>
      </c>
      <c r="N1" s="2" t="s">
        <v>623</v>
      </c>
      <c r="O1" s="2" t="s">
        <v>623</v>
      </c>
      <c r="P1" s="2" t="s">
        <v>623</v>
      </c>
      <c r="Q1" s="2" t="s">
        <v>623</v>
      </c>
      <c r="R1" s="5" t="s">
        <v>623</v>
      </c>
      <c r="S1" s="5" t="s">
        <v>623</v>
      </c>
      <c r="T1" s="5" t="s">
        <v>623</v>
      </c>
    </row>
    <row r="2" spans="1:22" ht="13.5">
      <c r="B2" s="2"/>
      <c r="G2" s="49" t="s">
        <v>27</v>
      </c>
      <c r="H2" s="278"/>
      <c r="I2" s="200">
        <f>SUMIFS(IT_12[26M04],IT_12[Product Category],$G2)</f>
        <v>315</v>
      </c>
      <c r="J2" s="200">
        <f>SUMIFS(IT_12[26M05],IT_12[Product Category],$G2)</f>
        <v>380</v>
      </c>
      <c r="K2" s="200">
        <f>SUMIFS(IT_12[26M06],IT_12[Product Category],$G2)</f>
        <v>533</v>
      </c>
      <c r="L2" s="200">
        <f>SUMIFS(IT_12[26M07],IT_12[Product Category],$G2)</f>
        <v>792</v>
      </c>
      <c r="M2" s="200">
        <f>SUMIFS(IT_12[26M08],IT_12[Product Category],$G2)</f>
        <v>422</v>
      </c>
      <c r="N2" s="200">
        <f>SUMIFS(IT_12[26M09],IT_12[Product Category],$G2)</f>
        <v>762</v>
      </c>
      <c r="O2" s="200">
        <f>SUMIFS(IT_12[26M10],IT_12[Product Category],$G2)</f>
        <v>694</v>
      </c>
      <c r="P2" s="200">
        <f>SUMIFS(IT_12[26M11],IT_12[Product Category],$G2)</f>
        <v>854</v>
      </c>
      <c r="Q2" s="200">
        <f>SUMIFS(IT_12[26M12],IT_12[Product Category],$G2)</f>
        <v>946</v>
      </c>
      <c r="R2" s="200">
        <f>SUMIFS(IT_12[26Q2],IT_12[Product Category],$G2)</f>
        <v>1228</v>
      </c>
      <c r="S2" s="200">
        <f>SUMIFS(IT_12[26Q2],IT_12[Product Category],$G2)</f>
        <v>1228</v>
      </c>
      <c r="T2" s="200">
        <f>SUMIFS(IT_12[26Q3],IT_12[Country],$G2)</f>
        <v>0</v>
      </c>
    </row>
    <row r="3" spans="1:22" ht="13.5">
      <c r="B3" s="2"/>
      <c r="G3" s="49" t="s">
        <v>87</v>
      </c>
      <c r="H3" s="278"/>
      <c r="I3" s="200">
        <f>SUMIFS(IT_12[26M04],IT_12[Product Category],$G3)</f>
        <v>0</v>
      </c>
      <c r="J3" s="200">
        <f>SUMIFS(IT_12[26M05],IT_12[Product Category],$G3)</f>
        <v>0</v>
      </c>
      <c r="K3" s="200">
        <f>SUMIFS(IT_12[26M06],IT_12[Product Category],$G3)</f>
        <v>0</v>
      </c>
      <c r="L3" s="200">
        <f>SUMIFS(IT_12[26M07],IT_12[Product Category],$G3)</f>
        <v>0</v>
      </c>
      <c r="M3" s="200">
        <f>SUMIFS(IT_12[26M08],IT_12[Product Category],$G3)</f>
        <v>0</v>
      </c>
      <c r="N3" s="200">
        <f>SUMIFS(IT_12[26M09],IT_12[Product Category],$G3)</f>
        <v>0</v>
      </c>
      <c r="O3" s="200">
        <f>SUMIFS(IT_12[26M10],IT_12[Product Category],$G3)</f>
        <v>0</v>
      </c>
      <c r="P3" s="200">
        <f>SUMIFS(IT_12[26M11],IT_12[Product Category],$G3)</f>
        <v>0</v>
      </c>
      <c r="Q3" s="200">
        <f>SUMIFS(IT_12[26M12],IT_12[Product Category],$G3)</f>
        <v>0</v>
      </c>
      <c r="R3" s="200">
        <f>SUMIFS(IT_12[26Q2],IT_12[Product Category],$G3)</f>
        <v>0</v>
      </c>
      <c r="S3" s="200">
        <f>SUMIFS(IT_12[26Q2],IT_12[Product Category],$G3)</f>
        <v>0</v>
      </c>
      <c r="T3" s="200">
        <f>SUMIFS(IT_12[26Q3],IT_12[Country],$G3)</f>
        <v>0</v>
      </c>
    </row>
    <row r="4" spans="1:22" ht="13.5">
      <c r="B4" s="2"/>
      <c r="C4" s="2"/>
      <c r="G4" s="49" t="s">
        <v>70</v>
      </c>
      <c r="H4" s="278"/>
      <c r="I4" s="200">
        <f>SUMIFS(IT_12[26M04],IT_12[Product Category],$G4)</f>
        <v>36</v>
      </c>
      <c r="J4" s="200">
        <f>SUMIFS(IT_12[26M05],IT_12[Product Category],$G4)</f>
        <v>66</v>
      </c>
      <c r="K4" s="200">
        <f>SUMIFS(IT_12[26M06],IT_12[Product Category],$G4)</f>
        <v>55</v>
      </c>
      <c r="L4" s="200">
        <f>SUMIFS(IT_12[26M07],IT_12[Product Category],$G4)</f>
        <v>63</v>
      </c>
      <c r="M4" s="200">
        <f>SUMIFS(IT_12[26M08],IT_12[Product Category],$G4)</f>
        <v>22.6</v>
      </c>
      <c r="N4" s="200">
        <f>SUMIFS(IT_12[26M09],IT_12[Product Category],$G4)</f>
        <v>93</v>
      </c>
      <c r="O4" s="200">
        <f>SUMIFS(IT_12[26M10],IT_12[Product Category],$G4)</f>
        <v>56</v>
      </c>
      <c r="P4" s="200">
        <f>SUMIFS(IT_12[26M11],IT_12[Product Category],$G4)</f>
        <v>76</v>
      </c>
      <c r="Q4" s="200">
        <f>SUMIFS(IT_12[26M12],IT_12[Product Category],$G4)</f>
        <v>35</v>
      </c>
      <c r="R4" s="200">
        <f>SUMIFS(IT_12[26Q2],IT_12[Product Category],$G4)</f>
        <v>157</v>
      </c>
      <c r="S4" s="200">
        <f>SUMIFS(IT_12[26Q2],IT_12[Product Category],$G4)</f>
        <v>157</v>
      </c>
      <c r="T4" s="200">
        <f>SUMIFS(IT_12[26Q3],IT_12[Country],$G4)</f>
        <v>0</v>
      </c>
    </row>
    <row r="5" spans="1:22" s="8" customFormat="1" ht="25.5" customHeight="1">
      <c r="A5" s="10" t="s">
        <v>45</v>
      </c>
      <c r="B5" s="11" t="s">
        <v>1</v>
      </c>
      <c r="C5" s="10" t="s">
        <v>92</v>
      </c>
      <c r="D5" s="10" t="s">
        <v>3</v>
      </c>
      <c r="E5" s="11" t="s">
        <v>28</v>
      </c>
      <c r="F5" s="10" t="s">
        <v>5</v>
      </c>
      <c r="G5" s="33" t="s">
        <v>93</v>
      </c>
      <c r="H5" s="9" t="s">
        <v>94</v>
      </c>
      <c r="I5" s="134" t="s">
        <v>95</v>
      </c>
      <c r="J5" s="134" t="s">
        <v>96</v>
      </c>
      <c r="K5" s="134" t="s">
        <v>97</v>
      </c>
      <c r="L5" s="134" t="s">
        <v>98</v>
      </c>
      <c r="M5" s="134" t="s">
        <v>99</v>
      </c>
      <c r="N5" s="134" t="s">
        <v>100</v>
      </c>
      <c r="O5" s="134" t="s">
        <v>34</v>
      </c>
      <c r="P5" s="134" t="s">
        <v>101</v>
      </c>
      <c r="Q5" s="134" t="s">
        <v>36</v>
      </c>
      <c r="R5" s="204" t="s">
        <v>626</v>
      </c>
      <c r="S5" s="204" t="s">
        <v>627</v>
      </c>
      <c r="T5" s="204" t="s">
        <v>628</v>
      </c>
      <c r="U5" s="77" t="s">
        <v>26</v>
      </c>
      <c r="V5" s="78" t="s">
        <v>717</v>
      </c>
    </row>
    <row r="6" spans="1:22" ht="14.25" customHeight="1">
      <c r="A6" s="29" t="s">
        <v>31</v>
      </c>
      <c r="B6" s="1" t="s">
        <v>365</v>
      </c>
      <c r="D6" s="2" t="s">
        <v>197</v>
      </c>
      <c r="E6" s="1" t="s">
        <v>235</v>
      </c>
      <c r="F6" s="2" t="s">
        <v>120</v>
      </c>
      <c r="H6" s="40" t="s">
        <v>117</v>
      </c>
      <c r="I6" s="13">
        <v>15</v>
      </c>
      <c r="J6" s="13">
        <v>30</v>
      </c>
      <c r="K6" s="13">
        <v>30</v>
      </c>
      <c r="L6" s="13">
        <v>50</v>
      </c>
      <c r="M6" s="13">
        <v>20</v>
      </c>
      <c r="N6" s="13">
        <v>30</v>
      </c>
      <c r="O6" s="13">
        <v>40</v>
      </c>
      <c r="P6" s="13">
        <v>50</v>
      </c>
      <c r="Q6" s="13">
        <v>40</v>
      </c>
      <c r="R6" s="32">
        <f>SUM(IT_12[[#This Row],[26M04]:[26M06]])</f>
        <v>75</v>
      </c>
      <c r="S6" s="32">
        <f>SUM(IT_12[[#This Row],[26M07]:[26M09]])</f>
        <v>100</v>
      </c>
      <c r="T6" s="32">
        <f>SUM(IT_12[[#This Row],[26M10]:[26M12]])</f>
        <v>130</v>
      </c>
      <c r="U6" s="85" t="str">
        <f>VLOOKUP(IT_12[[#This Row],[Product Line]],Prod_T6[],4,0)</f>
        <v>ESS</v>
      </c>
      <c r="V6" s="120"/>
    </row>
    <row r="7" spans="1:22" ht="14.25" customHeight="1">
      <c r="A7" s="29" t="s">
        <v>31</v>
      </c>
      <c r="B7" s="1" t="s">
        <v>365</v>
      </c>
      <c r="D7" s="2" t="s">
        <v>197</v>
      </c>
      <c r="E7" s="117" t="s">
        <v>371</v>
      </c>
      <c r="F7" s="2" t="s">
        <v>120</v>
      </c>
      <c r="H7" s="40" t="s">
        <v>117</v>
      </c>
      <c r="I7" s="84">
        <v>50</v>
      </c>
      <c r="J7" s="84">
        <v>100</v>
      </c>
      <c r="K7" s="84">
        <v>100</v>
      </c>
      <c r="L7" s="13">
        <v>140</v>
      </c>
      <c r="M7" s="13">
        <v>100</v>
      </c>
      <c r="N7" s="13">
        <v>130</v>
      </c>
      <c r="O7" s="13">
        <v>150</v>
      </c>
      <c r="P7" s="13">
        <v>200</v>
      </c>
      <c r="Q7" s="13">
        <v>200</v>
      </c>
      <c r="R7" s="32">
        <f>SUM(IT_12[[#This Row],[26M04]:[26M06]])</f>
        <v>250</v>
      </c>
      <c r="S7" s="32">
        <f>SUM(IT_12[[#This Row],[26M07]:[26M09]])</f>
        <v>370</v>
      </c>
      <c r="T7" s="32">
        <f>SUM(IT_12[[#This Row],[26M10]:[26M12]])</f>
        <v>550</v>
      </c>
      <c r="U7" s="85" t="str">
        <f>VLOOKUP(IT_12[[#This Row],[Product Line]],Prod_T6[],4,0)</f>
        <v>ESS</v>
      </c>
      <c r="V7" s="120"/>
    </row>
    <row r="8" spans="1:22" ht="14.25" customHeight="1">
      <c r="A8" s="29" t="s">
        <v>31</v>
      </c>
      <c r="B8" s="1" t="s">
        <v>365</v>
      </c>
      <c r="D8" s="2" t="s">
        <v>197</v>
      </c>
      <c r="E8" s="1" t="s">
        <v>64</v>
      </c>
      <c r="F8" s="2" t="s">
        <v>120</v>
      </c>
      <c r="H8" s="40" t="s">
        <v>117</v>
      </c>
      <c r="I8" s="13">
        <v>250</v>
      </c>
      <c r="J8" s="13">
        <v>250</v>
      </c>
      <c r="K8" s="13">
        <v>400</v>
      </c>
      <c r="L8" s="13">
        <v>600</v>
      </c>
      <c r="M8" s="13">
        <v>300</v>
      </c>
      <c r="N8" s="13">
        <v>600</v>
      </c>
      <c r="O8" s="13">
        <v>500</v>
      </c>
      <c r="P8" s="13">
        <v>600</v>
      </c>
      <c r="Q8" s="13">
        <v>700</v>
      </c>
      <c r="R8" s="32">
        <f>SUM(IT_12[[#This Row],[26M04]:[26M06]])</f>
        <v>900</v>
      </c>
      <c r="S8" s="32">
        <f>SUM(IT_12[[#This Row],[26M07]:[26M09]])</f>
        <v>1500</v>
      </c>
      <c r="T8" s="32">
        <f>SUM(IT_12[[#This Row],[26M10]:[26M12]])</f>
        <v>1800</v>
      </c>
      <c r="U8" s="85" t="str">
        <f>VLOOKUP(IT_12[[#This Row],[Product Line]],Prod_T6[],4,0)</f>
        <v>ESS</v>
      </c>
      <c r="V8" s="120"/>
    </row>
    <row r="9" spans="1:22" ht="14.25" customHeight="1">
      <c r="A9" s="29" t="s">
        <v>31</v>
      </c>
      <c r="B9" s="1" t="s">
        <v>365</v>
      </c>
      <c r="C9" s="3" t="s">
        <v>369</v>
      </c>
      <c r="D9" s="2" t="s">
        <v>314</v>
      </c>
      <c r="E9" s="1" t="s">
        <v>372</v>
      </c>
      <c r="F9" s="2" t="s">
        <v>136</v>
      </c>
      <c r="H9" s="40" t="s">
        <v>117</v>
      </c>
      <c r="I9" s="13"/>
      <c r="J9" s="13">
        <v>6</v>
      </c>
      <c r="K9" s="13">
        <v>8</v>
      </c>
      <c r="L9" s="13">
        <v>6</v>
      </c>
      <c r="M9" s="13">
        <v>1</v>
      </c>
      <c r="N9" s="13">
        <v>4</v>
      </c>
      <c r="O9" s="155">
        <v>6</v>
      </c>
      <c r="P9" s="13">
        <v>6</v>
      </c>
      <c r="Q9" s="13">
        <v>3</v>
      </c>
      <c r="R9" s="32">
        <f>SUM(IT_12[[#This Row],[26M04]:[26M06]])</f>
        <v>14</v>
      </c>
      <c r="S9" s="32">
        <f>SUM(IT_12[[#This Row],[26M07]:[26M09]])</f>
        <v>11</v>
      </c>
      <c r="T9" s="32">
        <f>SUM(IT_12[[#This Row],[26M10]:[26M12]])</f>
        <v>15</v>
      </c>
      <c r="U9" s="85" t="str">
        <f>VLOOKUP(IT_12[[#This Row],[Product Line]],Prod_T6[],4,0)</f>
        <v>PV</v>
      </c>
      <c r="V9" s="120" t="s">
        <v>718</v>
      </c>
    </row>
    <row r="10" spans="1:22" ht="14.25" customHeight="1">
      <c r="A10" s="29" t="s">
        <v>31</v>
      </c>
      <c r="B10" s="1" t="s">
        <v>365</v>
      </c>
      <c r="C10" s="3" t="s">
        <v>369</v>
      </c>
      <c r="D10" s="2" t="s">
        <v>314</v>
      </c>
      <c r="E10" s="1" t="s">
        <v>315</v>
      </c>
      <c r="F10" s="2" t="s">
        <v>136</v>
      </c>
      <c r="H10" s="40" t="s">
        <v>117</v>
      </c>
      <c r="I10" s="13">
        <v>5</v>
      </c>
      <c r="J10" s="13">
        <v>6</v>
      </c>
      <c r="K10" s="13">
        <v>6</v>
      </c>
      <c r="L10" s="13">
        <v>3</v>
      </c>
      <c r="M10" s="13">
        <v>1</v>
      </c>
      <c r="N10" s="13">
        <v>4</v>
      </c>
      <c r="O10" s="155">
        <v>4</v>
      </c>
      <c r="P10" s="13">
        <v>4</v>
      </c>
      <c r="Q10" s="13">
        <v>3</v>
      </c>
      <c r="R10" s="32">
        <f>SUM(IT_12[[#This Row],[26M04]:[26M06]])</f>
        <v>17</v>
      </c>
      <c r="S10" s="32">
        <f>SUM(IT_12[[#This Row],[26M07]:[26M09]])</f>
        <v>8</v>
      </c>
      <c r="T10" s="32">
        <f>SUM(IT_12[[#This Row],[26M10]:[26M12]])</f>
        <v>11</v>
      </c>
      <c r="U10" s="85" t="str">
        <f>VLOOKUP(IT_12[[#This Row],[Product Line]],Prod_T6[],4,0)</f>
        <v>PV</v>
      </c>
      <c r="V10" s="120" t="s">
        <v>718</v>
      </c>
    </row>
    <row r="11" spans="1:22" ht="14.25" customHeight="1">
      <c r="A11" s="29" t="s">
        <v>31</v>
      </c>
      <c r="B11" s="1" t="s">
        <v>365</v>
      </c>
      <c r="C11" s="3" t="s">
        <v>369</v>
      </c>
      <c r="D11" s="2" t="s">
        <v>314</v>
      </c>
      <c r="E11" s="1" t="s">
        <v>719</v>
      </c>
      <c r="F11" s="2" t="s">
        <v>136</v>
      </c>
      <c r="H11" s="40" t="s">
        <v>117</v>
      </c>
      <c r="I11" s="13">
        <v>5</v>
      </c>
      <c r="J11" s="13"/>
      <c r="K11" s="13"/>
      <c r="L11" s="13"/>
      <c r="M11" s="13"/>
      <c r="N11" s="13"/>
      <c r="O11" s="13"/>
      <c r="P11" s="13"/>
      <c r="Q11" s="13"/>
      <c r="R11" s="32">
        <f>SUM(IT_12[[#This Row],[26M04]:[26M06]])</f>
        <v>5</v>
      </c>
      <c r="S11" s="32">
        <f>SUM(IT_12[[#This Row],[26M07]:[26M09]])</f>
        <v>0</v>
      </c>
      <c r="T11" s="32">
        <f>SUM(IT_12[[#This Row],[26M10]:[26M12]])</f>
        <v>0</v>
      </c>
      <c r="U11" s="85" t="str">
        <f>VLOOKUP(IT_12[[#This Row],[Product Line]],Prod_T6[],4,0)</f>
        <v>PV</v>
      </c>
      <c r="V11" s="120" t="s">
        <v>718</v>
      </c>
    </row>
    <row r="12" spans="1:22" ht="14.25" customHeight="1">
      <c r="A12" s="29" t="s">
        <v>31</v>
      </c>
      <c r="B12" s="1" t="s">
        <v>365</v>
      </c>
      <c r="C12" s="3" t="s">
        <v>369</v>
      </c>
      <c r="D12" s="2" t="s">
        <v>314</v>
      </c>
      <c r="E12" s="1" t="s">
        <v>373</v>
      </c>
      <c r="F12" s="2" t="s">
        <v>136</v>
      </c>
      <c r="H12" s="40" t="s">
        <v>117</v>
      </c>
      <c r="I12" s="13">
        <v>3</v>
      </c>
      <c r="J12" s="13">
        <v>7</v>
      </c>
      <c r="K12" s="13">
        <v>5</v>
      </c>
      <c r="L12" s="13"/>
      <c r="M12" s="13"/>
      <c r="N12" s="13"/>
      <c r="O12" s="13"/>
      <c r="P12" s="13"/>
      <c r="Q12" s="13"/>
      <c r="R12" s="32">
        <f>SUM(IT_12[[#This Row],[26M04]:[26M06]])</f>
        <v>15</v>
      </c>
      <c r="S12" s="32">
        <f>SUM(IT_12[[#This Row],[26M07]:[26M09]])</f>
        <v>0</v>
      </c>
      <c r="T12" s="32">
        <f>SUM(IT_12[[#This Row],[26M10]:[26M12]])</f>
        <v>0</v>
      </c>
      <c r="U12" s="85" t="str">
        <f>VLOOKUP(IT_12[[#This Row],[Product Line]],Prod_T6[],4,0)</f>
        <v>PV</v>
      </c>
      <c r="V12" s="120" t="s">
        <v>720</v>
      </c>
    </row>
    <row r="13" spans="1:22" ht="14.25" customHeight="1">
      <c r="A13" s="29" t="s">
        <v>31</v>
      </c>
      <c r="B13" s="1" t="s">
        <v>365</v>
      </c>
      <c r="C13" s="3" t="s">
        <v>369</v>
      </c>
      <c r="D13" s="2" t="s">
        <v>54</v>
      </c>
      <c r="E13" s="1" t="s">
        <v>129</v>
      </c>
      <c r="F13" s="2" t="s">
        <v>136</v>
      </c>
      <c r="H13" s="40" t="s">
        <v>374</v>
      </c>
      <c r="I13" s="13"/>
      <c r="J13" s="13"/>
      <c r="K13" s="13"/>
      <c r="L13" s="13">
        <v>4</v>
      </c>
      <c r="M13" s="13">
        <v>1</v>
      </c>
      <c r="N13" s="13">
        <v>7</v>
      </c>
      <c r="O13" s="13"/>
      <c r="P13" s="13"/>
      <c r="Q13" s="13"/>
      <c r="R13" s="32">
        <f>SUM(IT_12[[#This Row],[26M04]:[26M06]])</f>
        <v>0</v>
      </c>
      <c r="S13" s="32">
        <f>SUM(IT_12[[#This Row],[26M07]:[26M09]])</f>
        <v>12</v>
      </c>
      <c r="T13" s="32">
        <f>SUM(IT_12[[#This Row],[26M10]:[26M12]])</f>
        <v>0</v>
      </c>
      <c r="U13" s="85" t="str">
        <f>VLOOKUP(IT_12[[#This Row],[Product Line]],Prod_T6[],4,0)</f>
        <v>PV</v>
      </c>
      <c r="V13" s="120" t="s">
        <v>718</v>
      </c>
    </row>
    <row r="14" spans="1:22" ht="14.25" customHeight="1">
      <c r="A14" s="29" t="s">
        <v>31</v>
      </c>
      <c r="B14" s="1" t="s">
        <v>365</v>
      </c>
      <c r="C14" s="3" t="s">
        <v>369</v>
      </c>
      <c r="D14" s="2" t="s">
        <v>54</v>
      </c>
      <c r="E14" s="1" t="s">
        <v>121</v>
      </c>
      <c r="F14" s="2" t="s">
        <v>136</v>
      </c>
      <c r="H14" s="40" t="s">
        <v>117</v>
      </c>
      <c r="I14" s="13">
        <v>2</v>
      </c>
      <c r="J14" s="13">
        <v>8</v>
      </c>
      <c r="K14" s="13">
        <v>6</v>
      </c>
      <c r="L14" s="67">
        <v>12</v>
      </c>
      <c r="M14" s="67">
        <v>2</v>
      </c>
      <c r="N14" s="67">
        <v>8</v>
      </c>
      <c r="O14" s="13">
        <v>8</v>
      </c>
      <c r="P14" s="13">
        <v>8</v>
      </c>
      <c r="Q14" s="13">
        <v>6</v>
      </c>
      <c r="R14" s="32">
        <f>SUM(IT_12[[#This Row],[26M04]:[26M06]])</f>
        <v>16</v>
      </c>
      <c r="S14" s="32">
        <f>SUM(IT_12[[#This Row],[26M07]:[26M09]])</f>
        <v>22</v>
      </c>
      <c r="T14" s="32">
        <f>SUM(IT_12[[#This Row],[26M10]:[26M12]])</f>
        <v>22</v>
      </c>
      <c r="U14" s="85" t="str">
        <f>VLOOKUP(IT_12[[#This Row],[Product Line]],Prod_T6[],4,0)</f>
        <v>PV</v>
      </c>
      <c r="V14" s="120" t="s">
        <v>721</v>
      </c>
    </row>
    <row r="15" spans="1:22" ht="14.25" customHeight="1">
      <c r="A15" s="29" t="s">
        <v>31</v>
      </c>
      <c r="B15" s="1" t="s">
        <v>365</v>
      </c>
      <c r="C15" s="3" t="s">
        <v>369</v>
      </c>
      <c r="D15" s="2" t="s">
        <v>54</v>
      </c>
      <c r="E15" s="1" t="s">
        <v>160</v>
      </c>
      <c r="F15" s="2" t="s">
        <v>136</v>
      </c>
      <c r="H15" s="40" t="s">
        <v>117</v>
      </c>
      <c r="I15" s="13">
        <v>2</v>
      </c>
      <c r="J15" s="13"/>
      <c r="K15" s="13"/>
      <c r="L15" s="67"/>
      <c r="M15" s="67"/>
      <c r="N15" s="67"/>
      <c r="O15" s="13"/>
      <c r="P15" s="13"/>
      <c r="Q15" s="13"/>
      <c r="R15" s="32">
        <f>SUM(IT_12[[#This Row],[26M04]:[26M06]])</f>
        <v>2</v>
      </c>
      <c r="S15" s="32">
        <f>SUM(IT_12[[#This Row],[26M07]:[26M09]])</f>
        <v>0</v>
      </c>
      <c r="T15" s="32">
        <f>SUM(IT_12[[#This Row],[26M10]:[26M12]])</f>
        <v>0</v>
      </c>
      <c r="U15" s="85" t="str">
        <f>VLOOKUP(IT_12[[#This Row],[Product Line]],Prod_T6[],4,0)</f>
        <v>PV</v>
      </c>
      <c r="V15" s="120" t="s">
        <v>721</v>
      </c>
    </row>
    <row r="16" spans="1:22" ht="14.25" customHeight="1">
      <c r="A16" s="29" t="s">
        <v>31</v>
      </c>
      <c r="B16" s="1" t="s">
        <v>365</v>
      </c>
      <c r="C16" s="3" t="s">
        <v>369</v>
      </c>
      <c r="D16" s="2" t="s">
        <v>54</v>
      </c>
      <c r="E16" s="1" t="s">
        <v>166</v>
      </c>
      <c r="F16" s="2" t="s">
        <v>136</v>
      </c>
      <c r="H16" s="40" t="s">
        <v>117</v>
      </c>
      <c r="I16" s="13"/>
      <c r="J16" s="13">
        <v>10</v>
      </c>
      <c r="K16" s="13">
        <v>6</v>
      </c>
      <c r="L16" s="13"/>
      <c r="M16" s="13"/>
      <c r="N16" s="13"/>
      <c r="O16" s="13"/>
      <c r="P16" s="13"/>
      <c r="Q16" s="13"/>
      <c r="R16" s="32">
        <f>SUM(IT_12[[#This Row],[26M04]:[26M06]])</f>
        <v>16</v>
      </c>
      <c r="S16" s="32">
        <f>SUM(IT_12[[#This Row],[26M07]:[26M09]])</f>
        <v>0</v>
      </c>
      <c r="T16" s="32">
        <f>SUM(IT_12[[#This Row],[26M10]:[26M12]])</f>
        <v>0</v>
      </c>
      <c r="U16" s="85" t="str">
        <f>VLOOKUP(IT_12[[#This Row],[Product Line]],Prod_T6[],4,0)</f>
        <v>PV</v>
      </c>
      <c r="V16" s="120" t="s">
        <v>721</v>
      </c>
    </row>
    <row r="17" spans="1:22" ht="14.25" customHeight="1">
      <c r="A17" s="29" t="s">
        <v>31</v>
      </c>
      <c r="B17" s="1" t="s">
        <v>365</v>
      </c>
      <c r="C17" s="3" t="s">
        <v>369</v>
      </c>
      <c r="D17" s="2" t="s">
        <v>54</v>
      </c>
      <c r="E17" s="1" t="s">
        <v>297</v>
      </c>
      <c r="F17" s="2" t="s">
        <v>136</v>
      </c>
      <c r="H17" s="40" t="s">
        <v>117</v>
      </c>
      <c r="I17" s="13"/>
      <c r="J17" s="13"/>
      <c r="K17" s="13"/>
      <c r="L17" s="13">
        <v>8</v>
      </c>
      <c r="M17" s="13"/>
      <c r="N17" s="13">
        <v>12</v>
      </c>
      <c r="O17" s="13"/>
      <c r="P17" s="13">
        <v>8</v>
      </c>
      <c r="Q17" s="13"/>
      <c r="R17" s="32">
        <f>SUM(IT_12[[#This Row],[26M04]:[26M06]])</f>
        <v>0</v>
      </c>
      <c r="S17" s="32">
        <f>SUM(IT_12[[#This Row],[26M07]:[26M09]])</f>
        <v>20</v>
      </c>
      <c r="T17" s="32">
        <f>SUM(IT_12[[#This Row],[26M10]:[26M12]])</f>
        <v>8</v>
      </c>
      <c r="U17" s="85" t="str">
        <f>VLOOKUP(IT_12[[#This Row],[Product Line]],Prod_T6[],4,0)</f>
        <v>PV</v>
      </c>
      <c r="V17" s="120"/>
    </row>
    <row r="18" spans="1:22" ht="14.25" customHeight="1">
      <c r="A18" s="29" t="s">
        <v>31</v>
      </c>
      <c r="B18" s="1" t="s">
        <v>365</v>
      </c>
      <c r="C18" s="3" t="s">
        <v>369</v>
      </c>
      <c r="D18" s="2" t="s">
        <v>54</v>
      </c>
      <c r="E18" s="1" t="s">
        <v>170</v>
      </c>
      <c r="F18" s="2" t="s">
        <v>136</v>
      </c>
      <c r="H18" s="40" t="s">
        <v>117</v>
      </c>
      <c r="I18" s="13">
        <v>2</v>
      </c>
      <c r="J18" s="13">
        <v>2</v>
      </c>
      <c r="K18" s="13"/>
      <c r="L18" s="13"/>
      <c r="M18" s="13"/>
      <c r="N18" s="13"/>
      <c r="O18" s="13"/>
      <c r="P18" s="13"/>
      <c r="Q18" s="13"/>
      <c r="R18" s="32">
        <f>SUM(IT_12[[#This Row],[26M04]:[26M06]])</f>
        <v>4</v>
      </c>
      <c r="S18" s="32">
        <f>SUM(IT_12[[#This Row],[26M07]:[26M09]])</f>
        <v>0</v>
      </c>
      <c r="T18" s="32">
        <f>SUM(IT_12[[#This Row],[26M10]:[26M12]])</f>
        <v>0</v>
      </c>
      <c r="U18" s="85" t="str">
        <f>VLOOKUP(IT_12[[#This Row],[Product Line]],Prod_T6[],4,0)</f>
        <v>PV</v>
      </c>
      <c r="V18" s="120" t="s">
        <v>721</v>
      </c>
    </row>
    <row r="19" spans="1:22" ht="14.25" customHeight="1">
      <c r="A19" s="29" t="s">
        <v>31</v>
      </c>
      <c r="B19" s="1" t="s">
        <v>365</v>
      </c>
      <c r="C19" s="3" t="s">
        <v>369</v>
      </c>
      <c r="D19" s="2" t="s">
        <v>54</v>
      </c>
      <c r="E19" s="1" t="s">
        <v>299</v>
      </c>
      <c r="F19" s="2" t="s">
        <v>136</v>
      </c>
      <c r="H19" s="40" t="s">
        <v>117</v>
      </c>
      <c r="I19" s="13"/>
      <c r="J19" s="13">
        <v>10</v>
      </c>
      <c r="K19" s="13">
        <v>5</v>
      </c>
      <c r="L19" s="13">
        <v>6</v>
      </c>
      <c r="M19" s="13"/>
      <c r="N19" s="13">
        <v>12</v>
      </c>
      <c r="O19" s="13"/>
      <c r="P19" s="13">
        <v>12</v>
      </c>
      <c r="Q19" s="13"/>
      <c r="R19" s="32">
        <f>SUM(IT_12[[#This Row],[26M04]:[26M06]])</f>
        <v>15</v>
      </c>
      <c r="S19" s="32">
        <f>SUM(IT_12[[#This Row],[26M07]:[26M09]])</f>
        <v>18</v>
      </c>
      <c r="T19" s="32">
        <f>SUM(IT_12[[#This Row],[26M10]:[26M12]])</f>
        <v>12</v>
      </c>
      <c r="U19" s="85" t="str">
        <f>VLOOKUP(IT_12[[#This Row],[Product Line]],Prod_T6[],4,0)</f>
        <v>PV</v>
      </c>
      <c r="V19" s="120" t="s">
        <v>720</v>
      </c>
    </row>
    <row r="20" spans="1:22" ht="14.25" customHeight="1">
      <c r="A20" s="29" t="s">
        <v>31</v>
      </c>
      <c r="B20" s="1" t="s">
        <v>365</v>
      </c>
      <c r="D20" s="2" t="s">
        <v>276</v>
      </c>
      <c r="E20" s="1" t="s">
        <v>366</v>
      </c>
      <c r="F20" s="2" t="s">
        <v>136</v>
      </c>
      <c r="G20" s="1" t="s">
        <v>367</v>
      </c>
      <c r="H20" s="40" t="s">
        <v>117</v>
      </c>
      <c r="I20" s="100">
        <v>3</v>
      </c>
      <c r="J20" s="100">
        <v>2</v>
      </c>
      <c r="K20" s="100">
        <v>2</v>
      </c>
      <c r="L20" s="13">
        <v>2</v>
      </c>
      <c r="M20" s="13">
        <v>1</v>
      </c>
      <c r="N20" s="13">
        <v>2</v>
      </c>
      <c r="O20" s="13">
        <v>2</v>
      </c>
      <c r="P20" s="13">
        <v>1</v>
      </c>
      <c r="Q20" s="13">
        <v>1</v>
      </c>
      <c r="R20" s="32">
        <f>SUM(IT_12[[#This Row],[26M04]:[26M06]])</f>
        <v>7</v>
      </c>
      <c r="S20" s="32">
        <f>SUM(IT_12[[#This Row],[26M07]:[26M09]])</f>
        <v>5</v>
      </c>
      <c r="T20" s="32">
        <f>SUM(IT_12[[#This Row],[26M10]:[26M12]])</f>
        <v>4</v>
      </c>
      <c r="U20" s="85" t="str">
        <f>VLOOKUP(IT_12[[#This Row],[Product Line]],Prod_T6[],4,0)</f>
        <v>PV</v>
      </c>
      <c r="V20" s="120"/>
    </row>
    <row r="21" spans="1:22" ht="14.25" customHeight="1">
      <c r="A21" s="29" t="s">
        <v>31</v>
      </c>
      <c r="B21" s="1" t="s">
        <v>365</v>
      </c>
      <c r="D21" s="2" t="s">
        <v>118</v>
      </c>
      <c r="E21" s="1" t="s">
        <v>275</v>
      </c>
      <c r="F21" s="2" t="s">
        <v>136</v>
      </c>
      <c r="H21" s="40" t="s">
        <v>117</v>
      </c>
      <c r="I21" s="13">
        <v>4</v>
      </c>
      <c r="J21" s="13">
        <v>5</v>
      </c>
      <c r="K21" s="13">
        <v>4</v>
      </c>
      <c r="L21" s="13">
        <v>4</v>
      </c>
      <c r="M21" s="13">
        <v>3</v>
      </c>
      <c r="N21" s="13">
        <v>6</v>
      </c>
      <c r="O21" s="13">
        <v>6</v>
      </c>
      <c r="P21" s="13">
        <v>7</v>
      </c>
      <c r="Q21" s="13">
        <v>5</v>
      </c>
      <c r="R21" s="32">
        <f>SUM(IT_12[[#This Row],[26M04]:[26M06]])</f>
        <v>13</v>
      </c>
      <c r="S21" s="32">
        <f>SUM(IT_12[[#This Row],[26M07]:[26M09]])</f>
        <v>13</v>
      </c>
      <c r="T21" s="32">
        <f>SUM(IT_12[[#This Row],[26M10]:[26M12]])</f>
        <v>18</v>
      </c>
      <c r="U21" s="85" t="str">
        <f>VLOOKUP(IT_12[[#This Row],[Product Line]],Prod_T6[],4,0)</f>
        <v>PV</v>
      </c>
      <c r="V21" s="120"/>
    </row>
    <row r="22" spans="1:22" ht="14.25" customHeight="1">
      <c r="A22" s="29" t="s">
        <v>31</v>
      </c>
      <c r="B22" s="1" t="s">
        <v>365</v>
      </c>
      <c r="D22" s="2" t="s">
        <v>118</v>
      </c>
      <c r="E22" s="1" t="s">
        <v>145</v>
      </c>
      <c r="F22" s="2" t="s">
        <v>136</v>
      </c>
      <c r="H22" s="40" t="s">
        <v>117</v>
      </c>
      <c r="I22" s="13">
        <v>2</v>
      </c>
      <c r="J22" s="13">
        <v>2</v>
      </c>
      <c r="K22" s="13">
        <v>3</v>
      </c>
      <c r="L22" s="13">
        <v>2</v>
      </c>
      <c r="M22" s="13">
        <v>1</v>
      </c>
      <c r="N22" s="13">
        <v>2</v>
      </c>
      <c r="O22" s="13">
        <v>2</v>
      </c>
      <c r="P22" s="13">
        <v>2</v>
      </c>
      <c r="Q22" s="13">
        <v>2</v>
      </c>
      <c r="R22" s="32">
        <f>SUM(IT_12[[#This Row],[26M04]:[26M06]])</f>
        <v>7</v>
      </c>
      <c r="S22" s="32">
        <f>SUM(IT_12[[#This Row],[26M07]:[26M09]])</f>
        <v>5</v>
      </c>
      <c r="T22" s="32">
        <f>SUM(IT_12[[#This Row],[26M10]:[26M12]])</f>
        <v>6</v>
      </c>
      <c r="U22" s="85" t="str">
        <f>VLOOKUP(IT_12[[#This Row],[Product Line]],Prod_T6[],4,0)</f>
        <v>PV</v>
      </c>
      <c r="V22" s="120"/>
    </row>
    <row r="23" spans="1:22" ht="14.25" customHeight="1">
      <c r="A23" s="29" t="s">
        <v>31</v>
      </c>
      <c r="B23" s="1" t="s">
        <v>365</v>
      </c>
      <c r="D23" s="2" t="s">
        <v>118</v>
      </c>
      <c r="E23" s="1" t="s">
        <v>255</v>
      </c>
      <c r="F23" s="2" t="s">
        <v>136</v>
      </c>
      <c r="H23" s="40" t="s">
        <v>117</v>
      </c>
      <c r="I23" s="13">
        <v>8</v>
      </c>
      <c r="J23" s="13">
        <v>8</v>
      </c>
      <c r="K23" s="13">
        <v>10</v>
      </c>
      <c r="L23" s="13">
        <v>8</v>
      </c>
      <c r="M23" s="13">
        <v>6</v>
      </c>
      <c r="N23" s="13">
        <v>12</v>
      </c>
      <c r="O23" s="13">
        <v>12</v>
      </c>
      <c r="P23" s="13">
        <v>12</v>
      </c>
      <c r="Q23" s="13">
        <v>10</v>
      </c>
      <c r="R23" s="32">
        <f>SUM(IT_12[[#This Row],[26M04]:[26M06]])</f>
        <v>26</v>
      </c>
      <c r="S23" s="32">
        <f>SUM(IT_12[[#This Row],[26M07]:[26M09]])</f>
        <v>26</v>
      </c>
      <c r="T23" s="32">
        <f>SUM(IT_12[[#This Row],[26M10]:[26M12]])</f>
        <v>34</v>
      </c>
      <c r="U23" s="85" t="str">
        <f>VLOOKUP(IT_12[[#This Row],[Product Line]],Prod_T6[],4,0)</f>
        <v>PV</v>
      </c>
      <c r="V23" s="120"/>
    </row>
    <row r="24" spans="1:22" ht="14.25" customHeight="1">
      <c r="A24" s="29" t="s">
        <v>91</v>
      </c>
      <c r="B24" s="1" t="s">
        <v>365</v>
      </c>
      <c r="C24" s="3" t="s">
        <v>369</v>
      </c>
      <c r="D24" s="2" t="s">
        <v>149</v>
      </c>
      <c r="E24" s="1" t="s">
        <v>289</v>
      </c>
      <c r="F24" s="2" t="s">
        <v>136</v>
      </c>
      <c r="H24" s="40" t="s">
        <v>117</v>
      </c>
      <c r="I24" s="13"/>
      <c r="J24" s="13"/>
      <c r="K24" s="13"/>
      <c r="L24" s="121">
        <v>0</v>
      </c>
      <c r="M24" s="13"/>
      <c r="N24" s="13"/>
      <c r="O24" s="13"/>
      <c r="P24" s="13"/>
      <c r="Q24" s="13"/>
      <c r="R24" s="32">
        <f>SUM(IT_12[[#This Row],[26M04]:[26M06]])</f>
        <v>0</v>
      </c>
      <c r="S24" s="32">
        <f>SUM(IT_12[[#This Row],[26M07]:[26M09]])</f>
        <v>0</v>
      </c>
      <c r="T24" s="32">
        <f>SUM(IT_12[[#This Row],[26M10]:[26M12]])</f>
        <v>0</v>
      </c>
      <c r="U24" s="85" t="str">
        <f>VLOOKUP(IT_12[[#This Row],[Product Line]],Prod_T6[],4,0)</f>
        <v>PV</v>
      </c>
      <c r="V24" s="120" t="s">
        <v>718</v>
      </c>
    </row>
    <row r="25" spans="1:22" ht="14.25" customHeight="1">
      <c r="A25" s="29" t="s">
        <v>91</v>
      </c>
      <c r="B25" s="1" t="s">
        <v>365</v>
      </c>
      <c r="C25" s="3" t="s">
        <v>369</v>
      </c>
      <c r="D25" s="2" t="s">
        <v>149</v>
      </c>
      <c r="E25" s="1" t="s">
        <v>433</v>
      </c>
      <c r="F25" s="2" t="s">
        <v>136</v>
      </c>
      <c r="H25" s="40" t="s">
        <v>117</v>
      </c>
      <c r="I25" s="13"/>
      <c r="J25" s="13"/>
      <c r="K25" s="13"/>
      <c r="L25" s="121">
        <v>0</v>
      </c>
      <c r="M25" s="13"/>
      <c r="N25" s="154"/>
      <c r="O25" s="151">
        <v>0</v>
      </c>
      <c r="P25" s="13"/>
      <c r="Q25" s="13"/>
      <c r="R25" s="32">
        <f>SUM(IT_12[[#This Row],[26M04]:[26M06]])</f>
        <v>0</v>
      </c>
      <c r="S25" s="32">
        <f>SUM(IT_12[[#This Row],[26M07]:[26M09]])</f>
        <v>0</v>
      </c>
      <c r="T25" s="32">
        <f>SUM(IT_12[[#This Row],[26M10]:[26M12]])</f>
        <v>0</v>
      </c>
      <c r="U25" s="85" t="str">
        <f>VLOOKUP(IT_12[[#This Row],[Product Line]],Prod_T6[],4,0)</f>
        <v>PV</v>
      </c>
      <c r="V25" s="120" t="s">
        <v>721</v>
      </c>
    </row>
    <row r="26" spans="1:22" ht="14.25" customHeight="1">
      <c r="A26" s="29" t="s">
        <v>91</v>
      </c>
      <c r="B26" s="1" t="s">
        <v>365</v>
      </c>
      <c r="C26" s="3" t="s">
        <v>369</v>
      </c>
      <c r="D26" s="2" t="s">
        <v>149</v>
      </c>
      <c r="E26" s="179" t="s">
        <v>722</v>
      </c>
      <c r="F26" s="2" t="s">
        <v>136</v>
      </c>
      <c r="H26" s="40" t="s">
        <v>117</v>
      </c>
      <c r="I26" s="13"/>
      <c r="J26" s="13"/>
      <c r="K26" s="13"/>
      <c r="L26" s="121">
        <v>0</v>
      </c>
      <c r="M26" s="13"/>
      <c r="N26" s="13"/>
      <c r="O26" s="151">
        <v>0</v>
      </c>
      <c r="P26" s="13"/>
      <c r="Q26" s="13"/>
      <c r="R26" s="32">
        <f>SUM(IT_12[[#This Row],[26M04]:[26M06]])</f>
        <v>0</v>
      </c>
      <c r="S26" s="32">
        <f>SUM(IT_12[[#This Row],[26M07]:[26M09]])</f>
        <v>0</v>
      </c>
      <c r="T26" s="32">
        <f>SUM(IT_12[[#This Row],[26M10]:[26M12]])</f>
        <v>0</v>
      </c>
      <c r="U26" s="85" t="str">
        <f>VLOOKUP(IT_12[[#This Row],[Product Line]],Prod_T6[],4,0)</f>
        <v>PV</v>
      </c>
      <c r="V26" s="120" t="s">
        <v>720</v>
      </c>
    </row>
    <row r="27" spans="1:22" ht="14.25" customHeight="1">
      <c r="A27" s="29" t="s">
        <v>91</v>
      </c>
      <c r="B27" s="1" t="s">
        <v>365</v>
      </c>
      <c r="C27" s="3" t="s">
        <v>369</v>
      </c>
      <c r="D27" s="2" t="s">
        <v>113</v>
      </c>
      <c r="E27" s="1" t="s">
        <v>182</v>
      </c>
      <c r="F27" s="2" t="s">
        <v>136</v>
      </c>
      <c r="H27" s="40" t="s">
        <v>117</v>
      </c>
      <c r="I27" s="13"/>
      <c r="J27" s="13"/>
      <c r="K27" s="13"/>
      <c r="L27" s="121">
        <v>0</v>
      </c>
      <c r="M27" s="13"/>
      <c r="N27" s="13">
        <v>5</v>
      </c>
      <c r="O27" s="13"/>
      <c r="P27" s="13">
        <v>8</v>
      </c>
      <c r="Q27" s="13"/>
      <c r="R27" s="32">
        <f>SUM(IT_12[[#This Row],[26M04]:[26M06]])</f>
        <v>0</v>
      </c>
      <c r="S27" s="32">
        <f>SUM(IT_12[[#This Row],[26M07]:[26M09]])</f>
        <v>5</v>
      </c>
      <c r="T27" s="32">
        <f>SUM(IT_12[[#This Row],[26M10]:[26M12]])</f>
        <v>8</v>
      </c>
      <c r="U27" s="85" t="str">
        <f>VLOOKUP(IT_12[[#This Row],[Product Line]],Prod_T6[],4,0)</f>
        <v>PV</v>
      </c>
      <c r="V27" s="120" t="s">
        <v>721</v>
      </c>
    </row>
    <row r="28" spans="1:22" ht="14.25" customHeight="1">
      <c r="A28" s="29" t="s">
        <v>91</v>
      </c>
      <c r="B28" s="1" t="s">
        <v>365</v>
      </c>
      <c r="C28" s="3" t="s">
        <v>369</v>
      </c>
      <c r="D28" s="2" t="s">
        <v>113</v>
      </c>
      <c r="E28" s="1" t="s">
        <v>153</v>
      </c>
      <c r="F28" s="2" t="s">
        <v>136</v>
      </c>
      <c r="H28" s="40" t="s">
        <v>117</v>
      </c>
      <c r="I28" s="13"/>
      <c r="J28" s="13"/>
      <c r="K28" s="13"/>
      <c r="L28" s="13"/>
      <c r="M28" s="13"/>
      <c r="N28" s="151"/>
      <c r="O28" s="13">
        <v>10</v>
      </c>
      <c r="P28" s="13">
        <v>8</v>
      </c>
      <c r="Q28" s="13">
        <v>5</v>
      </c>
      <c r="R28" s="32">
        <f>SUM(IT_12[[#This Row],[26M04]:[26M06]])</f>
        <v>0</v>
      </c>
      <c r="S28" s="32">
        <f>SUM(IT_12[[#This Row],[26M07]:[26M09]])</f>
        <v>0</v>
      </c>
      <c r="T28" s="32">
        <f>SUM(IT_12[[#This Row],[26M10]:[26M12]])</f>
        <v>23</v>
      </c>
      <c r="U28" s="85" t="str">
        <f>VLOOKUP(IT_12[[#This Row],[Product Line]],Prod_T6[],4,0)</f>
        <v>PV</v>
      </c>
      <c r="V28" s="120" t="s">
        <v>718</v>
      </c>
    </row>
    <row r="29" spans="1:22" ht="14.25" customHeight="1">
      <c r="A29" s="29" t="s">
        <v>91</v>
      </c>
      <c r="B29" s="1" t="s">
        <v>368</v>
      </c>
      <c r="C29" s="3" t="s">
        <v>369</v>
      </c>
      <c r="D29" s="2" t="s">
        <v>314</v>
      </c>
      <c r="E29" s="1" t="s">
        <v>315</v>
      </c>
      <c r="F29" s="2" t="s">
        <v>136</v>
      </c>
      <c r="H29" s="40" t="s">
        <v>117</v>
      </c>
      <c r="I29" s="13"/>
      <c r="J29" s="13"/>
      <c r="K29" s="13"/>
      <c r="L29" s="13">
        <v>3.6</v>
      </c>
      <c r="M29" s="13">
        <v>1.8</v>
      </c>
      <c r="N29" s="13">
        <v>4.4000000000000004</v>
      </c>
      <c r="O29" s="13"/>
      <c r="P29" s="13"/>
      <c r="Q29" s="13"/>
      <c r="R29" s="32">
        <f>SUM(IT_12[[#This Row],[26M04]:[26M06]])</f>
        <v>0</v>
      </c>
      <c r="S29" s="32">
        <f>SUM(IT_12[[#This Row],[26M07]:[26M09]])</f>
        <v>9.8000000000000007</v>
      </c>
      <c r="T29" s="32">
        <f>SUM(IT_12[[#This Row],[26M10]:[26M12]])</f>
        <v>0</v>
      </c>
      <c r="U29" s="120" t="str">
        <f>VLOOKUP(IT_12[[#This Row],[Product Line]],Prod_T6[],4,0)</f>
        <v>PV</v>
      </c>
      <c r="V29" s="120"/>
    </row>
    <row r="30" spans="1:22" ht="14.25" customHeight="1">
      <c r="A30" s="29" t="s">
        <v>91</v>
      </c>
      <c r="B30" s="1" t="s">
        <v>368</v>
      </c>
      <c r="C30" s="3" t="s">
        <v>369</v>
      </c>
      <c r="D30" s="2" t="s">
        <v>54</v>
      </c>
      <c r="E30" s="1" t="s">
        <v>121</v>
      </c>
      <c r="F30" s="2" t="s">
        <v>136</v>
      </c>
      <c r="H30" s="40" t="s">
        <v>117</v>
      </c>
      <c r="I30" s="13"/>
      <c r="J30" s="13"/>
      <c r="K30" s="13"/>
      <c r="L30" s="13">
        <v>4.4000000000000004</v>
      </c>
      <c r="M30" s="13">
        <v>1.8</v>
      </c>
      <c r="N30" s="13">
        <v>5.6</v>
      </c>
      <c r="O30" s="13"/>
      <c r="P30" s="13"/>
      <c r="Q30" s="13"/>
      <c r="R30" s="32">
        <f>SUM(IT_12[[#This Row],[26M04]:[26M06]])</f>
        <v>0</v>
      </c>
      <c r="S30" s="32">
        <f>SUM(IT_12[[#This Row],[26M07]:[26M09]])</f>
        <v>11.8</v>
      </c>
      <c r="T30" s="32">
        <f>SUM(IT_12[[#This Row],[26M10]:[26M12]])</f>
        <v>0</v>
      </c>
      <c r="U30" s="120" t="str">
        <f>VLOOKUP(IT_12[[#This Row],[Product Line]],Prod_T6[],4,0)</f>
        <v>PV</v>
      </c>
      <c r="V30" s="120"/>
    </row>
    <row r="31" spans="1:22" ht="14.25" customHeight="1">
      <c r="A31" s="29" t="s">
        <v>31</v>
      </c>
      <c r="B31" s="1" t="s">
        <v>368</v>
      </c>
      <c r="C31" s="3" t="s">
        <v>369</v>
      </c>
      <c r="D31" s="2" t="s">
        <v>113</v>
      </c>
      <c r="E31" s="1" t="s">
        <v>182</v>
      </c>
      <c r="F31" s="2" t="s">
        <v>120</v>
      </c>
      <c r="G31" s="1" t="s">
        <v>370</v>
      </c>
      <c r="H31" s="40" t="s">
        <v>117</v>
      </c>
      <c r="I31" s="13"/>
      <c r="J31" s="13"/>
      <c r="K31" s="13"/>
      <c r="L31" s="13">
        <v>0</v>
      </c>
      <c r="M31" s="67">
        <v>3</v>
      </c>
      <c r="N31" s="13">
        <v>9</v>
      </c>
      <c r="O31" s="13">
        <v>6</v>
      </c>
      <c r="P31" s="13"/>
      <c r="Q31" s="13"/>
      <c r="R31" s="32">
        <f>SUM(IT_12[[#This Row],[26M04]:[26M06]])</f>
        <v>0</v>
      </c>
      <c r="S31" s="32">
        <f>SUM(IT_12[[#This Row],[26M07]:[26M09]])</f>
        <v>12</v>
      </c>
      <c r="T31" s="32">
        <f>SUM(IT_12[[#This Row],[26M10]:[26M12]])</f>
        <v>6</v>
      </c>
      <c r="U31" s="85" t="str">
        <f>VLOOKUP(IT_12[[#This Row],[Product Line]],Prod_T6[],4,0)</f>
        <v>PV</v>
      </c>
      <c r="V31" s="120" t="s">
        <v>721</v>
      </c>
    </row>
    <row r="32" spans="1:22" ht="14.25" customHeight="1">
      <c r="A32" s="29" t="s">
        <v>31</v>
      </c>
      <c r="B32" s="1" t="s">
        <v>365</v>
      </c>
      <c r="D32" s="2" t="s">
        <v>141</v>
      </c>
      <c r="E32" s="1" t="s">
        <v>46</v>
      </c>
      <c r="F32" s="2" t="s">
        <v>120</v>
      </c>
      <c r="H32" s="40" t="s">
        <v>117</v>
      </c>
      <c r="I32" s="13"/>
      <c r="J32" s="13"/>
      <c r="K32" s="13">
        <v>3</v>
      </c>
      <c r="L32" s="13">
        <v>2</v>
      </c>
      <c r="M32" s="13">
        <v>2</v>
      </c>
      <c r="N32" s="13">
        <v>2</v>
      </c>
      <c r="O32" s="13">
        <v>4</v>
      </c>
      <c r="P32" s="13">
        <v>4</v>
      </c>
      <c r="Q32" s="13">
        <v>6</v>
      </c>
      <c r="R32" s="32">
        <f>SUM(IT_12[[#This Row],[26M04]:[26M06]])</f>
        <v>3</v>
      </c>
      <c r="S32" s="32">
        <f>SUM(IT_12[[#This Row],[26M07]:[26M09]])</f>
        <v>6</v>
      </c>
      <c r="T32" s="32">
        <f>SUM(IT_12[[#This Row],[26M10]:[26M12]])</f>
        <v>14</v>
      </c>
      <c r="U32" s="85" t="str">
        <f>VLOOKUP(IT_12[[#This Row],[Product Line]],Prod_T6[],4,0)</f>
        <v>ESS</v>
      </c>
      <c r="V32" s="120"/>
    </row>
    <row r="34" spans="9:20" ht="14.25" customHeight="1">
      <c r="I34" s="2">
        <f>SUBTOTAL(9,IT_12[26M04])</f>
        <v>351</v>
      </c>
      <c r="J34" s="2">
        <f>SUBTOTAL(9,IT_12[26M05])</f>
        <v>446</v>
      </c>
      <c r="K34" s="2">
        <f>SUBTOTAL(9,IT_12[26M06])</f>
        <v>588</v>
      </c>
      <c r="L34" s="2">
        <f>SUBTOTAL(9,IT_12[26M07])</f>
        <v>855</v>
      </c>
      <c r="M34" s="2">
        <f>SUBTOTAL(9,IT_12[26M08])</f>
        <v>444.6</v>
      </c>
      <c r="N34" s="2">
        <f>SUBTOTAL(9,IT_12[26M09])</f>
        <v>855</v>
      </c>
      <c r="O34" s="2">
        <f>SUBTOTAL(9,IT_12[26M10])</f>
        <v>750</v>
      </c>
      <c r="P34" s="2">
        <f>SUBTOTAL(9,IT_12[26M11])</f>
        <v>930</v>
      </c>
      <c r="Q34" s="2">
        <f>SUBTOTAL(9,IT_12[26M12])</f>
        <v>981</v>
      </c>
      <c r="R34" s="2">
        <f>SUBTOTAL(9,IT_12[26Q2])</f>
        <v>1385</v>
      </c>
      <c r="S34" s="2">
        <f>SUBTOTAL(9,IT_12[26Q3])</f>
        <v>2154.6000000000004</v>
      </c>
      <c r="T34" s="2"/>
    </row>
    <row r="35" spans="9:20" ht="14.25" customHeight="1">
      <c r="O35" s="2">
        <f>O34*0.6</f>
        <v>450</v>
      </c>
      <c r="P35" s="2">
        <f>P34*0.6</f>
        <v>558</v>
      </c>
      <c r="Q35" s="2">
        <f>Q34*0.6</f>
        <v>588.6</v>
      </c>
    </row>
  </sheetData>
  <phoneticPr fontId="45" type="noConversion"/>
  <dataValidations count="4">
    <dataValidation type="list" allowBlank="1" showInputMessage="1" showErrorMessage="1" sqref="E6:E32 B6:B32" xr:uid="{0F47B38B-2DFC-400E-BCEC-3776A6840DBC}">
      <formula1>INDIRECT(A6)</formula1>
    </dataValidation>
    <dataValidation type="list" allowBlank="1" showInputMessage="1" showErrorMessage="1" sqref="A6:A32" xr:uid="{74335CFF-CC13-4ED2-8EE6-4A409753B70A}">
      <formula1>Country_List</formula1>
    </dataValidation>
    <dataValidation type="list" allowBlank="1" showInputMessage="1" showErrorMessage="1" sqref="D6:D32" xr:uid="{B7182CF8-D128-4135-9053-BD1DE3AD6F6B}">
      <formula1>Product_List</formula1>
    </dataValidation>
    <dataValidation type="list" allowBlank="1" showInputMessage="1" showErrorMessage="1" sqref="F6:F32" xr:uid="{459CF0F8-A31F-4BA3-A234-195A98B649AA}">
      <formula1>Stage_List</formula1>
    </dataValidation>
  </dataValidations>
  <pageMargins left="0.70866141732283505" right="0.70866141732283505" top="0.74803149606299202" bottom="0.74803149606299202" header="0.31496062992126" footer="0.31496062992126"/>
  <pageSetup paperSize="9" scale="49" orientation="landscape"/>
  <legacy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F6C01-18DB-4C22-B5F2-007A20F7F0CF}">
  <sheetPr>
    <tabColor rgb="FF002060"/>
    <pageSetUpPr fitToPage="1"/>
  </sheetPr>
  <dimension ref="A1:U159"/>
  <sheetViews>
    <sheetView zoomScale="70" zoomScaleNormal="70" workbookViewId="0">
      <pane xSplit="5" ySplit="5" topLeftCell="F116" activePane="bottomRight" state="frozen"/>
      <selection pane="topRight" activeCell="F1" sqref="F1"/>
      <selection pane="bottomLeft" activeCell="A6" sqref="A6"/>
      <selection pane="bottomRight" activeCell="D6" sqref="D6:Q159"/>
    </sheetView>
  </sheetViews>
  <sheetFormatPr defaultColWidth="8.08984375" defaultRowHeight="13" outlineLevelCol="1"/>
  <cols>
    <col min="1" max="1" width="8.08984375" style="2" customWidth="1"/>
    <col min="2" max="2" width="38.08984375" style="1" customWidth="1"/>
    <col min="3" max="3" width="14.36328125" style="3" customWidth="1" outlineLevel="1"/>
    <col min="4" max="4" width="15.6328125" style="2" bestFit="1" customWidth="1"/>
    <col min="5" max="5" width="33.6328125" style="2" customWidth="1"/>
    <col min="6" max="6" width="15.90625" style="2" bestFit="1" customWidth="1"/>
    <col min="7" max="7" width="35.36328125" style="62" customWidth="1"/>
    <col min="8" max="8" width="12" style="277" customWidth="1"/>
    <col min="9" max="17" width="9.36328125" style="2" customWidth="1" outlineLevel="1"/>
    <col min="18" max="18" width="8.36328125" style="5" customWidth="1"/>
    <col min="19" max="19" width="11.90625" style="2" bestFit="1" customWidth="1"/>
    <col min="20" max="20" width="8.36328125" style="2" customWidth="1"/>
    <col min="21" max="16384" width="8.08984375" style="2"/>
  </cols>
  <sheetData>
    <row r="1" spans="1:21" ht="18.75" customHeight="1">
      <c r="B1" s="2"/>
      <c r="C1" s="3">
        <f>+SUM(E1:E3)</f>
        <v>141.973288</v>
      </c>
      <c r="D1" s="2" t="s">
        <v>723</v>
      </c>
      <c r="E1" s="2">
        <f>+SUBTOTAL(9,L6:L1048576)</f>
        <v>31.831099999999999</v>
      </c>
      <c r="F1" s="2" t="s">
        <v>5</v>
      </c>
      <c r="H1" s="6"/>
      <c r="I1" s="123" t="s">
        <v>623</v>
      </c>
      <c r="J1" s="124" t="s">
        <v>623</v>
      </c>
      <c r="K1" s="124" t="s">
        <v>623</v>
      </c>
      <c r="L1" s="123" t="s">
        <v>623</v>
      </c>
      <c r="M1" s="124" t="s">
        <v>623</v>
      </c>
      <c r="N1" s="124" t="s">
        <v>623</v>
      </c>
      <c r="O1" s="123" t="s">
        <v>623</v>
      </c>
      <c r="P1" s="124" t="s">
        <v>623</v>
      </c>
      <c r="Q1" s="125" t="s">
        <v>623</v>
      </c>
      <c r="R1" s="5" t="s">
        <v>623</v>
      </c>
      <c r="S1" s="5" t="s">
        <v>623</v>
      </c>
      <c r="T1" s="5" t="s">
        <v>623</v>
      </c>
    </row>
    <row r="2" spans="1:21" ht="13.5">
      <c r="B2" s="2"/>
      <c r="C2" s="2"/>
      <c r="D2" s="2" t="s">
        <v>724</v>
      </c>
      <c r="E2" s="2">
        <f>+SUBTOTAL(9,M6:M1048576)</f>
        <v>20.979538000000005</v>
      </c>
      <c r="G2" s="49" t="s">
        <v>27</v>
      </c>
      <c r="H2" s="278"/>
      <c r="I2" s="207" t="e">
        <f>SUMIFS(#REF!,#REF!,$G2)</f>
        <v>#REF!</v>
      </c>
      <c r="J2" s="200" t="e">
        <f>SUMIFS(#REF!,#REF!,$G2)</f>
        <v>#REF!</v>
      </c>
      <c r="K2" s="208" t="e">
        <f>SUMIFS(#REF!,#REF!,$G2)</f>
        <v>#REF!</v>
      </c>
      <c r="L2" s="207" t="e">
        <f>SUMIFS(#REF!,#REF!,$G2)</f>
        <v>#REF!</v>
      </c>
      <c r="M2" s="200" t="e">
        <f>SUMIFS(#REF!,#REF!,$G2)</f>
        <v>#REF!</v>
      </c>
      <c r="N2" s="208" t="e">
        <f>SUMIFS(#REF!,#REF!,$G2)</f>
        <v>#REF!</v>
      </c>
      <c r="O2" s="207" t="e">
        <f>SUMIFS(#REF!,#REF!,$G2)</f>
        <v>#REF!</v>
      </c>
      <c r="P2" s="200" t="e">
        <f>SUMIFS(#REF!,#REF!,$G2)</f>
        <v>#REF!</v>
      </c>
      <c r="Q2" s="209" t="e">
        <f>SUMIFS(#REF!,#REF!,$G2)</f>
        <v>#REF!</v>
      </c>
      <c r="R2" s="210" t="e">
        <f>SUMIFS(#REF!,#REF!,$G2)</f>
        <v>#REF!</v>
      </c>
      <c r="S2" s="200" t="e">
        <f>SUMIFS(#REF!,#REF!,$G2)</f>
        <v>#REF!</v>
      </c>
      <c r="T2" s="200" t="e">
        <f>SUMIFS(#REF!,#REF!,$G2)</f>
        <v>#REF!</v>
      </c>
    </row>
    <row r="3" spans="1:21" ht="13.5">
      <c r="B3" s="2"/>
      <c r="C3" s="2"/>
      <c r="D3" s="2" t="s">
        <v>725</v>
      </c>
      <c r="E3" s="2">
        <f>+SUBTOTAL(9,N6:N1048576)</f>
        <v>89.162649999999999</v>
      </c>
      <c r="G3" s="49" t="s">
        <v>87</v>
      </c>
      <c r="H3" s="278"/>
      <c r="I3" s="207" t="e">
        <f>SUMIFS(#REF!,#REF!,$G3)</f>
        <v>#REF!</v>
      </c>
      <c r="J3" s="200" t="e">
        <f>SUMIFS(#REF!,#REF!,$G3)</f>
        <v>#REF!</v>
      </c>
      <c r="K3" s="208" t="e">
        <f>SUMIFS(#REF!,#REF!,$G3)</f>
        <v>#REF!</v>
      </c>
      <c r="L3" s="207" t="e">
        <f>SUMIFS(#REF!,#REF!,$G3)</f>
        <v>#REF!</v>
      </c>
      <c r="M3" s="200" t="e">
        <f>SUMIFS(#REF!,#REF!,$G3)</f>
        <v>#REF!</v>
      </c>
      <c r="N3" s="208" t="e">
        <f>SUMIFS(#REF!,#REF!,$G3)</f>
        <v>#REF!</v>
      </c>
      <c r="O3" s="207" t="e">
        <f>SUMIFS(#REF!,#REF!,$G3)</f>
        <v>#REF!</v>
      </c>
      <c r="P3" s="200" t="e">
        <f>SUMIFS(#REF!,#REF!,$G3)</f>
        <v>#REF!</v>
      </c>
      <c r="Q3" s="209" t="e">
        <f>SUMIFS(#REF!,#REF!,$G3)</f>
        <v>#REF!</v>
      </c>
      <c r="R3" s="210" t="e">
        <f>SUMIFS(#REF!,#REF!,$G3)</f>
        <v>#REF!</v>
      </c>
      <c r="S3" s="200" t="e">
        <f>SUMIFS(#REF!,#REF!,$G3)</f>
        <v>#REF!</v>
      </c>
      <c r="T3" s="200" t="e">
        <f>SUMIFS(#REF!,#REF!,$G3)</f>
        <v>#REF!</v>
      </c>
    </row>
    <row r="4" spans="1:21" ht="13.5">
      <c r="B4" s="2"/>
      <c r="C4" s="2"/>
      <c r="G4" s="49" t="s">
        <v>70</v>
      </c>
      <c r="H4" s="278"/>
      <c r="I4" s="207" t="e">
        <f>SUMIFS(#REF!,#REF!,$G4)</f>
        <v>#REF!</v>
      </c>
      <c r="J4" s="200" t="e">
        <f>SUMIFS(#REF!,#REF!,$G4)</f>
        <v>#REF!</v>
      </c>
      <c r="K4" s="208" t="e">
        <f>SUMIFS(#REF!,#REF!,$G4)</f>
        <v>#REF!</v>
      </c>
      <c r="L4" s="207" t="e">
        <f>SUMIFS(#REF!,#REF!,$G4)</f>
        <v>#REF!</v>
      </c>
      <c r="M4" s="200" t="e">
        <f>SUMIFS(#REF!,#REF!,$G4)</f>
        <v>#REF!</v>
      </c>
      <c r="N4" s="208" t="e">
        <f>SUMIFS(#REF!,#REF!,$G4)</f>
        <v>#REF!</v>
      </c>
      <c r="O4" s="207" t="e">
        <f>SUMIFS(#REF!,#REF!,$G4)</f>
        <v>#REF!</v>
      </c>
      <c r="P4" s="200" t="e">
        <f>SUMIFS(#REF!,#REF!,$G4)</f>
        <v>#REF!</v>
      </c>
      <c r="Q4" s="209" t="e">
        <f>SUMIFS(#REF!,#REF!,$G4)</f>
        <v>#REF!</v>
      </c>
      <c r="R4" s="210" t="e">
        <f>SUMIFS(#REF!,#REF!,$G4)</f>
        <v>#REF!</v>
      </c>
      <c r="S4" s="200" t="e">
        <f>SUMIFS(#REF!,#REF!,$G4)</f>
        <v>#REF!</v>
      </c>
      <c r="T4" s="200" t="e">
        <f>SUMIFS(#REF!,#REF!,$G4)</f>
        <v>#REF!</v>
      </c>
    </row>
    <row r="5" spans="1:21" s="8" customFormat="1" ht="42" customHeight="1">
      <c r="A5" s="10" t="s">
        <v>45</v>
      </c>
      <c r="B5" s="11" t="s">
        <v>1</v>
      </c>
      <c r="C5" s="10" t="s">
        <v>92</v>
      </c>
      <c r="D5" s="10" t="s">
        <v>3</v>
      </c>
      <c r="E5" s="10" t="s">
        <v>28</v>
      </c>
      <c r="F5" s="10" t="s">
        <v>5</v>
      </c>
      <c r="G5" s="66" t="s">
        <v>93</v>
      </c>
      <c r="H5" s="9" t="s">
        <v>94</v>
      </c>
      <c r="I5" s="126" t="s">
        <v>95</v>
      </c>
      <c r="J5" s="127" t="s">
        <v>96</v>
      </c>
      <c r="K5" s="127" t="s">
        <v>97</v>
      </c>
      <c r="L5" s="128" t="s">
        <v>98</v>
      </c>
      <c r="M5" s="129" t="s">
        <v>99</v>
      </c>
      <c r="N5" s="129" t="s">
        <v>100</v>
      </c>
      <c r="O5" s="130" t="s">
        <v>34</v>
      </c>
      <c r="P5" s="131" t="s">
        <v>101</v>
      </c>
      <c r="Q5" s="132" t="s">
        <v>36</v>
      </c>
      <c r="R5" s="211" t="s">
        <v>626</v>
      </c>
      <c r="S5" s="211" t="s">
        <v>627</v>
      </c>
      <c r="T5" s="279" t="s">
        <v>628</v>
      </c>
      <c r="U5" s="78" t="s">
        <v>26</v>
      </c>
    </row>
    <row r="6" spans="1:21" ht="14.5">
      <c r="A6" s="14" t="s">
        <v>32</v>
      </c>
      <c r="B6" s="1" t="s">
        <v>333</v>
      </c>
      <c r="C6" s="3" t="s">
        <v>321</v>
      </c>
      <c r="D6" s="2" t="s">
        <v>118</v>
      </c>
      <c r="E6" s="2" t="s">
        <v>119</v>
      </c>
      <c r="F6" s="2" t="s">
        <v>136</v>
      </c>
      <c r="H6" s="40" t="s">
        <v>117</v>
      </c>
      <c r="I6" s="13">
        <v>0</v>
      </c>
      <c r="J6" s="13">
        <v>0.03</v>
      </c>
      <c r="K6" s="13">
        <v>0.05</v>
      </c>
      <c r="L6" s="13">
        <v>0</v>
      </c>
      <c r="M6" s="13">
        <v>0.1</v>
      </c>
      <c r="N6" s="13">
        <v>0</v>
      </c>
      <c r="O6" s="13">
        <v>0</v>
      </c>
      <c r="P6" s="13">
        <v>0</v>
      </c>
      <c r="Q6" s="13">
        <v>0</v>
      </c>
      <c r="R6" s="32">
        <f>SUM(DE_AT9[[#This Row],[26M04]:[26M06]])</f>
        <v>0.08</v>
      </c>
      <c r="S6" s="139">
        <f>SUM(DE_AT9[[#This Row],[26M07]:[26M09]])</f>
        <v>0.1</v>
      </c>
      <c r="T6" s="79">
        <f>SUM(DE_AT9[[#This Row],[26M10]:[26M12]])</f>
        <v>0</v>
      </c>
      <c r="U6" s="85" t="str">
        <f>VLOOKUP(DE_AT9[[#This Row],[Product Line]],Prod_T6[],4,0)</f>
        <v>PV</v>
      </c>
    </row>
    <row r="7" spans="1:21" ht="14.5">
      <c r="A7" s="14" t="s">
        <v>32</v>
      </c>
      <c r="B7" s="1" t="s">
        <v>333</v>
      </c>
      <c r="C7" s="3" t="s">
        <v>321</v>
      </c>
      <c r="D7" s="2" t="s">
        <v>118</v>
      </c>
      <c r="E7" s="2" t="s">
        <v>255</v>
      </c>
      <c r="F7" s="2" t="s">
        <v>120</v>
      </c>
      <c r="H7" s="40" t="s">
        <v>117</v>
      </c>
      <c r="I7" s="13">
        <v>0</v>
      </c>
      <c r="J7" s="13">
        <v>0</v>
      </c>
      <c r="K7" s="13">
        <v>0.1</v>
      </c>
      <c r="L7" s="13">
        <v>0</v>
      </c>
      <c r="M7" s="13">
        <v>0</v>
      </c>
      <c r="N7" s="13">
        <v>0</v>
      </c>
      <c r="O7" s="13">
        <v>0</v>
      </c>
      <c r="P7" s="13">
        <v>0.3</v>
      </c>
      <c r="Q7" s="13">
        <v>0</v>
      </c>
      <c r="R7" s="32">
        <f>SUM(DE_AT9[[#This Row],[26M04]:[26M06]])</f>
        <v>0.1</v>
      </c>
      <c r="S7" s="79">
        <f>SUM(DE_AT9[[#This Row],[26M07]:[26M09]])</f>
        <v>0</v>
      </c>
      <c r="T7" s="79">
        <f>SUM(DE_AT9[[#This Row],[26M10]:[26M12]])</f>
        <v>0.3</v>
      </c>
      <c r="U7" s="85" t="str">
        <f>VLOOKUP(DE_AT9[[#This Row],[Product Line]],Prod_T6[],4,0)</f>
        <v>PV</v>
      </c>
    </row>
    <row r="8" spans="1:21" ht="14.5">
      <c r="A8" s="14" t="s">
        <v>32</v>
      </c>
      <c r="B8" s="1" t="s">
        <v>333</v>
      </c>
      <c r="C8" s="3" t="s">
        <v>321</v>
      </c>
      <c r="D8" s="2" t="s">
        <v>276</v>
      </c>
      <c r="E8" s="2" t="s">
        <v>322</v>
      </c>
      <c r="F8" s="2" t="s">
        <v>136</v>
      </c>
      <c r="H8" s="40" t="s">
        <v>117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0.1</v>
      </c>
      <c r="P8" s="13">
        <v>0</v>
      </c>
      <c r="Q8" s="13">
        <v>0.1</v>
      </c>
      <c r="R8" s="32">
        <f>SUM(DE_AT9[[#This Row],[26M04]:[26M06]])</f>
        <v>0</v>
      </c>
      <c r="S8" s="79">
        <f>SUM(DE_AT9[[#This Row],[26M07]:[26M09]])</f>
        <v>0</v>
      </c>
      <c r="T8" s="79">
        <f>SUM(DE_AT9[[#This Row],[26M10]:[26M12]])</f>
        <v>0.2</v>
      </c>
      <c r="U8" s="85" t="str">
        <f>VLOOKUP(DE_AT9[[#This Row],[Product Line]],Prod_T6[],4,0)</f>
        <v>PV</v>
      </c>
    </row>
    <row r="9" spans="1:21" ht="14.5">
      <c r="A9" s="14" t="s">
        <v>32</v>
      </c>
      <c r="B9" s="1" t="s">
        <v>333</v>
      </c>
      <c r="C9" s="3" t="s">
        <v>321</v>
      </c>
      <c r="D9" s="2" t="s">
        <v>323</v>
      </c>
      <c r="E9" s="2" t="s">
        <v>324</v>
      </c>
      <c r="F9" s="2" t="s">
        <v>136</v>
      </c>
      <c r="H9" s="40" t="s">
        <v>117</v>
      </c>
      <c r="I9" s="1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32">
        <f>SUM(DE_AT9[[#This Row],[26M04]:[26M06]])</f>
        <v>0</v>
      </c>
      <c r="S9" s="79">
        <f>SUM(DE_AT9[[#This Row],[26M07]:[26M09]])</f>
        <v>0</v>
      </c>
      <c r="T9" s="79">
        <f>SUM(DE_AT9[[#This Row],[26M10]:[26M12]])</f>
        <v>0</v>
      </c>
      <c r="U9" s="85" t="str">
        <f>VLOOKUP(DE_AT9[[#This Row],[Product Line]],Prod_T6[],4,0)</f>
        <v>PV</v>
      </c>
    </row>
    <row r="10" spans="1:21" ht="14.5">
      <c r="A10" s="14" t="s">
        <v>32</v>
      </c>
      <c r="B10" s="1" t="s">
        <v>334</v>
      </c>
      <c r="C10" s="3" t="s">
        <v>321</v>
      </c>
      <c r="D10" s="2" t="s">
        <v>118</v>
      </c>
      <c r="E10" s="2" t="s">
        <v>255</v>
      </c>
      <c r="F10" s="2" t="s">
        <v>120</v>
      </c>
      <c r="H10" s="40" t="s">
        <v>117</v>
      </c>
      <c r="I10" s="13">
        <v>0</v>
      </c>
      <c r="J10" s="13">
        <v>0</v>
      </c>
      <c r="K10" s="13">
        <v>0.4</v>
      </c>
      <c r="L10" s="13">
        <v>0</v>
      </c>
      <c r="M10" s="13">
        <v>0.3</v>
      </c>
      <c r="N10" s="13">
        <v>0</v>
      </c>
      <c r="O10" s="13">
        <v>0</v>
      </c>
      <c r="P10" s="13">
        <v>0.3</v>
      </c>
      <c r="Q10" s="13">
        <v>0</v>
      </c>
      <c r="R10" s="32">
        <f>SUM(DE_AT9[[#This Row],[26M04]:[26M06]])</f>
        <v>0.4</v>
      </c>
      <c r="S10" s="79">
        <f>SUM(DE_AT9[[#This Row],[26M07]:[26M09]])</f>
        <v>0.3</v>
      </c>
      <c r="T10" s="79">
        <f>SUM(DE_AT9[[#This Row],[26M10]:[26M12]])</f>
        <v>0.3</v>
      </c>
      <c r="U10" s="85" t="str">
        <f>VLOOKUP(DE_AT9[[#This Row],[Product Line]],Prod_T6[],4,0)</f>
        <v>PV</v>
      </c>
    </row>
    <row r="11" spans="1:21" ht="14.5">
      <c r="A11" s="14" t="s">
        <v>32</v>
      </c>
      <c r="B11" s="1" t="s">
        <v>334</v>
      </c>
      <c r="C11" s="3" t="s">
        <v>321</v>
      </c>
      <c r="D11" s="2" t="s">
        <v>276</v>
      </c>
      <c r="E11" s="2" t="s">
        <v>277</v>
      </c>
      <c r="F11" s="2" t="s">
        <v>120</v>
      </c>
      <c r="H11" s="40" t="s">
        <v>117</v>
      </c>
      <c r="I11" s="13">
        <v>0.4</v>
      </c>
      <c r="J11" s="13">
        <v>0</v>
      </c>
      <c r="K11" s="13">
        <v>0</v>
      </c>
      <c r="L11" s="13">
        <v>0</v>
      </c>
      <c r="M11" s="13">
        <v>0.1</v>
      </c>
      <c r="N11" s="13">
        <v>0</v>
      </c>
      <c r="O11" s="13">
        <v>0</v>
      </c>
      <c r="P11" s="13">
        <v>0</v>
      </c>
      <c r="Q11" s="13">
        <v>0</v>
      </c>
      <c r="R11" s="32">
        <f>SUM(DE_AT9[[#This Row],[26M04]:[26M06]])</f>
        <v>0.4</v>
      </c>
      <c r="S11" s="79">
        <f>SUM(DE_AT9[[#This Row],[26M07]:[26M09]])</f>
        <v>0.1</v>
      </c>
      <c r="T11" s="79">
        <f>SUM(DE_AT9[[#This Row],[26M10]:[26M12]])</f>
        <v>0</v>
      </c>
      <c r="U11" s="85" t="str">
        <f>VLOOKUP(DE_AT9[[#This Row],[Product Line]],Prod_T6[],4,0)</f>
        <v>PV</v>
      </c>
    </row>
    <row r="12" spans="1:21" ht="14.5">
      <c r="A12" s="14" t="s">
        <v>32</v>
      </c>
      <c r="B12" s="1" t="s">
        <v>334</v>
      </c>
      <c r="C12" s="3" t="s">
        <v>321</v>
      </c>
      <c r="D12" s="2" t="s">
        <v>276</v>
      </c>
      <c r="E12" s="2" t="s">
        <v>322</v>
      </c>
      <c r="F12" s="2" t="s">
        <v>136</v>
      </c>
      <c r="H12" s="40" t="s">
        <v>117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0.1</v>
      </c>
      <c r="P12" s="13">
        <v>0.1</v>
      </c>
      <c r="Q12" s="13">
        <v>0.1</v>
      </c>
      <c r="R12" s="32">
        <f>SUM(DE_AT9[[#This Row],[26M04]:[26M06]])</f>
        <v>0</v>
      </c>
      <c r="S12" s="79">
        <f>SUM(DE_AT9[[#This Row],[26M07]:[26M09]])</f>
        <v>0</v>
      </c>
      <c r="T12" s="79">
        <f>SUM(DE_AT9[[#This Row],[26M10]:[26M12]])</f>
        <v>0.30000000000000004</v>
      </c>
      <c r="U12" s="85" t="str">
        <f>VLOOKUP(DE_AT9[[#This Row],[Product Line]],Prod_T6[],4,0)</f>
        <v>PV</v>
      </c>
    </row>
    <row r="13" spans="1:21" ht="14.5">
      <c r="A13" s="14" t="s">
        <v>32</v>
      </c>
      <c r="B13" s="1" t="s">
        <v>334</v>
      </c>
      <c r="C13" s="3" t="s">
        <v>321</v>
      </c>
      <c r="D13" s="2" t="s">
        <v>323</v>
      </c>
      <c r="E13" s="2" t="s">
        <v>324</v>
      </c>
      <c r="F13" s="2" t="s">
        <v>136</v>
      </c>
      <c r="H13" s="40" t="s">
        <v>117</v>
      </c>
      <c r="I13" s="13">
        <v>0</v>
      </c>
      <c r="J13" s="13">
        <v>0</v>
      </c>
      <c r="K13" s="13">
        <v>0.4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32">
        <f>SUM(DE_AT9[[#This Row],[26M04]:[26M06]])</f>
        <v>0.4</v>
      </c>
      <c r="S13" s="79">
        <f>SUM(DE_AT9[[#This Row],[26M07]:[26M09]])</f>
        <v>0</v>
      </c>
      <c r="T13" s="79">
        <f>SUM(DE_AT9[[#This Row],[26M10]:[26M12]])</f>
        <v>0</v>
      </c>
      <c r="U13" s="85" t="str">
        <f>VLOOKUP(DE_AT9[[#This Row],[Product Line]],Prod_T6[],4,0)</f>
        <v>PV</v>
      </c>
    </row>
    <row r="14" spans="1:21" ht="14.5">
      <c r="A14" s="14" t="s">
        <v>32</v>
      </c>
      <c r="B14" s="1" t="s">
        <v>335</v>
      </c>
      <c r="C14" s="3" t="s">
        <v>321</v>
      </c>
      <c r="D14" s="2" t="s">
        <v>118</v>
      </c>
      <c r="E14" s="2" t="s">
        <v>119</v>
      </c>
      <c r="F14" s="2" t="s">
        <v>120</v>
      </c>
      <c r="H14" s="40" t="s">
        <v>117</v>
      </c>
      <c r="I14" s="13">
        <v>0</v>
      </c>
      <c r="J14" s="13">
        <v>0.05</v>
      </c>
      <c r="K14" s="13">
        <v>0</v>
      </c>
      <c r="L14" s="13">
        <v>0</v>
      </c>
      <c r="M14" s="13">
        <v>0</v>
      </c>
      <c r="N14" s="13">
        <v>0.1</v>
      </c>
      <c r="O14" s="13">
        <v>0</v>
      </c>
      <c r="P14" s="13">
        <v>0</v>
      </c>
      <c r="Q14" s="13">
        <v>0</v>
      </c>
      <c r="R14" s="32">
        <f>SUM(DE_AT9[[#This Row],[26M04]:[26M06]])</f>
        <v>0.05</v>
      </c>
      <c r="S14" s="79">
        <f>SUM(DE_AT9[[#This Row],[26M07]:[26M09]])</f>
        <v>0.1</v>
      </c>
      <c r="T14" s="79">
        <f>SUM(DE_AT9[[#This Row],[26M10]:[26M12]])</f>
        <v>0</v>
      </c>
      <c r="U14" s="85" t="str">
        <f>VLOOKUP(DE_AT9[[#This Row],[Product Line]],Prod_T6[],4,0)</f>
        <v>PV</v>
      </c>
    </row>
    <row r="15" spans="1:21" ht="14.5">
      <c r="A15" s="14" t="s">
        <v>32</v>
      </c>
      <c r="B15" s="1" t="s">
        <v>335</v>
      </c>
      <c r="C15" s="3" t="s">
        <v>321</v>
      </c>
      <c r="D15" s="2" t="s">
        <v>276</v>
      </c>
      <c r="E15" s="2" t="s">
        <v>277</v>
      </c>
      <c r="F15" s="2" t="s">
        <v>120</v>
      </c>
      <c r="H15" s="40" t="s">
        <v>117</v>
      </c>
      <c r="I15" s="13">
        <v>0.02</v>
      </c>
      <c r="J15" s="13">
        <v>0</v>
      </c>
      <c r="K15" s="13">
        <v>0.02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32">
        <f>SUM(DE_AT9[[#This Row],[26M04]:[26M06]])</f>
        <v>0.04</v>
      </c>
      <c r="S15" s="79">
        <f>SUM(DE_AT9[[#This Row],[26M07]:[26M09]])</f>
        <v>0</v>
      </c>
      <c r="T15" s="79">
        <f>SUM(DE_AT9[[#This Row],[26M10]:[26M12]])</f>
        <v>0</v>
      </c>
      <c r="U15" s="85" t="str">
        <f>VLOOKUP(DE_AT9[[#This Row],[Product Line]],Prod_T6[],4,0)</f>
        <v>PV</v>
      </c>
    </row>
    <row r="16" spans="1:21" ht="15" customHeight="1">
      <c r="A16" s="14" t="s">
        <v>32</v>
      </c>
      <c r="B16" s="1" t="s">
        <v>335</v>
      </c>
      <c r="C16" s="3" t="s">
        <v>321</v>
      </c>
      <c r="D16" s="2" t="s">
        <v>276</v>
      </c>
      <c r="E16" s="2" t="s">
        <v>322</v>
      </c>
      <c r="F16" s="2" t="s">
        <v>136</v>
      </c>
      <c r="H16" s="40" t="s">
        <v>117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0.1</v>
      </c>
      <c r="P16" s="13">
        <v>0</v>
      </c>
      <c r="Q16" s="13">
        <v>0.1</v>
      </c>
      <c r="R16" s="32">
        <f>SUM(DE_AT9[[#This Row],[26M04]:[26M06]])</f>
        <v>0</v>
      </c>
      <c r="S16" s="79">
        <f>SUM(DE_AT9[[#This Row],[26M07]:[26M09]])</f>
        <v>0</v>
      </c>
      <c r="T16" s="79">
        <f>SUM(DE_AT9[[#This Row],[26M10]:[26M12]])</f>
        <v>0.2</v>
      </c>
      <c r="U16" s="85" t="str">
        <f>VLOOKUP(DE_AT9[[#This Row],[Product Line]],Prod_T6[],4,0)</f>
        <v>PV</v>
      </c>
    </row>
    <row r="17" spans="1:21" ht="15" customHeight="1">
      <c r="A17" s="14" t="s">
        <v>32</v>
      </c>
      <c r="B17" s="1" t="s">
        <v>335</v>
      </c>
      <c r="C17" s="3" t="s">
        <v>321</v>
      </c>
      <c r="D17" s="2" t="s">
        <v>323</v>
      </c>
      <c r="E17" s="2" t="s">
        <v>324</v>
      </c>
      <c r="F17" s="2" t="s">
        <v>136</v>
      </c>
      <c r="H17" s="40" t="s">
        <v>117</v>
      </c>
      <c r="I17" s="13">
        <v>0</v>
      </c>
      <c r="J17" s="13">
        <v>0</v>
      </c>
      <c r="K17" s="13">
        <v>0.05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32">
        <f>SUM(DE_AT9[[#This Row],[26M04]:[26M06]])</f>
        <v>0.05</v>
      </c>
      <c r="S17" s="79">
        <f>SUM(DE_AT9[[#This Row],[26M07]:[26M09]])</f>
        <v>0</v>
      </c>
      <c r="T17" s="79">
        <f>SUM(DE_AT9[[#This Row],[26M10]:[26M12]])</f>
        <v>0</v>
      </c>
      <c r="U17" s="85" t="str">
        <f>VLOOKUP(DE_AT9[[#This Row],[Product Line]],Prod_T6[],4,0)</f>
        <v>PV</v>
      </c>
    </row>
    <row r="18" spans="1:21" ht="14.5">
      <c r="A18" s="14" t="s">
        <v>32</v>
      </c>
      <c r="B18" s="1" t="s">
        <v>336</v>
      </c>
      <c r="C18" s="3" t="s">
        <v>321</v>
      </c>
      <c r="D18" s="2" t="s">
        <v>149</v>
      </c>
      <c r="E18" s="2" t="s">
        <v>289</v>
      </c>
      <c r="F18" s="2" t="s">
        <v>156</v>
      </c>
      <c r="H18" s="40" t="s">
        <v>117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1</v>
      </c>
      <c r="O18" s="13">
        <v>0</v>
      </c>
      <c r="P18" s="13">
        <v>1</v>
      </c>
      <c r="Q18" s="13">
        <v>0</v>
      </c>
      <c r="R18" s="32">
        <f>SUM(DE_AT9[[#This Row],[26M04]:[26M06]])</f>
        <v>0</v>
      </c>
      <c r="S18" s="79">
        <f>SUM(DE_AT9[[#This Row],[26M07]:[26M09]])</f>
        <v>1</v>
      </c>
      <c r="T18" s="79">
        <f>SUM(DE_AT9[[#This Row],[26M10]:[26M12]])</f>
        <v>1</v>
      </c>
      <c r="U18" s="85" t="str">
        <f>VLOOKUP(DE_AT9[[#This Row],[Product Line]],Prod_T6[],4,0)</f>
        <v>PV</v>
      </c>
    </row>
    <row r="19" spans="1:21" ht="14.5">
      <c r="A19" s="14" t="s">
        <v>32</v>
      </c>
      <c r="B19" s="1" t="s">
        <v>336</v>
      </c>
      <c r="C19" s="3" t="s">
        <v>321</v>
      </c>
      <c r="D19" s="2" t="s">
        <v>314</v>
      </c>
      <c r="E19" s="2" t="s">
        <v>315</v>
      </c>
      <c r="F19" s="2" t="s">
        <v>136</v>
      </c>
      <c r="H19" s="40" t="s">
        <v>117</v>
      </c>
      <c r="I19" s="13">
        <v>0</v>
      </c>
      <c r="J19" s="13">
        <v>0.4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32">
        <f>SUM(DE_AT9[[#This Row],[26M04]:[26M06]])</f>
        <v>0.4</v>
      </c>
      <c r="S19" s="79">
        <f>SUM(DE_AT9[[#This Row],[26M07]:[26M09]])</f>
        <v>0</v>
      </c>
      <c r="T19" s="79">
        <f>SUM(DE_AT9[[#This Row],[26M10]:[26M12]])</f>
        <v>0</v>
      </c>
      <c r="U19" s="85" t="str">
        <f>VLOOKUP(DE_AT9[[#This Row],[Product Line]],Prod_T6[],4,0)</f>
        <v>PV</v>
      </c>
    </row>
    <row r="20" spans="1:21" ht="14.5">
      <c r="A20" s="14" t="s">
        <v>32</v>
      </c>
      <c r="B20" s="1" t="s">
        <v>337</v>
      </c>
      <c r="C20" s="3" t="s">
        <v>321</v>
      </c>
      <c r="D20" s="2" t="s">
        <v>276</v>
      </c>
      <c r="E20" s="2" t="s">
        <v>277</v>
      </c>
      <c r="F20" s="2" t="s">
        <v>120</v>
      </c>
      <c r="H20" s="40" t="s">
        <v>117</v>
      </c>
      <c r="I20" s="13">
        <v>0.01</v>
      </c>
      <c r="J20" s="13">
        <v>0</v>
      </c>
      <c r="K20" s="13">
        <v>0.02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32">
        <f>SUM(DE_AT9[[#This Row],[26M04]:[26M06]])</f>
        <v>0.03</v>
      </c>
      <c r="S20" s="79">
        <f>SUM(DE_AT9[[#This Row],[26M07]:[26M09]])</f>
        <v>0</v>
      </c>
      <c r="T20" s="79">
        <f>SUM(DE_AT9[[#This Row],[26M10]:[26M12]])</f>
        <v>0</v>
      </c>
      <c r="U20" s="85" t="str">
        <f>VLOOKUP(DE_AT9[[#This Row],[Product Line]],Prod_T6[],4,0)</f>
        <v>PV</v>
      </c>
    </row>
    <row r="21" spans="1:21" ht="14.5">
      <c r="A21" s="14" t="s">
        <v>32</v>
      </c>
      <c r="B21" s="1" t="s">
        <v>337</v>
      </c>
      <c r="C21" s="3" t="s">
        <v>321</v>
      </c>
      <c r="D21" s="2" t="s">
        <v>276</v>
      </c>
      <c r="E21" s="2" t="s">
        <v>322</v>
      </c>
      <c r="F21" s="2" t="s">
        <v>136</v>
      </c>
      <c r="H21" s="40" t="s">
        <v>117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0.05</v>
      </c>
      <c r="P21" s="13">
        <v>0</v>
      </c>
      <c r="Q21" s="13">
        <v>0.05</v>
      </c>
      <c r="R21" s="32">
        <f>SUM(DE_AT9[[#This Row],[26M04]:[26M06]])</f>
        <v>0</v>
      </c>
      <c r="S21" s="79">
        <f>SUM(DE_AT9[[#This Row],[26M07]:[26M09]])</f>
        <v>0</v>
      </c>
      <c r="T21" s="79">
        <f>SUM(DE_AT9[[#This Row],[26M10]:[26M12]])</f>
        <v>0.1</v>
      </c>
      <c r="U21" s="85" t="str">
        <f>VLOOKUP(DE_AT9[[#This Row],[Product Line]],Prod_T6[],4,0)</f>
        <v>PV</v>
      </c>
    </row>
    <row r="22" spans="1:21" ht="14.5">
      <c r="A22" s="14" t="s">
        <v>32</v>
      </c>
      <c r="B22" s="1" t="s">
        <v>332</v>
      </c>
      <c r="C22" s="3" t="s">
        <v>321</v>
      </c>
      <c r="D22" s="2" t="s">
        <v>276</v>
      </c>
      <c r="E22" s="2" t="s">
        <v>322</v>
      </c>
      <c r="F22" s="2" t="s">
        <v>136</v>
      </c>
      <c r="H22" s="40" t="s">
        <v>117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0.1</v>
      </c>
      <c r="P22" s="13">
        <v>0</v>
      </c>
      <c r="Q22" s="13">
        <v>0.1</v>
      </c>
      <c r="R22" s="32">
        <f>SUM(DE_AT9[[#This Row],[26M04]:[26M06]])</f>
        <v>0</v>
      </c>
      <c r="S22" s="79">
        <f>SUM(DE_AT9[[#This Row],[26M07]:[26M09]])</f>
        <v>0</v>
      </c>
      <c r="T22" s="79">
        <f>SUM(DE_AT9[[#This Row],[26M10]:[26M12]])</f>
        <v>0.2</v>
      </c>
      <c r="U22" s="85" t="str">
        <f>VLOOKUP(DE_AT9[[#This Row],[Product Line]],Prod_T6[],4,0)</f>
        <v>PV</v>
      </c>
    </row>
    <row r="23" spans="1:21" ht="14.5">
      <c r="A23" s="14" t="s">
        <v>32</v>
      </c>
      <c r="B23" s="1" t="s">
        <v>332</v>
      </c>
      <c r="C23" s="3" t="s">
        <v>321</v>
      </c>
      <c r="D23" s="2" t="s">
        <v>323</v>
      </c>
      <c r="E23" s="2" t="s">
        <v>324</v>
      </c>
      <c r="F23" s="2" t="s">
        <v>136</v>
      </c>
      <c r="H23" s="40" t="s">
        <v>117</v>
      </c>
      <c r="I23" s="13">
        <v>0</v>
      </c>
      <c r="J23" s="13">
        <v>0</v>
      </c>
      <c r="K23" s="13">
        <v>0.1</v>
      </c>
      <c r="L23" s="13">
        <v>0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32">
        <f>SUM(DE_AT9[[#This Row],[26M04]:[26M06]])</f>
        <v>0.1</v>
      </c>
      <c r="S23" s="79">
        <f>SUM(DE_AT9[[#This Row],[26M07]:[26M09]])</f>
        <v>0</v>
      </c>
      <c r="T23" s="79">
        <f>SUM(DE_AT9[[#This Row],[26M10]:[26M12]])</f>
        <v>0</v>
      </c>
      <c r="U23" s="85" t="str">
        <f>VLOOKUP(DE_AT9[[#This Row],[Product Line]],Prod_T6[],4,0)</f>
        <v>PV</v>
      </c>
    </row>
    <row r="24" spans="1:21" ht="14.5">
      <c r="A24" s="14" t="s">
        <v>32</v>
      </c>
      <c r="B24" s="1" t="s">
        <v>331</v>
      </c>
      <c r="C24" s="3" t="s">
        <v>321</v>
      </c>
      <c r="D24" s="2" t="s">
        <v>118</v>
      </c>
      <c r="E24" s="2" t="s">
        <v>255</v>
      </c>
      <c r="F24" s="2" t="s">
        <v>120</v>
      </c>
      <c r="H24" s="40" t="s">
        <v>117</v>
      </c>
      <c r="I24" s="13">
        <v>0</v>
      </c>
      <c r="J24" s="13">
        <v>0</v>
      </c>
      <c r="K24" s="13">
        <v>0.4</v>
      </c>
      <c r="L24" s="13">
        <v>0</v>
      </c>
      <c r="M24" s="13">
        <v>0</v>
      </c>
      <c r="N24" s="13">
        <v>0.4</v>
      </c>
      <c r="O24" s="13">
        <v>0</v>
      </c>
      <c r="P24" s="13">
        <v>0</v>
      </c>
      <c r="Q24" s="13">
        <v>0</v>
      </c>
      <c r="R24" s="32">
        <f>SUM(DE_AT9[[#This Row],[26M04]:[26M06]])</f>
        <v>0.4</v>
      </c>
      <c r="S24" s="79">
        <f>SUM(DE_AT9[[#This Row],[26M07]:[26M09]])</f>
        <v>0.4</v>
      </c>
      <c r="T24" s="79">
        <f>SUM(DE_AT9[[#This Row],[26M10]:[26M12]])</f>
        <v>0</v>
      </c>
      <c r="U24" s="85" t="str">
        <f>VLOOKUP(DE_AT9[[#This Row],[Product Line]],Prod_T6[],4,0)</f>
        <v>PV</v>
      </c>
    </row>
    <row r="25" spans="1:21" ht="14.5">
      <c r="A25" s="14" t="s">
        <v>32</v>
      </c>
      <c r="B25" s="1" t="s">
        <v>320</v>
      </c>
      <c r="C25" s="3" t="s">
        <v>321</v>
      </c>
      <c r="D25" s="2" t="s">
        <v>118</v>
      </c>
      <c r="E25" s="2" t="s">
        <v>119</v>
      </c>
      <c r="F25" s="2" t="s">
        <v>120</v>
      </c>
      <c r="H25" s="40" t="s">
        <v>117</v>
      </c>
      <c r="I25" s="13">
        <v>0.05</v>
      </c>
      <c r="J25" s="13">
        <v>0</v>
      </c>
      <c r="K25" s="13">
        <v>0</v>
      </c>
      <c r="L25" s="13">
        <v>0.1</v>
      </c>
      <c r="M25" s="13">
        <v>0</v>
      </c>
      <c r="N25" s="13">
        <v>0</v>
      </c>
      <c r="O25" s="13">
        <v>0.1</v>
      </c>
      <c r="P25" s="13">
        <v>0</v>
      </c>
      <c r="Q25" s="13">
        <v>0</v>
      </c>
      <c r="R25" s="32">
        <f>SUM(DE_AT9[[#This Row],[26M04]:[26M06]])</f>
        <v>0.05</v>
      </c>
      <c r="S25" s="79">
        <f>SUM(DE_AT9[[#This Row],[26M07]:[26M09]])</f>
        <v>0.1</v>
      </c>
      <c r="T25" s="79">
        <f>SUM(DE_AT9[[#This Row],[26M10]:[26M12]])</f>
        <v>0.1</v>
      </c>
      <c r="U25" s="85" t="str">
        <f>VLOOKUP(DE_AT9[[#This Row],[Product Line]],Prod_T6[],4,0)</f>
        <v>PV</v>
      </c>
    </row>
    <row r="26" spans="1:21" ht="14.5">
      <c r="A26" s="14" t="s">
        <v>32</v>
      </c>
      <c r="B26" s="1" t="s">
        <v>320</v>
      </c>
      <c r="C26" s="3" t="s">
        <v>321</v>
      </c>
      <c r="D26" s="2" t="s">
        <v>276</v>
      </c>
      <c r="E26" s="2" t="s">
        <v>277</v>
      </c>
      <c r="F26" s="2" t="s">
        <v>120</v>
      </c>
      <c r="H26" s="40" t="s">
        <v>117</v>
      </c>
      <c r="I26" s="13">
        <v>0</v>
      </c>
      <c r="J26" s="13">
        <v>0</v>
      </c>
      <c r="K26" s="13">
        <v>0.02</v>
      </c>
      <c r="L26" s="13">
        <v>0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32">
        <f>SUM(DE_AT9[[#This Row],[26M04]:[26M06]])</f>
        <v>0.02</v>
      </c>
      <c r="S26" s="79">
        <f>SUM(DE_AT9[[#This Row],[26M07]:[26M09]])</f>
        <v>0</v>
      </c>
      <c r="T26" s="79">
        <f>SUM(DE_AT9[[#This Row],[26M10]:[26M12]])</f>
        <v>0</v>
      </c>
      <c r="U26" s="85" t="str">
        <f>VLOOKUP(DE_AT9[[#This Row],[Product Line]],Prod_T6[],4,0)</f>
        <v>PV</v>
      </c>
    </row>
    <row r="27" spans="1:21" ht="14.5">
      <c r="A27" s="14" t="s">
        <v>32</v>
      </c>
      <c r="B27" s="1" t="s">
        <v>320</v>
      </c>
      <c r="C27" s="3" t="s">
        <v>321</v>
      </c>
      <c r="D27" s="2" t="s">
        <v>276</v>
      </c>
      <c r="E27" s="2" t="s">
        <v>322</v>
      </c>
      <c r="F27" s="2" t="s">
        <v>136</v>
      </c>
      <c r="H27" s="40" t="s">
        <v>117</v>
      </c>
      <c r="I27" s="13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0.1</v>
      </c>
      <c r="Q27" s="13">
        <v>0</v>
      </c>
      <c r="R27" s="32">
        <f>SUM(DE_AT9[[#This Row],[26M04]:[26M06]])</f>
        <v>0</v>
      </c>
      <c r="S27" s="79">
        <f>SUM(DE_AT9[[#This Row],[26M07]:[26M09]])</f>
        <v>0</v>
      </c>
      <c r="T27" s="79">
        <f>SUM(DE_AT9[[#This Row],[26M10]:[26M12]])</f>
        <v>0.1</v>
      </c>
      <c r="U27" s="85" t="str">
        <f>VLOOKUP(DE_AT9[[#This Row],[Product Line]],Prod_T6[],4,0)</f>
        <v>PV</v>
      </c>
    </row>
    <row r="28" spans="1:21" ht="14.5">
      <c r="A28" s="14" t="s">
        <v>32</v>
      </c>
      <c r="B28" s="1" t="s">
        <v>320</v>
      </c>
      <c r="C28" s="3" t="s">
        <v>321</v>
      </c>
      <c r="D28" s="2" t="s">
        <v>323</v>
      </c>
      <c r="E28" s="2" t="s">
        <v>324</v>
      </c>
      <c r="F28" s="2" t="s">
        <v>136</v>
      </c>
      <c r="H28" s="40" t="s">
        <v>117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32">
        <f>SUM(DE_AT9[[#This Row],[26M04]:[26M06]])</f>
        <v>0</v>
      </c>
      <c r="S28" s="79">
        <f>SUM(DE_AT9[[#This Row],[26M07]:[26M09]])</f>
        <v>0</v>
      </c>
      <c r="T28" s="79">
        <f>SUM(DE_AT9[[#This Row],[26M10]:[26M12]])</f>
        <v>0</v>
      </c>
      <c r="U28" s="85" t="str">
        <f>VLOOKUP(DE_AT9[[#This Row],[Product Line]],Prod_T6[],4,0)</f>
        <v>PV</v>
      </c>
    </row>
    <row r="29" spans="1:21" ht="14.5">
      <c r="A29" s="14" t="s">
        <v>32</v>
      </c>
      <c r="B29" s="1" t="s">
        <v>325</v>
      </c>
      <c r="C29" s="3" t="s">
        <v>321</v>
      </c>
      <c r="D29" s="2" t="s">
        <v>118</v>
      </c>
      <c r="E29" s="2" t="s">
        <v>145</v>
      </c>
      <c r="F29" s="2" t="s">
        <v>120</v>
      </c>
      <c r="H29" s="40" t="s">
        <v>117</v>
      </c>
      <c r="I29" s="13">
        <v>4</v>
      </c>
      <c r="J29" s="13">
        <v>2</v>
      </c>
      <c r="K29" s="13">
        <v>2</v>
      </c>
      <c r="L29" s="13">
        <v>0</v>
      </c>
      <c r="M29" s="13">
        <v>0</v>
      </c>
      <c r="N29" s="13">
        <v>1.5</v>
      </c>
      <c r="O29" s="13">
        <v>0</v>
      </c>
      <c r="P29" s="13">
        <v>1.5</v>
      </c>
      <c r="Q29" s="13">
        <v>0</v>
      </c>
      <c r="R29" s="32">
        <f>SUM(DE_AT9[[#This Row],[26M04]:[26M06]])</f>
        <v>8</v>
      </c>
      <c r="S29" s="79">
        <f>SUM(DE_AT9[[#This Row],[26M07]:[26M09]])</f>
        <v>1.5</v>
      </c>
      <c r="T29" s="79">
        <f>SUM(DE_AT9[[#This Row],[26M10]:[26M12]])</f>
        <v>1.5</v>
      </c>
      <c r="U29" s="85" t="str">
        <f>VLOOKUP(DE_AT9[[#This Row],[Product Line]],Prod_T6[],4,0)</f>
        <v>PV</v>
      </c>
    </row>
    <row r="30" spans="1:21" ht="13" customHeight="1">
      <c r="A30" s="14" t="s">
        <v>32</v>
      </c>
      <c r="B30" s="1" t="s">
        <v>325</v>
      </c>
      <c r="C30" s="3" t="s">
        <v>321</v>
      </c>
      <c r="D30" s="2" t="s">
        <v>276</v>
      </c>
      <c r="E30" s="2" t="s">
        <v>322</v>
      </c>
      <c r="F30" s="2" t="s">
        <v>136</v>
      </c>
      <c r="H30" s="40" t="s">
        <v>117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1</v>
      </c>
      <c r="P30" s="13">
        <v>1</v>
      </c>
      <c r="Q30" s="13">
        <v>1</v>
      </c>
      <c r="R30" s="32">
        <f>SUM(DE_AT9[[#This Row],[26M04]:[26M06]])</f>
        <v>0</v>
      </c>
      <c r="S30" s="79">
        <f>SUM(DE_AT9[[#This Row],[26M07]:[26M09]])</f>
        <v>0</v>
      </c>
      <c r="T30" s="79">
        <f>SUM(DE_AT9[[#This Row],[26M10]:[26M12]])</f>
        <v>3</v>
      </c>
      <c r="U30" s="85" t="str">
        <f>VLOOKUP(DE_AT9[[#This Row],[Product Line]],Prod_T6[],4,0)</f>
        <v>PV</v>
      </c>
    </row>
    <row r="31" spans="1:21" ht="13" customHeight="1">
      <c r="A31" s="14" t="s">
        <v>32</v>
      </c>
      <c r="B31" s="1" t="s">
        <v>325</v>
      </c>
      <c r="C31" s="3" t="s">
        <v>321</v>
      </c>
      <c r="D31" s="2" t="s">
        <v>323</v>
      </c>
      <c r="E31" s="2" t="s">
        <v>324</v>
      </c>
      <c r="F31" s="2" t="s">
        <v>136</v>
      </c>
      <c r="H31" s="40" t="s">
        <v>117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32">
        <f>SUM(DE_AT9[[#This Row],[26M04]:[26M06]])</f>
        <v>0</v>
      </c>
      <c r="S31" s="79">
        <f>SUM(DE_AT9[[#This Row],[26M07]:[26M09]])</f>
        <v>0</v>
      </c>
      <c r="T31" s="79">
        <f>SUM(DE_AT9[[#This Row],[26M10]:[26M12]])</f>
        <v>0</v>
      </c>
      <c r="U31" s="85" t="str">
        <f>VLOOKUP(DE_AT9[[#This Row],[Product Line]],Prod_T6[],4,0)</f>
        <v>PV</v>
      </c>
    </row>
    <row r="32" spans="1:21" ht="14.5">
      <c r="A32" s="14" t="s">
        <v>32</v>
      </c>
      <c r="B32" s="1" t="s">
        <v>326</v>
      </c>
      <c r="C32" s="3" t="s">
        <v>321</v>
      </c>
      <c r="D32" s="2" t="s">
        <v>276</v>
      </c>
      <c r="E32" s="2" t="s">
        <v>322</v>
      </c>
      <c r="F32" s="2" t="s">
        <v>136</v>
      </c>
      <c r="H32" s="40" t="s">
        <v>117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0.05</v>
      </c>
      <c r="P32" s="13">
        <v>0.05</v>
      </c>
      <c r="Q32" s="13">
        <v>0.1</v>
      </c>
      <c r="R32" s="32">
        <f>SUM(DE_AT9[[#This Row],[26M04]:[26M06]])</f>
        <v>0</v>
      </c>
      <c r="S32" s="79">
        <f>SUM(DE_AT9[[#This Row],[26M07]:[26M09]])</f>
        <v>0</v>
      </c>
      <c r="T32" s="79">
        <f>SUM(DE_AT9[[#This Row],[26M10]:[26M12]])</f>
        <v>0.2</v>
      </c>
      <c r="U32" s="85" t="str">
        <f>VLOOKUP(DE_AT9[[#This Row],[Product Line]],Prod_T6[],4,0)</f>
        <v>PV</v>
      </c>
    </row>
    <row r="33" spans="1:21" ht="14.5">
      <c r="A33" s="14" t="s">
        <v>32</v>
      </c>
      <c r="B33" s="1" t="s">
        <v>326</v>
      </c>
      <c r="C33" s="3" t="s">
        <v>321</v>
      </c>
      <c r="D33" s="2" t="s">
        <v>323</v>
      </c>
      <c r="E33" s="2" t="s">
        <v>324</v>
      </c>
      <c r="F33" s="2" t="s">
        <v>136</v>
      </c>
      <c r="H33" s="40" t="s">
        <v>117</v>
      </c>
      <c r="I33" s="13">
        <v>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32">
        <f>SUM(DE_AT9[[#This Row],[26M04]:[26M06]])</f>
        <v>0</v>
      </c>
      <c r="S33" s="79">
        <f>SUM(DE_AT9[[#This Row],[26M07]:[26M09]])</f>
        <v>0</v>
      </c>
      <c r="T33" s="79">
        <f>SUM(DE_AT9[[#This Row],[26M10]:[26M12]])</f>
        <v>0</v>
      </c>
      <c r="U33" s="85" t="str">
        <f>VLOOKUP(DE_AT9[[#This Row],[Product Line]],Prod_T6[],4,0)</f>
        <v>PV</v>
      </c>
    </row>
    <row r="34" spans="1:21" ht="14.5">
      <c r="A34" s="14" t="s">
        <v>32</v>
      </c>
      <c r="B34" s="1" t="s">
        <v>327</v>
      </c>
      <c r="C34" s="3" t="s">
        <v>321</v>
      </c>
      <c r="D34" s="2" t="s">
        <v>197</v>
      </c>
      <c r="E34" s="2" t="s">
        <v>62</v>
      </c>
      <c r="F34" s="2" t="s">
        <v>120</v>
      </c>
      <c r="H34" s="40" t="s">
        <v>117</v>
      </c>
      <c r="I34" s="13">
        <v>10</v>
      </c>
      <c r="J34" s="13">
        <v>10</v>
      </c>
      <c r="K34" s="13">
        <v>10</v>
      </c>
      <c r="L34" s="13">
        <v>5</v>
      </c>
      <c r="M34" s="13">
        <v>5</v>
      </c>
      <c r="N34" s="13">
        <v>10</v>
      </c>
      <c r="O34" s="13">
        <v>5</v>
      </c>
      <c r="P34" s="13">
        <v>10</v>
      </c>
      <c r="Q34" s="13">
        <v>5</v>
      </c>
      <c r="R34" s="32">
        <f>SUM(DE_AT9[[#This Row],[26M04]:[26M06]])</f>
        <v>30</v>
      </c>
      <c r="S34" s="79">
        <f>SUM(DE_AT9[[#This Row],[26M07]:[26M09]])</f>
        <v>20</v>
      </c>
      <c r="T34" s="79">
        <f>SUM(DE_AT9[[#This Row],[26M10]:[26M12]])</f>
        <v>20</v>
      </c>
      <c r="U34" s="85" t="str">
        <f>VLOOKUP(DE_AT9[[#This Row],[Product Line]],Prod_T6[],4,0)</f>
        <v>ESS</v>
      </c>
    </row>
    <row r="35" spans="1:21" ht="14.5">
      <c r="A35" s="14" t="s">
        <v>32</v>
      </c>
      <c r="B35" s="1" t="s">
        <v>327</v>
      </c>
      <c r="C35" s="3" t="s">
        <v>321</v>
      </c>
      <c r="D35" s="2" t="s">
        <v>149</v>
      </c>
      <c r="E35" s="2" t="s">
        <v>289</v>
      </c>
      <c r="F35" s="2" t="s">
        <v>136</v>
      </c>
      <c r="H35" s="40" t="s">
        <v>117</v>
      </c>
      <c r="I35" s="13">
        <v>0</v>
      </c>
      <c r="J35" s="13">
        <v>0</v>
      </c>
      <c r="K35" s="13">
        <v>0</v>
      </c>
      <c r="L35" s="13">
        <v>0</v>
      </c>
      <c r="M35" s="13">
        <v>0.45</v>
      </c>
      <c r="N35" s="13">
        <v>0</v>
      </c>
      <c r="O35" s="13">
        <v>0.45</v>
      </c>
      <c r="P35" s="13">
        <v>0</v>
      </c>
      <c r="Q35" s="13">
        <v>0.45</v>
      </c>
      <c r="R35" s="32">
        <f>SUM(DE_AT9[[#This Row],[26M04]:[26M06]])</f>
        <v>0</v>
      </c>
      <c r="S35" s="79">
        <f>SUM(DE_AT9[[#This Row],[26M07]:[26M09]])</f>
        <v>0.45</v>
      </c>
      <c r="T35" s="79">
        <f>SUM(DE_AT9[[#This Row],[26M10]:[26M12]])</f>
        <v>0.9</v>
      </c>
      <c r="U35" s="85" t="str">
        <f>VLOOKUP(DE_AT9[[#This Row],[Product Line]],Prod_T6[],4,0)</f>
        <v>PV</v>
      </c>
    </row>
    <row r="36" spans="1:21" ht="14.5">
      <c r="A36" s="14" t="s">
        <v>32</v>
      </c>
      <c r="B36" s="1" t="s">
        <v>328</v>
      </c>
      <c r="C36" s="3" t="s">
        <v>321</v>
      </c>
      <c r="D36" s="2" t="s">
        <v>118</v>
      </c>
      <c r="E36" s="2" t="s">
        <v>119</v>
      </c>
      <c r="F36" s="2" t="s">
        <v>136</v>
      </c>
      <c r="H36" s="40" t="s">
        <v>117</v>
      </c>
      <c r="I36" s="13">
        <v>0</v>
      </c>
      <c r="J36" s="13">
        <v>0.45</v>
      </c>
      <c r="K36" s="13">
        <v>0</v>
      </c>
      <c r="L36" s="13">
        <v>0</v>
      </c>
      <c r="M36" s="13">
        <v>0.45</v>
      </c>
      <c r="N36" s="13">
        <v>0</v>
      </c>
      <c r="O36" s="13">
        <v>0</v>
      </c>
      <c r="P36" s="13">
        <v>0.45</v>
      </c>
      <c r="Q36" s="13">
        <v>0</v>
      </c>
      <c r="R36" s="32">
        <f>SUM(DE_AT9[[#This Row],[26M04]:[26M06]])</f>
        <v>0.45</v>
      </c>
      <c r="S36" s="79">
        <f>SUM(DE_AT9[[#This Row],[26M07]:[26M09]])</f>
        <v>0.45</v>
      </c>
      <c r="T36" s="79">
        <f>SUM(DE_AT9[[#This Row],[26M10]:[26M12]])</f>
        <v>0.45</v>
      </c>
      <c r="U36" s="85" t="str">
        <f>VLOOKUP(DE_AT9[[#This Row],[Product Line]],Prod_T6[],4,0)</f>
        <v>PV</v>
      </c>
    </row>
    <row r="37" spans="1:21" ht="14.5">
      <c r="A37" s="14" t="s">
        <v>32</v>
      </c>
      <c r="B37" s="1" t="s">
        <v>329</v>
      </c>
      <c r="C37" s="3" t="s">
        <v>321</v>
      </c>
      <c r="D37" s="2" t="s">
        <v>149</v>
      </c>
      <c r="E37" s="2" t="s">
        <v>289</v>
      </c>
      <c r="F37" s="2" t="s">
        <v>136</v>
      </c>
      <c r="H37" s="40" t="s">
        <v>117</v>
      </c>
      <c r="I37" s="13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0.45</v>
      </c>
      <c r="O37" s="13">
        <v>0</v>
      </c>
      <c r="P37" s="13">
        <v>0</v>
      </c>
      <c r="Q37" s="13">
        <v>0.45</v>
      </c>
      <c r="R37" s="32">
        <f>SUM(DE_AT9[[#This Row],[26M04]:[26M06]])</f>
        <v>0</v>
      </c>
      <c r="S37" s="79">
        <f>SUM(DE_AT9[[#This Row],[26M07]:[26M09]])</f>
        <v>0.45</v>
      </c>
      <c r="T37" s="79">
        <f>SUM(DE_AT9[[#This Row],[26M10]:[26M12]])</f>
        <v>0.45</v>
      </c>
      <c r="U37" s="85" t="str">
        <f>VLOOKUP(DE_AT9[[#This Row],[Product Line]],Prod_T6[],4,0)</f>
        <v>PV</v>
      </c>
    </row>
    <row r="38" spans="1:21" ht="14.5">
      <c r="A38" s="14" t="s">
        <v>32</v>
      </c>
      <c r="B38" s="1" t="s">
        <v>329</v>
      </c>
      <c r="C38" s="3" t="s">
        <v>321</v>
      </c>
      <c r="D38" s="2" t="s">
        <v>118</v>
      </c>
      <c r="E38" s="2" t="s">
        <v>255</v>
      </c>
      <c r="F38" s="2" t="s">
        <v>136</v>
      </c>
      <c r="H38" s="40" t="s">
        <v>117</v>
      </c>
      <c r="I38" s="13">
        <v>0</v>
      </c>
      <c r="J38" s="13">
        <v>0</v>
      </c>
      <c r="K38" s="13">
        <v>0</v>
      </c>
      <c r="L38" s="13">
        <v>0</v>
      </c>
      <c r="M38" s="13">
        <v>0.2</v>
      </c>
      <c r="N38" s="13">
        <v>0</v>
      </c>
      <c r="O38" s="13">
        <v>0</v>
      </c>
      <c r="P38" s="13">
        <v>0</v>
      </c>
      <c r="Q38" s="13">
        <v>0</v>
      </c>
      <c r="R38" s="32">
        <f>SUM(DE_AT9[[#This Row],[26M04]:[26M06]])</f>
        <v>0</v>
      </c>
      <c r="S38" s="79">
        <f>SUM(DE_AT9[[#This Row],[26M07]:[26M09]])</f>
        <v>0.2</v>
      </c>
      <c r="T38" s="79">
        <f>SUM(DE_AT9[[#This Row],[26M10]:[26M12]])</f>
        <v>0</v>
      </c>
      <c r="U38" s="85" t="str">
        <f>VLOOKUP(DE_AT9[[#This Row],[Product Line]],Prod_T6[],4,0)</f>
        <v>PV</v>
      </c>
    </row>
    <row r="39" spans="1:21" ht="14.5">
      <c r="A39" s="14" t="s">
        <v>32</v>
      </c>
      <c r="B39" s="1" t="s">
        <v>329</v>
      </c>
      <c r="C39" s="3" t="s">
        <v>321</v>
      </c>
      <c r="D39" s="2" t="s">
        <v>276</v>
      </c>
      <c r="E39" s="135" t="s">
        <v>322</v>
      </c>
      <c r="F39" s="2" t="s">
        <v>136</v>
      </c>
      <c r="H39" s="40" t="s">
        <v>117</v>
      </c>
      <c r="I39" s="136">
        <v>0</v>
      </c>
      <c r="J39" s="136">
        <v>0</v>
      </c>
      <c r="K39" s="136">
        <v>0</v>
      </c>
      <c r="L39" s="136">
        <v>0</v>
      </c>
      <c r="M39" s="136">
        <v>0</v>
      </c>
      <c r="N39" s="136">
        <v>0</v>
      </c>
      <c r="O39" s="136">
        <v>0.2</v>
      </c>
      <c r="P39" s="136">
        <v>0</v>
      </c>
      <c r="Q39" s="136">
        <v>0.2</v>
      </c>
      <c r="R39" s="83">
        <f>SUM(DE_AT9[[#This Row],[26M04]:[26M06]])</f>
        <v>0</v>
      </c>
      <c r="S39" s="79">
        <f>SUM(DE_AT9[[#This Row],[26M07]:[26M09]])</f>
        <v>0</v>
      </c>
      <c r="T39" s="79">
        <f>SUM(DE_AT9[[#This Row],[26M10]:[26M12]])</f>
        <v>0.4</v>
      </c>
      <c r="U39" s="85" t="str">
        <f>VLOOKUP(DE_AT9[[#This Row],[Product Line]],Prod_T6[],4,0)</f>
        <v>PV</v>
      </c>
    </row>
    <row r="40" spans="1:21" ht="14.5">
      <c r="A40" s="14" t="s">
        <v>32</v>
      </c>
      <c r="B40" s="1" t="s">
        <v>329</v>
      </c>
      <c r="C40" s="3" t="s">
        <v>321</v>
      </c>
      <c r="D40" s="2" t="s">
        <v>323</v>
      </c>
      <c r="E40" s="2" t="s">
        <v>324</v>
      </c>
      <c r="F40" s="2" t="s">
        <v>136</v>
      </c>
      <c r="H40" s="40" t="s">
        <v>117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32">
        <f>SUM(DE_AT9[[#This Row],[26M04]:[26M06]])</f>
        <v>0</v>
      </c>
      <c r="S40" s="79">
        <f>SUM(DE_AT9[[#This Row],[26M07]:[26M09]])</f>
        <v>0</v>
      </c>
      <c r="T40" s="79">
        <f>SUM(DE_AT9[[#This Row],[26M10]:[26M12]])</f>
        <v>0</v>
      </c>
      <c r="U40" s="85" t="str">
        <f>VLOOKUP(DE_AT9[[#This Row],[Product Line]],Prod_T6[],4,0)</f>
        <v>PV</v>
      </c>
    </row>
    <row r="41" spans="1:21" ht="14.5">
      <c r="A41" s="14" t="s">
        <v>32</v>
      </c>
      <c r="B41" s="1" t="s">
        <v>330</v>
      </c>
      <c r="C41" s="3" t="s">
        <v>321</v>
      </c>
      <c r="D41" s="2" t="s">
        <v>54</v>
      </c>
      <c r="E41" s="135" t="s">
        <v>159</v>
      </c>
      <c r="F41" s="2" t="s">
        <v>136</v>
      </c>
      <c r="H41" s="40" t="s">
        <v>117</v>
      </c>
      <c r="I41" s="136">
        <v>0</v>
      </c>
      <c r="J41" s="136">
        <v>0</v>
      </c>
      <c r="K41" s="136">
        <v>0</v>
      </c>
      <c r="L41" s="136">
        <v>0.2</v>
      </c>
      <c r="M41" s="136">
        <v>0</v>
      </c>
      <c r="N41" s="136">
        <v>0</v>
      </c>
      <c r="O41" s="136">
        <v>0</v>
      </c>
      <c r="P41" s="136">
        <v>0.3</v>
      </c>
      <c r="Q41" s="136">
        <v>0</v>
      </c>
      <c r="R41" s="137">
        <f>SUM(DE_AT9[[#This Row],[26M04]:[26M06]])</f>
        <v>0</v>
      </c>
      <c r="S41" s="79">
        <f>SUM(DE_AT9[[#This Row],[26M07]:[26M09]])</f>
        <v>0.2</v>
      </c>
      <c r="T41" s="79">
        <f>SUM(DE_AT9[[#This Row],[26M10]:[26M12]])</f>
        <v>0.3</v>
      </c>
      <c r="U41" s="85" t="str">
        <f>VLOOKUP(DE_AT9[[#This Row],[Product Line]],Prod_T6[],4,0)</f>
        <v>PV</v>
      </c>
    </row>
    <row r="42" spans="1:21" ht="14.5">
      <c r="A42" s="14" t="s">
        <v>32</v>
      </c>
      <c r="B42" s="1" t="s">
        <v>330</v>
      </c>
      <c r="C42" s="3" t="s">
        <v>321</v>
      </c>
      <c r="D42" s="2" t="s">
        <v>276</v>
      </c>
      <c r="E42" s="2" t="s">
        <v>322</v>
      </c>
      <c r="F42" s="2" t="s">
        <v>136</v>
      </c>
      <c r="H42" s="40" t="s">
        <v>117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0.1</v>
      </c>
      <c r="Q42" s="13">
        <v>0</v>
      </c>
      <c r="R42" s="32">
        <f>SUM(DE_AT9[[#This Row],[26M04]:[26M06]])</f>
        <v>0</v>
      </c>
      <c r="S42" s="79">
        <f>SUM(DE_AT9[[#This Row],[26M07]:[26M09]])</f>
        <v>0</v>
      </c>
      <c r="T42" s="79">
        <f>SUM(DE_AT9[[#This Row],[26M10]:[26M12]])</f>
        <v>0.1</v>
      </c>
      <c r="U42" s="85" t="str">
        <f>VLOOKUP(DE_AT9[[#This Row],[Product Line]],Prod_T6[],4,0)</f>
        <v>PV</v>
      </c>
    </row>
    <row r="43" spans="1:21" ht="14.5">
      <c r="A43" s="14" t="s">
        <v>32</v>
      </c>
      <c r="B43" s="1" t="s">
        <v>340</v>
      </c>
      <c r="C43" s="3" t="s">
        <v>321</v>
      </c>
      <c r="D43" s="2" t="s">
        <v>149</v>
      </c>
      <c r="E43" s="135" t="s">
        <v>289</v>
      </c>
      <c r="F43" s="2" t="s">
        <v>136</v>
      </c>
      <c r="H43" s="40" t="s">
        <v>117</v>
      </c>
      <c r="I43" s="136">
        <v>0</v>
      </c>
      <c r="J43" s="136">
        <v>0</v>
      </c>
      <c r="K43" s="136">
        <v>0</v>
      </c>
      <c r="L43" s="136">
        <v>0</v>
      </c>
      <c r="M43" s="136">
        <v>0</v>
      </c>
      <c r="N43" s="136">
        <v>1</v>
      </c>
      <c r="O43" s="136">
        <v>0</v>
      </c>
      <c r="P43" s="136">
        <v>1</v>
      </c>
      <c r="Q43" s="136">
        <v>0</v>
      </c>
      <c r="R43" s="83">
        <f>SUM(DE_AT9[[#This Row],[26M04]:[26M06]])</f>
        <v>0</v>
      </c>
      <c r="S43" s="79">
        <f>SUM(DE_AT9[[#This Row],[26M07]:[26M09]])</f>
        <v>1</v>
      </c>
      <c r="T43" s="79">
        <f>SUM(DE_AT9[[#This Row],[26M10]:[26M12]])</f>
        <v>1</v>
      </c>
      <c r="U43" s="85" t="str">
        <f>VLOOKUP(DE_AT9[[#This Row],[Product Line]],Prod_T6[],4,0)</f>
        <v>PV</v>
      </c>
    </row>
    <row r="44" spans="1:21" ht="14.5">
      <c r="A44" s="14" t="s">
        <v>32</v>
      </c>
      <c r="B44" s="1" t="s">
        <v>341</v>
      </c>
      <c r="C44" s="3" t="s">
        <v>321</v>
      </c>
      <c r="D44" s="2" t="s">
        <v>197</v>
      </c>
      <c r="E44" s="2" t="s">
        <v>62</v>
      </c>
      <c r="F44" s="2" t="s">
        <v>136</v>
      </c>
      <c r="H44" s="40" t="s">
        <v>117</v>
      </c>
      <c r="I44" s="13">
        <v>0</v>
      </c>
      <c r="J44" s="13">
        <v>1</v>
      </c>
      <c r="K44" s="13">
        <v>1</v>
      </c>
      <c r="L44" s="13">
        <v>0</v>
      </c>
      <c r="M44" s="13">
        <v>1</v>
      </c>
      <c r="N44" s="13">
        <v>0</v>
      </c>
      <c r="O44" s="13">
        <v>0</v>
      </c>
      <c r="P44" s="13">
        <v>1</v>
      </c>
      <c r="Q44" s="13">
        <v>0</v>
      </c>
      <c r="R44" s="32">
        <f>SUM(DE_AT9[[#This Row],[26M04]:[26M06]])</f>
        <v>2</v>
      </c>
      <c r="S44" s="79">
        <f>SUM(DE_AT9[[#This Row],[26M07]:[26M09]])</f>
        <v>1</v>
      </c>
      <c r="T44" s="79">
        <f>SUM(DE_AT9[[#This Row],[26M10]:[26M12]])</f>
        <v>1</v>
      </c>
      <c r="U44" s="85" t="str">
        <f>VLOOKUP(DE_AT9[[#This Row],[Product Line]],Prod_T6[],4,0)</f>
        <v>ESS</v>
      </c>
    </row>
    <row r="45" spans="1:21" ht="14.5">
      <c r="A45" s="14" t="s">
        <v>32</v>
      </c>
      <c r="B45" s="1" t="s">
        <v>341</v>
      </c>
      <c r="C45" s="3" t="s">
        <v>321</v>
      </c>
      <c r="D45" s="2" t="s">
        <v>276</v>
      </c>
      <c r="E45" s="2" t="s">
        <v>322</v>
      </c>
      <c r="F45" s="2" t="s">
        <v>136</v>
      </c>
      <c r="H45" s="40" t="s">
        <v>117</v>
      </c>
      <c r="I45" s="13">
        <v>0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0.05</v>
      </c>
      <c r="Q45" s="13">
        <v>0</v>
      </c>
      <c r="R45" s="32">
        <f>SUM(DE_AT9[[#This Row],[26M04]:[26M06]])</f>
        <v>0</v>
      </c>
      <c r="S45" s="79">
        <f>SUM(DE_AT9[[#This Row],[26M07]:[26M09]])</f>
        <v>0</v>
      </c>
      <c r="T45" s="79">
        <f>SUM(DE_AT9[[#This Row],[26M10]:[26M12]])</f>
        <v>0.05</v>
      </c>
      <c r="U45" s="85" t="str">
        <f>VLOOKUP(DE_AT9[[#This Row],[Product Line]],Prod_T6[],4,0)</f>
        <v>PV</v>
      </c>
    </row>
    <row r="46" spans="1:21" ht="14.5">
      <c r="A46" s="14" t="s">
        <v>32</v>
      </c>
      <c r="B46" s="1" t="s">
        <v>349</v>
      </c>
      <c r="C46" s="3" t="s">
        <v>321</v>
      </c>
      <c r="D46" s="2" t="s">
        <v>149</v>
      </c>
      <c r="E46" s="135" t="s">
        <v>289</v>
      </c>
      <c r="F46" s="2" t="s">
        <v>136</v>
      </c>
      <c r="H46" s="40" t="s">
        <v>117</v>
      </c>
      <c r="I46" s="136">
        <v>0</v>
      </c>
      <c r="J46" s="136">
        <v>0</v>
      </c>
      <c r="K46" s="136">
        <v>0</v>
      </c>
      <c r="L46" s="136">
        <v>0</v>
      </c>
      <c r="M46" s="136">
        <v>0.45</v>
      </c>
      <c r="N46" s="136">
        <v>0</v>
      </c>
      <c r="O46" s="136">
        <v>0</v>
      </c>
      <c r="P46" s="136">
        <v>0.45</v>
      </c>
      <c r="Q46" s="136">
        <v>0</v>
      </c>
      <c r="R46" s="83">
        <f>SUM(DE_AT9[[#This Row],[26M04]:[26M06]])</f>
        <v>0</v>
      </c>
      <c r="S46" s="79">
        <f>SUM(DE_AT9[[#This Row],[26M07]:[26M09]])</f>
        <v>0.45</v>
      </c>
      <c r="T46" s="79">
        <f>SUM(DE_AT9[[#This Row],[26M10]:[26M12]])</f>
        <v>0.45</v>
      </c>
      <c r="U46" s="85" t="str">
        <f>VLOOKUP(DE_AT9[[#This Row],[Product Line]],Prod_T6[],4,0)</f>
        <v>PV</v>
      </c>
    </row>
    <row r="47" spans="1:21" ht="14.5">
      <c r="A47" s="14" t="s">
        <v>32</v>
      </c>
      <c r="B47" s="1" t="s">
        <v>349</v>
      </c>
      <c r="C47" s="3" t="s">
        <v>321</v>
      </c>
      <c r="D47" s="2" t="s">
        <v>276</v>
      </c>
      <c r="E47" s="2" t="s">
        <v>322</v>
      </c>
      <c r="F47" s="2" t="s">
        <v>136</v>
      </c>
      <c r="H47" s="40" t="s">
        <v>117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0.1</v>
      </c>
      <c r="P47" s="13">
        <v>0</v>
      </c>
      <c r="Q47" s="13">
        <v>0.1</v>
      </c>
      <c r="R47" s="32">
        <f>SUM(DE_AT9[[#This Row],[26M04]:[26M06]])</f>
        <v>0</v>
      </c>
      <c r="S47" s="79">
        <f>SUM(DE_AT9[[#This Row],[26M07]:[26M09]])</f>
        <v>0</v>
      </c>
      <c r="T47" s="79">
        <f>SUM(DE_AT9[[#This Row],[26M10]:[26M12]])</f>
        <v>0.2</v>
      </c>
      <c r="U47" s="85" t="str">
        <f>VLOOKUP(DE_AT9[[#This Row],[Product Line]],Prod_T6[],4,0)</f>
        <v>PV</v>
      </c>
    </row>
    <row r="48" spans="1:21" ht="14.5">
      <c r="A48" s="14" t="s">
        <v>32</v>
      </c>
      <c r="B48" s="1" t="s">
        <v>350</v>
      </c>
      <c r="C48" s="3" t="s">
        <v>321</v>
      </c>
      <c r="D48" s="2" t="s">
        <v>149</v>
      </c>
      <c r="E48" s="135" t="s">
        <v>289</v>
      </c>
      <c r="F48" s="2" t="s">
        <v>136</v>
      </c>
      <c r="H48" s="40" t="s">
        <v>117</v>
      </c>
      <c r="I48" s="136">
        <v>0</v>
      </c>
      <c r="J48" s="136">
        <v>0</v>
      </c>
      <c r="K48" s="136">
        <v>0</v>
      </c>
      <c r="L48" s="136">
        <v>0</v>
      </c>
      <c r="M48" s="136">
        <v>0.45</v>
      </c>
      <c r="N48" s="136">
        <v>0</v>
      </c>
      <c r="O48" s="136">
        <v>0.45</v>
      </c>
      <c r="P48" s="136">
        <v>0</v>
      </c>
      <c r="Q48" s="136">
        <v>0.45</v>
      </c>
      <c r="R48" s="83">
        <f>SUM(DE_AT9[[#This Row],[26M04]:[26M06]])</f>
        <v>0</v>
      </c>
      <c r="S48" s="79">
        <f>SUM(DE_AT9[[#This Row],[26M07]:[26M09]])</f>
        <v>0.45</v>
      </c>
      <c r="T48" s="79">
        <f>SUM(DE_AT9[[#This Row],[26M10]:[26M12]])</f>
        <v>0.9</v>
      </c>
      <c r="U48" s="85" t="str">
        <f>VLOOKUP(DE_AT9[[#This Row],[Product Line]],Prod_T6[],4,0)</f>
        <v>PV</v>
      </c>
    </row>
    <row r="49" spans="1:21" ht="14.5">
      <c r="A49" s="14" t="s">
        <v>32</v>
      </c>
      <c r="B49" s="1" t="s">
        <v>351</v>
      </c>
      <c r="C49" s="3" t="s">
        <v>321</v>
      </c>
      <c r="D49" s="2" t="s">
        <v>54</v>
      </c>
      <c r="E49" s="2" t="s">
        <v>170</v>
      </c>
      <c r="F49" s="2" t="s">
        <v>136</v>
      </c>
      <c r="H49" s="40" t="s">
        <v>117</v>
      </c>
      <c r="I49" s="13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0.7</v>
      </c>
      <c r="O49" s="13">
        <v>0</v>
      </c>
      <c r="P49" s="13">
        <v>0</v>
      </c>
      <c r="Q49" s="13">
        <v>0</v>
      </c>
      <c r="R49" s="32">
        <f>SUM(DE_AT9[[#This Row],[26M04]:[26M06]])</f>
        <v>0</v>
      </c>
      <c r="S49" s="79">
        <f>SUM(DE_AT9[[#This Row],[26M07]:[26M09]])</f>
        <v>0.7</v>
      </c>
      <c r="T49" s="79">
        <f>SUM(DE_AT9[[#This Row],[26M10]:[26M12]])</f>
        <v>0</v>
      </c>
      <c r="U49" s="85" t="str">
        <f>VLOOKUP(DE_AT9[[#This Row],[Product Line]],Prod_T6[],4,0)</f>
        <v>PV</v>
      </c>
    </row>
    <row r="50" spans="1:21" ht="14.5">
      <c r="A50" s="14" t="s">
        <v>32</v>
      </c>
      <c r="B50" s="1" t="s">
        <v>351</v>
      </c>
      <c r="C50" s="3" t="s">
        <v>321</v>
      </c>
      <c r="D50" s="2" t="s">
        <v>276</v>
      </c>
      <c r="E50" s="2" t="s">
        <v>322</v>
      </c>
      <c r="F50" s="2" t="s">
        <v>136</v>
      </c>
      <c r="H50" s="40" t="s">
        <v>117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0.1</v>
      </c>
      <c r="P50" s="13">
        <v>0</v>
      </c>
      <c r="Q50" s="13">
        <v>0.1</v>
      </c>
      <c r="R50" s="32">
        <f>SUM(DE_AT9[[#This Row],[26M04]:[26M06]])</f>
        <v>0</v>
      </c>
      <c r="S50" s="79">
        <f>SUM(DE_AT9[[#This Row],[26M07]:[26M09]])</f>
        <v>0</v>
      </c>
      <c r="T50" s="79">
        <f>SUM(DE_AT9[[#This Row],[26M10]:[26M12]])</f>
        <v>0.2</v>
      </c>
      <c r="U50" s="85" t="str">
        <f>VLOOKUP(DE_AT9[[#This Row],[Product Line]],Prod_T6[],4,0)</f>
        <v>PV</v>
      </c>
    </row>
    <row r="51" spans="1:21" ht="14.5">
      <c r="A51" s="14" t="s">
        <v>32</v>
      </c>
      <c r="B51" s="1" t="s">
        <v>352</v>
      </c>
      <c r="C51" s="3" t="s">
        <v>321</v>
      </c>
      <c r="D51" s="2" t="s">
        <v>118</v>
      </c>
      <c r="E51" s="2" t="s">
        <v>119</v>
      </c>
      <c r="F51" s="2" t="s">
        <v>136</v>
      </c>
      <c r="H51" s="40" t="s">
        <v>117</v>
      </c>
      <c r="I51" s="13">
        <v>0</v>
      </c>
      <c r="J51" s="13">
        <v>0.02</v>
      </c>
      <c r="K51" s="13">
        <v>0</v>
      </c>
      <c r="L51" s="13">
        <v>0</v>
      </c>
      <c r="M51" s="13">
        <v>0</v>
      </c>
      <c r="N51" s="13">
        <v>0.03</v>
      </c>
      <c r="O51" s="13">
        <v>0</v>
      </c>
      <c r="P51" s="13">
        <v>0</v>
      </c>
      <c r="Q51" s="13">
        <v>0</v>
      </c>
      <c r="R51" s="32">
        <f>SUM(DE_AT9[[#This Row],[26M04]:[26M06]])</f>
        <v>0.02</v>
      </c>
      <c r="S51" s="79">
        <f>SUM(DE_AT9[[#This Row],[26M07]:[26M09]])</f>
        <v>0.03</v>
      </c>
      <c r="T51" s="79">
        <f>SUM(DE_AT9[[#This Row],[26M10]:[26M12]])</f>
        <v>0</v>
      </c>
      <c r="U51" s="85" t="str">
        <f>VLOOKUP(DE_AT9[[#This Row],[Product Line]],Prod_T6[],4,0)</f>
        <v>PV</v>
      </c>
    </row>
    <row r="52" spans="1:21" ht="14.5">
      <c r="A52" s="14" t="s">
        <v>32</v>
      </c>
      <c r="B52" s="1" t="s">
        <v>352</v>
      </c>
      <c r="C52" s="3" t="s">
        <v>321</v>
      </c>
      <c r="D52" s="2" t="s">
        <v>276</v>
      </c>
      <c r="E52" s="2" t="s">
        <v>322</v>
      </c>
      <c r="F52" s="2" t="s">
        <v>136</v>
      </c>
      <c r="H52" s="40" t="s">
        <v>117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0.05</v>
      </c>
      <c r="P52" s="13">
        <v>0</v>
      </c>
      <c r="Q52" s="13">
        <v>0.05</v>
      </c>
      <c r="R52" s="32">
        <f>SUM(DE_AT9[[#This Row],[26M04]:[26M06]])</f>
        <v>0</v>
      </c>
      <c r="S52" s="79">
        <f>SUM(DE_AT9[[#This Row],[26M07]:[26M09]])</f>
        <v>0</v>
      </c>
      <c r="T52" s="79">
        <f>SUM(DE_AT9[[#This Row],[26M10]:[26M12]])</f>
        <v>0.1</v>
      </c>
      <c r="U52" s="85" t="str">
        <f>VLOOKUP(DE_AT9[[#This Row],[Product Line]],Prod_T6[],4,0)</f>
        <v>PV</v>
      </c>
    </row>
    <row r="53" spans="1:21" ht="13" customHeight="1">
      <c r="A53" s="14" t="s">
        <v>32</v>
      </c>
      <c r="B53" s="1" t="s">
        <v>353</v>
      </c>
      <c r="C53" s="3" t="s">
        <v>321</v>
      </c>
      <c r="D53" s="2" t="s">
        <v>118</v>
      </c>
      <c r="E53" s="2" t="s">
        <v>119</v>
      </c>
      <c r="F53" s="2" t="s">
        <v>136</v>
      </c>
      <c r="H53" s="40" t="s">
        <v>117</v>
      </c>
      <c r="I53" s="13">
        <v>0</v>
      </c>
      <c r="J53" s="13">
        <v>0.03</v>
      </c>
      <c r="K53" s="13">
        <v>0</v>
      </c>
      <c r="L53" s="13">
        <v>0</v>
      </c>
      <c r="M53" s="13">
        <v>0.03</v>
      </c>
      <c r="N53" s="13">
        <v>0</v>
      </c>
      <c r="O53" s="13">
        <v>0</v>
      </c>
      <c r="P53" s="13">
        <v>0</v>
      </c>
      <c r="Q53" s="13">
        <v>0</v>
      </c>
      <c r="R53" s="32">
        <f>SUM(DE_AT9[[#This Row],[26M04]:[26M06]])</f>
        <v>0.03</v>
      </c>
      <c r="S53" s="79">
        <f>SUM(DE_AT9[[#This Row],[26M07]:[26M09]])</f>
        <v>0.03</v>
      </c>
      <c r="T53" s="79">
        <f>SUM(DE_AT9[[#This Row],[26M10]:[26M12]])</f>
        <v>0</v>
      </c>
      <c r="U53" s="85" t="str">
        <f>VLOOKUP(DE_AT9[[#This Row],[Product Line]],Prod_T6[],4,0)</f>
        <v>PV</v>
      </c>
    </row>
    <row r="54" spans="1:21" ht="13" customHeight="1">
      <c r="A54" s="14" t="s">
        <v>32</v>
      </c>
      <c r="B54" s="1" t="s">
        <v>353</v>
      </c>
      <c r="C54" s="3" t="s">
        <v>321</v>
      </c>
      <c r="D54" s="2" t="s">
        <v>276</v>
      </c>
      <c r="E54" s="2" t="s">
        <v>322</v>
      </c>
      <c r="F54" s="2" t="s">
        <v>136</v>
      </c>
      <c r="H54" s="40" t="s">
        <v>117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0.05</v>
      </c>
      <c r="P54" s="13">
        <v>0</v>
      </c>
      <c r="Q54" s="13">
        <v>0.05</v>
      </c>
      <c r="R54" s="32">
        <f>SUM(DE_AT9[[#This Row],[26M04]:[26M06]])</f>
        <v>0</v>
      </c>
      <c r="S54" s="79">
        <f>SUM(DE_AT9[[#This Row],[26M07]:[26M09]])</f>
        <v>0</v>
      </c>
      <c r="T54" s="79">
        <f>SUM(DE_AT9[[#This Row],[26M10]:[26M12]])</f>
        <v>0.1</v>
      </c>
      <c r="U54" s="85" t="str">
        <f>VLOOKUP(DE_AT9[[#This Row],[Product Line]],Prod_T6[],4,0)</f>
        <v>PV</v>
      </c>
    </row>
    <row r="55" spans="1:21" ht="14.5">
      <c r="A55" s="14" t="s">
        <v>32</v>
      </c>
      <c r="B55" s="1" t="s">
        <v>354</v>
      </c>
      <c r="C55" s="3" t="s">
        <v>321</v>
      </c>
      <c r="D55" s="2" t="s">
        <v>149</v>
      </c>
      <c r="E55" s="2" t="s">
        <v>289</v>
      </c>
      <c r="F55" s="2" t="s">
        <v>136</v>
      </c>
      <c r="H55" s="40" t="s">
        <v>117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0.45</v>
      </c>
      <c r="O55" s="13">
        <v>0</v>
      </c>
      <c r="P55" s="13">
        <v>0</v>
      </c>
      <c r="Q55" s="13">
        <v>0</v>
      </c>
      <c r="R55" s="32">
        <f>SUM(DE_AT9[[#This Row],[26M04]:[26M06]])</f>
        <v>0</v>
      </c>
      <c r="S55" s="79">
        <f>SUM(DE_AT9[[#This Row],[26M07]:[26M09]])</f>
        <v>0.45</v>
      </c>
      <c r="T55" s="79">
        <f>SUM(DE_AT9[[#This Row],[26M10]:[26M12]])</f>
        <v>0</v>
      </c>
      <c r="U55" s="85" t="str">
        <f>VLOOKUP(DE_AT9[[#This Row],[Product Line]],Prod_T6[],4,0)</f>
        <v>PV</v>
      </c>
    </row>
    <row r="56" spans="1:21" ht="14.5">
      <c r="A56" s="14" t="s">
        <v>32</v>
      </c>
      <c r="B56" s="1" t="s">
        <v>354</v>
      </c>
      <c r="C56" s="3" t="s">
        <v>321</v>
      </c>
      <c r="D56" s="2" t="s">
        <v>276</v>
      </c>
      <c r="E56" s="2" t="s">
        <v>322</v>
      </c>
      <c r="F56" s="2" t="s">
        <v>136</v>
      </c>
      <c r="H56" s="40" t="s">
        <v>117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0.1</v>
      </c>
      <c r="P56" s="13">
        <v>0.1</v>
      </c>
      <c r="Q56" s="13">
        <v>0.1</v>
      </c>
      <c r="R56" s="32">
        <f>SUM(DE_AT9[[#This Row],[26M04]:[26M06]])</f>
        <v>0</v>
      </c>
      <c r="S56" s="79">
        <f>SUM(DE_AT9[[#This Row],[26M07]:[26M09]])</f>
        <v>0</v>
      </c>
      <c r="T56" s="79">
        <f>SUM(DE_AT9[[#This Row],[26M10]:[26M12]])</f>
        <v>0.30000000000000004</v>
      </c>
      <c r="U56" s="85" t="str">
        <f>VLOOKUP(DE_AT9[[#This Row],[Product Line]],Prod_T6[],4,0)</f>
        <v>PV</v>
      </c>
    </row>
    <row r="57" spans="1:21" ht="14.5">
      <c r="A57" s="14" t="s">
        <v>32</v>
      </c>
      <c r="B57" s="1" t="s">
        <v>355</v>
      </c>
      <c r="C57" s="3" t="s">
        <v>259</v>
      </c>
      <c r="D57" s="2" t="s">
        <v>118</v>
      </c>
      <c r="E57" s="2" t="s">
        <v>119</v>
      </c>
      <c r="F57" s="2" t="s">
        <v>120</v>
      </c>
      <c r="H57" s="40" t="s">
        <v>117</v>
      </c>
      <c r="I57" s="13">
        <f>3*36*460/1000000</f>
        <v>4.9680000000000002E-2</v>
      </c>
      <c r="J57" s="13"/>
      <c r="K57" s="13"/>
      <c r="L57" s="133">
        <f>4*36*460/1000000</f>
        <v>6.6239999999999993E-2</v>
      </c>
      <c r="M57" s="133"/>
      <c r="N57" s="133">
        <f>4*36*460/1000000</f>
        <v>6.6239999999999993E-2</v>
      </c>
      <c r="O57" s="13"/>
      <c r="P57" s="13">
        <f>4*36*460/1000000</f>
        <v>6.6239999999999993E-2</v>
      </c>
      <c r="Q57" s="13"/>
      <c r="R57" s="32">
        <f>SUM(DE_AT9[[#This Row],[26M04]:[26M06]])</f>
        <v>4.9680000000000002E-2</v>
      </c>
      <c r="S57" s="280">
        <f>SUM(DE_AT9[[#This Row],[26M07]:[26M09]])</f>
        <v>0.13247999999999999</v>
      </c>
      <c r="T57" s="280">
        <f>SUM(DE_AT9[[#This Row],[26M10]:[26M12]])</f>
        <v>6.6239999999999993E-2</v>
      </c>
      <c r="U57" s="85" t="str">
        <f>VLOOKUP(DE_AT9[[#This Row],[Product Line]],Prod_T6[],4,0)</f>
        <v>PV</v>
      </c>
    </row>
    <row r="58" spans="1:21" ht="14.5">
      <c r="A58" s="14" t="s">
        <v>32</v>
      </c>
      <c r="B58" s="1" t="s">
        <v>355</v>
      </c>
      <c r="C58" s="3" t="s">
        <v>259</v>
      </c>
      <c r="D58" s="2" t="s">
        <v>118</v>
      </c>
      <c r="E58" s="2" t="s">
        <v>180</v>
      </c>
      <c r="F58" s="2" t="s">
        <v>120</v>
      </c>
      <c r="H58" s="40" t="s">
        <v>117</v>
      </c>
      <c r="I58" s="13">
        <f>3*36*515/1000000</f>
        <v>5.5620000000000003E-2</v>
      </c>
      <c r="J58" s="13"/>
      <c r="K58" s="13">
        <f>3*36*515/1000000</f>
        <v>5.5620000000000003E-2</v>
      </c>
      <c r="L58" s="133">
        <f>4*36*515/1000000</f>
        <v>7.4160000000000004E-2</v>
      </c>
      <c r="M58" s="133"/>
      <c r="N58" s="133">
        <f>4*36*515/1000000</f>
        <v>7.4160000000000004E-2</v>
      </c>
      <c r="O58" s="13"/>
      <c r="P58" s="13">
        <f>4*36*515/1000000</f>
        <v>7.4160000000000004E-2</v>
      </c>
      <c r="Q58" s="13"/>
      <c r="R58" s="32">
        <f>SUM(DE_AT9[[#This Row],[26M04]:[26M06]])</f>
        <v>0.11124000000000001</v>
      </c>
      <c r="S58" s="79">
        <f>SUM(DE_AT9[[#This Row],[26M07]:[26M09]])</f>
        <v>0.14832000000000001</v>
      </c>
      <c r="T58" s="79">
        <f>SUM(DE_AT9[[#This Row],[26M10]:[26M12]])</f>
        <v>7.4160000000000004E-2</v>
      </c>
      <c r="U58" s="85" t="str">
        <f>VLOOKUP(DE_AT9[[#This Row],[Product Line]],Prod_T6[],4,0)</f>
        <v>PV</v>
      </c>
    </row>
    <row r="59" spans="1:21" ht="14.5">
      <c r="A59" s="14" t="s">
        <v>32</v>
      </c>
      <c r="B59" s="1" t="s">
        <v>355</v>
      </c>
      <c r="C59" s="3" t="s">
        <v>259</v>
      </c>
      <c r="D59" s="2" t="s">
        <v>118</v>
      </c>
      <c r="E59" s="2" t="s">
        <v>255</v>
      </c>
      <c r="F59" s="2" t="s">
        <v>120</v>
      </c>
      <c r="H59" s="40" t="s">
        <v>117</v>
      </c>
      <c r="I59" s="13">
        <v>0.25</v>
      </c>
      <c r="J59" s="13"/>
      <c r="K59" s="13"/>
      <c r="L59" s="133"/>
      <c r="M59" s="133">
        <f>8*33*555/1000000</f>
        <v>0.14652000000000001</v>
      </c>
      <c r="N59" s="133"/>
      <c r="O59" s="13">
        <f>8*33*555/1000000</f>
        <v>0.14652000000000001</v>
      </c>
      <c r="P59" s="13"/>
      <c r="Q59" s="13">
        <f>8*33*555/1000000</f>
        <v>0.14652000000000001</v>
      </c>
      <c r="R59" s="32">
        <f>SUM(DE_AT9[[#This Row],[26M04]:[26M06]])</f>
        <v>0.25</v>
      </c>
      <c r="S59" s="79">
        <f>SUM(DE_AT9[[#This Row],[26M07]:[26M09]])</f>
        <v>0.14652000000000001</v>
      </c>
      <c r="T59" s="79">
        <f>SUM(DE_AT9[[#This Row],[26M10]:[26M12]])</f>
        <v>0.29304000000000002</v>
      </c>
      <c r="U59" s="85" t="str">
        <f>VLOOKUP(DE_AT9[[#This Row],[Product Line]],Prod_T6[],4,0)</f>
        <v>PV</v>
      </c>
    </row>
    <row r="60" spans="1:21" ht="14.5">
      <c r="A60" s="14" t="s">
        <v>32</v>
      </c>
      <c r="B60" s="1" t="s">
        <v>355</v>
      </c>
      <c r="C60" s="3" t="s">
        <v>259</v>
      </c>
      <c r="D60" s="2" t="s">
        <v>134</v>
      </c>
      <c r="E60" s="2" t="s">
        <v>263</v>
      </c>
      <c r="F60" s="2" t="s">
        <v>120</v>
      </c>
      <c r="H60" s="40" t="s">
        <v>117</v>
      </c>
      <c r="I60" s="13"/>
      <c r="J60" s="13"/>
      <c r="K60" s="13"/>
      <c r="L60" s="13">
        <f>4*36*495/1000000</f>
        <v>7.1279999999999996E-2</v>
      </c>
      <c r="M60" s="13"/>
      <c r="N60" s="13">
        <f>4*36*495/1000000</f>
        <v>7.1279999999999996E-2</v>
      </c>
      <c r="O60" s="13"/>
      <c r="P60" s="13">
        <f>4*36*495/1000000</f>
        <v>7.1279999999999996E-2</v>
      </c>
      <c r="Q60" s="13"/>
      <c r="R60" s="32">
        <f>SUM(DE_AT9[[#This Row],[26M04]:[26M06]])</f>
        <v>0</v>
      </c>
      <c r="S60" s="79">
        <f>SUM(DE_AT9[[#This Row],[26M07]:[26M09]])</f>
        <v>0.14255999999999999</v>
      </c>
      <c r="T60" s="79">
        <f>SUM(DE_AT9[[#This Row],[26M10]:[26M12]])</f>
        <v>7.1279999999999996E-2</v>
      </c>
      <c r="U60" s="85" t="str">
        <f>VLOOKUP(DE_AT9[[#This Row],[Product Line]],Prod_T6[],4,0)</f>
        <v>PV</v>
      </c>
    </row>
    <row r="61" spans="1:21" ht="14.5">
      <c r="A61" s="14" t="s">
        <v>32</v>
      </c>
      <c r="B61" s="1" t="s">
        <v>355</v>
      </c>
      <c r="C61" s="3" t="s">
        <v>259</v>
      </c>
      <c r="D61" s="2" t="s">
        <v>134</v>
      </c>
      <c r="E61" s="2" t="s">
        <v>263</v>
      </c>
      <c r="F61" s="2" t="s">
        <v>120</v>
      </c>
      <c r="H61" s="40" t="s">
        <v>117</v>
      </c>
      <c r="I61" s="13"/>
      <c r="J61" s="13"/>
      <c r="K61" s="13"/>
      <c r="L61" s="13"/>
      <c r="M61" s="13"/>
      <c r="N61" s="13"/>
      <c r="O61" s="13"/>
      <c r="P61" s="13"/>
      <c r="Q61" s="13"/>
      <c r="R61" s="32">
        <f>SUM(DE_AT9[[#This Row],[26M04]:[26M06]])</f>
        <v>0</v>
      </c>
      <c r="S61" s="79">
        <f>SUM(DE_AT9[[#This Row],[26M07]:[26M09]])</f>
        <v>0</v>
      </c>
      <c r="T61" s="79">
        <f>SUM(DE_AT9[[#This Row],[26M10]:[26M12]])</f>
        <v>0</v>
      </c>
      <c r="U61" s="85" t="str">
        <f>VLOOKUP(DE_AT9[[#This Row],[Product Line]],Prod_T6[],4,0)</f>
        <v>PV</v>
      </c>
    </row>
    <row r="62" spans="1:21" ht="14.5">
      <c r="A62" s="14" t="s">
        <v>32</v>
      </c>
      <c r="B62" s="1" t="s">
        <v>348</v>
      </c>
      <c r="C62" s="3" t="s">
        <v>259</v>
      </c>
      <c r="D62" s="2" t="s">
        <v>118</v>
      </c>
      <c r="E62" s="2" t="s">
        <v>119</v>
      </c>
      <c r="F62" s="2" t="s">
        <v>120</v>
      </c>
      <c r="H62" s="40" t="s">
        <v>117</v>
      </c>
      <c r="I62" s="13"/>
      <c r="J62" s="13">
        <f>4*36*460/1000000</f>
        <v>6.6239999999999993E-2</v>
      </c>
      <c r="K62" s="13"/>
      <c r="L62" s="133"/>
      <c r="M62" s="133">
        <f>4*36*460/1000000</f>
        <v>6.6239999999999993E-2</v>
      </c>
      <c r="N62" s="133"/>
      <c r="O62" s="13"/>
      <c r="P62" s="13">
        <f>4*36*460/1000000</f>
        <v>6.6239999999999993E-2</v>
      </c>
      <c r="Q62" s="13"/>
      <c r="R62" s="32">
        <f>SUM(DE_AT9[[#This Row],[26M04]:[26M06]])</f>
        <v>6.6239999999999993E-2</v>
      </c>
      <c r="S62" s="79">
        <f>SUM(DE_AT9[[#This Row],[26M07]:[26M09]])</f>
        <v>6.6239999999999993E-2</v>
      </c>
      <c r="T62" s="79">
        <f>SUM(DE_AT9[[#This Row],[26M10]:[26M12]])</f>
        <v>6.6239999999999993E-2</v>
      </c>
      <c r="U62" s="85" t="str">
        <f>VLOOKUP(DE_AT9[[#This Row],[Product Line]],Prod_T6[],4,0)</f>
        <v>PV</v>
      </c>
    </row>
    <row r="63" spans="1:21" ht="14.5">
      <c r="A63" s="14" t="s">
        <v>32</v>
      </c>
      <c r="B63" s="1" t="s">
        <v>348</v>
      </c>
      <c r="C63" s="3" t="s">
        <v>259</v>
      </c>
      <c r="D63" s="2" t="s">
        <v>118</v>
      </c>
      <c r="E63" s="2" t="s">
        <v>180</v>
      </c>
      <c r="F63" s="2" t="s">
        <v>120</v>
      </c>
      <c r="H63" s="40" t="s">
        <v>117</v>
      </c>
      <c r="I63" s="13"/>
      <c r="J63" s="13">
        <f>4*36*515/1000000</f>
        <v>7.4160000000000004E-2</v>
      </c>
      <c r="K63" s="13"/>
      <c r="L63" s="133"/>
      <c r="M63" s="133">
        <f>4*36*515/1000000</f>
        <v>7.4160000000000004E-2</v>
      </c>
      <c r="N63" s="133"/>
      <c r="O63" s="13"/>
      <c r="P63" s="13">
        <f>4*36*515/1000000</f>
        <v>7.4160000000000004E-2</v>
      </c>
      <c r="Q63" s="13"/>
      <c r="R63" s="32">
        <f>SUM(DE_AT9[[#This Row],[26M04]:[26M06]])</f>
        <v>7.4160000000000004E-2</v>
      </c>
      <c r="S63" s="79">
        <f>SUM(DE_AT9[[#This Row],[26M07]:[26M09]])</f>
        <v>7.4160000000000004E-2</v>
      </c>
      <c r="T63" s="79">
        <f>SUM(DE_AT9[[#This Row],[26M10]:[26M12]])</f>
        <v>7.4160000000000004E-2</v>
      </c>
      <c r="U63" s="85" t="str">
        <f>VLOOKUP(DE_AT9[[#This Row],[Product Line]],Prod_T6[],4,0)</f>
        <v>PV</v>
      </c>
    </row>
    <row r="64" spans="1:21" ht="14.5">
      <c r="A64" s="14" t="s">
        <v>32</v>
      </c>
      <c r="B64" s="1" t="s">
        <v>348</v>
      </c>
      <c r="C64" s="3" t="s">
        <v>259</v>
      </c>
      <c r="D64" s="2" t="s">
        <v>134</v>
      </c>
      <c r="E64" s="2" t="s">
        <v>135</v>
      </c>
      <c r="F64" s="2" t="s">
        <v>120</v>
      </c>
      <c r="H64" s="40" t="s">
        <v>117</v>
      </c>
      <c r="I64" s="13"/>
      <c r="J64" s="13"/>
      <c r="K64" s="13"/>
      <c r="L64" s="13"/>
      <c r="M64" s="13">
        <f>2*36*495/1000000</f>
        <v>3.5639999999999998E-2</v>
      </c>
      <c r="N64" s="13"/>
      <c r="O64" s="13"/>
      <c r="P64" s="13">
        <f>2*36*495/1000000</f>
        <v>3.5639999999999998E-2</v>
      </c>
      <c r="Q64" s="13"/>
      <c r="R64" s="32">
        <f>SUM(DE_AT9[[#This Row],[26M04]:[26M06]])</f>
        <v>0</v>
      </c>
      <c r="S64" s="79">
        <f>SUM(DE_AT9[[#This Row],[26M07]:[26M09]])</f>
        <v>3.5639999999999998E-2</v>
      </c>
      <c r="T64" s="79">
        <f>SUM(DE_AT9[[#This Row],[26M10]:[26M12]])</f>
        <v>3.5639999999999998E-2</v>
      </c>
      <c r="U64" s="85" t="str">
        <f>VLOOKUP(DE_AT9[[#This Row],[Product Line]],Prod_T6[],4,0)</f>
        <v>PV</v>
      </c>
    </row>
    <row r="65" spans="1:21" ht="13" customHeight="1">
      <c r="A65" s="14" t="s">
        <v>32</v>
      </c>
      <c r="B65" s="1" t="s">
        <v>342</v>
      </c>
      <c r="C65" s="3" t="s">
        <v>259</v>
      </c>
      <c r="D65" s="2" t="s">
        <v>118</v>
      </c>
      <c r="E65" s="2" t="s">
        <v>119</v>
      </c>
      <c r="F65" s="2" t="s">
        <v>120</v>
      </c>
      <c r="H65" s="40" t="s">
        <v>117</v>
      </c>
      <c r="I65" s="13"/>
      <c r="J65" s="13"/>
      <c r="K65" s="13">
        <f>4*36*460/1000000</f>
        <v>6.6239999999999993E-2</v>
      </c>
      <c r="L65" s="133"/>
      <c r="M65" s="133">
        <f>4*36*460/1000000</f>
        <v>6.6239999999999993E-2</v>
      </c>
      <c r="N65" s="133"/>
      <c r="O65" s="13"/>
      <c r="P65" s="13">
        <f>4*36*460/1000000</f>
        <v>6.6239999999999993E-2</v>
      </c>
      <c r="Q65" s="13"/>
      <c r="R65" s="32">
        <f>SUM(DE_AT9[[#This Row],[26M04]:[26M06]])</f>
        <v>6.6239999999999993E-2</v>
      </c>
      <c r="S65" s="79">
        <f>SUM(DE_AT9[[#This Row],[26M07]:[26M09]])</f>
        <v>6.6239999999999993E-2</v>
      </c>
      <c r="T65" s="79">
        <f>SUM(DE_AT9[[#This Row],[26M10]:[26M12]])</f>
        <v>6.6239999999999993E-2</v>
      </c>
      <c r="U65" s="85" t="str">
        <f>VLOOKUP(DE_AT9[[#This Row],[Product Line]],Prod_T6[],4,0)</f>
        <v>PV</v>
      </c>
    </row>
    <row r="66" spans="1:21" ht="13" customHeight="1">
      <c r="A66" s="14" t="s">
        <v>32</v>
      </c>
      <c r="B66" s="1" t="s">
        <v>342</v>
      </c>
      <c r="C66" s="3" t="s">
        <v>259</v>
      </c>
      <c r="D66" s="2" t="s">
        <v>118</v>
      </c>
      <c r="E66" s="2" t="s">
        <v>180</v>
      </c>
      <c r="F66" s="2" t="s">
        <v>120</v>
      </c>
      <c r="H66" s="40" t="s">
        <v>117</v>
      </c>
      <c r="I66" s="13">
        <f>3*36*515/1000000</f>
        <v>5.5620000000000003E-2</v>
      </c>
      <c r="J66" s="13"/>
      <c r="K66" s="13">
        <f>3*36*515/1000000</f>
        <v>5.5620000000000003E-2</v>
      </c>
      <c r="L66" s="133"/>
      <c r="M66" s="133">
        <f>4*36*515/1000000</f>
        <v>7.4160000000000004E-2</v>
      </c>
      <c r="N66" s="133"/>
      <c r="O66" s="13"/>
      <c r="P66" s="13">
        <f>4*36*515/1000000</f>
        <v>7.4160000000000004E-2</v>
      </c>
      <c r="Q66" s="13"/>
      <c r="R66" s="32">
        <f>SUM(DE_AT9[[#This Row],[26M04]:[26M06]])</f>
        <v>0.11124000000000001</v>
      </c>
      <c r="S66" s="79">
        <f>SUM(DE_AT9[[#This Row],[26M07]:[26M09]])</f>
        <v>7.4160000000000004E-2</v>
      </c>
      <c r="T66" s="79">
        <f>SUM(DE_AT9[[#This Row],[26M10]:[26M12]])</f>
        <v>7.4160000000000004E-2</v>
      </c>
      <c r="U66" s="85" t="str">
        <f>VLOOKUP(DE_AT9[[#This Row],[Product Line]],Prod_T6[],4,0)</f>
        <v>PV</v>
      </c>
    </row>
    <row r="67" spans="1:21" ht="14.5">
      <c r="A67" s="14" t="s">
        <v>32</v>
      </c>
      <c r="B67" s="1" t="s">
        <v>342</v>
      </c>
      <c r="C67" s="3" t="s">
        <v>259</v>
      </c>
      <c r="D67" s="2" t="s">
        <v>118</v>
      </c>
      <c r="E67" s="2" t="s">
        <v>255</v>
      </c>
      <c r="F67" s="2" t="s">
        <v>120</v>
      </c>
      <c r="H67" s="40" t="s">
        <v>117</v>
      </c>
      <c r="I67" s="13"/>
      <c r="J67" s="13"/>
      <c r="K67" s="13"/>
      <c r="L67" s="133">
        <f>6*33*555/1000000</f>
        <v>0.10989</v>
      </c>
      <c r="M67" s="133"/>
      <c r="N67" s="133"/>
      <c r="O67" s="13">
        <f>6*33*555/1000000</f>
        <v>0.10989</v>
      </c>
      <c r="P67" s="13"/>
      <c r="Q67" s="13"/>
      <c r="R67" s="32">
        <f>SUM(DE_AT9[[#This Row],[26M04]:[26M06]])</f>
        <v>0</v>
      </c>
      <c r="S67" s="79">
        <f>SUM(DE_AT9[[#This Row],[26M07]:[26M09]])</f>
        <v>0.10989</v>
      </c>
      <c r="T67" s="79">
        <f>SUM(DE_AT9[[#This Row],[26M10]:[26M12]])</f>
        <v>0.10989</v>
      </c>
      <c r="U67" s="85" t="str">
        <f>VLOOKUP(DE_AT9[[#This Row],[Product Line]],Prod_T6[],4,0)</f>
        <v>PV</v>
      </c>
    </row>
    <row r="68" spans="1:21" ht="14.5">
      <c r="A68" s="14" t="s">
        <v>32</v>
      </c>
      <c r="B68" s="1" t="s">
        <v>342</v>
      </c>
      <c r="C68" s="3" t="s">
        <v>259</v>
      </c>
      <c r="D68" s="2" t="s">
        <v>134</v>
      </c>
      <c r="E68" s="2" t="s">
        <v>135</v>
      </c>
      <c r="F68" s="2" t="s">
        <v>120</v>
      </c>
      <c r="H68" s="40" t="s">
        <v>117</v>
      </c>
      <c r="I68" s="13"/>
      <c r="J68" s="13"/>
      <c r="K68" s="13"/>
      <c r="L68" s="13"/>
      <c r="M68" s="13">
        <f>2*36*495/1000000</f>
        <v>3.5639999999999998E-2</v>
      </c>
      <c r="N68" s="13"/>
      <c r="O68" s="13"/>
      <c r="P68" s="13">
        <f>2*36*495/1000000</f>
        <v>3.5639999999999998E-2</v>
      </c>
      <c r="Q68" s="13"/>
      <c r="R68" s="32">
        <f>SUM(DE_AT9[[#This Row],[26M04]:[26M06]])</f>
        <v>0</v>
      </c>
      <c r="S68" s="79">
        <f>SUM(DE_AT9[[#This Row],[26M07]:[26M09]])</f>
        <v>3.5639999999999998E-2</v>
      </c>
      <c r="T68" s="79">
        <f>SUM(DE_AT9[[#This Row],[26M10]:[26M12]])</f>
        <v>3.5639999999999998E-2</v>
      </c>
      <c r="U68" s="85" t="str">
        <f>VLOOKUP(DE_AT9[[#This Row],[Product Line]],Prod_T6[],4,0)</f>
        <v>PV</v>
      </c>
    </row>
    <row r="69" spans="1:21" ht="14.5">
      <c r="A69" s="14" t="s">
        <v>32</v>
      </c>
      <c r="B69" s="1" t="s">
        <v>342</v>
      </c>
      <c r="C69" s="3" t="s">
        <v>259</v>
      </c>
      <c r="D69" s="2" t="s">
        <v>134</v>
      </c>
      <c r="E69" s="2" t="s">
        <v>263</v>
      </c>
      <c r="F69" s="2" t="s">
        <v>120</v>
      </c>
      <c r="H69" s="40" t="s">
        <v>117</v>
      </c>
      <c r="I69" s="13"/>
      <c r="J69" s="13"/>
      <c r="K69" s="13"/>
      <c r="L69" s="13"/>
      <c r="M69" s="13"/>
      <c r="N69" s="13"/>
      <c r="O69" s="13"/>
      <c r="P69" s="13"/>
      <c r="Q69" s="13"/>
      <c r="R69" s="32">
        <f>SUM(DE_AT9[[#This Row],[26M04]:[26M06]])</f>
        <v>0</v>
      </c>
      <c r="S69" s="79">
        <f>SUM(DE_AT9[[#This Row],[26M07]:[26M09]])</f>
        <v>0</v>
      </c>
      <c r="T69" s="79">
        <f>SUM(DE_AT9[[#This Row],[26M10]:[26M12]])</f>
        <v>0</v>
      </c>
      <c r="U69" s="85" t="str">
        <f>VLOOKUP(DE_AT9[[#This Row],[Product Line]],Prod_T6[],4,0)</f>
        <v>PV</v>
      </c>
    </row>
    <row r="70" spans="1:21" ht="14.5">
      <c r="A70" s="14" t="s">
        <v>32</v>
      </c>
      <c r="B70" s="1" t="s">
        <v>343</v>
      </c>
      <c r="C70" s="3" t="s">
        <v>259</v>
      </c>
      <c r="D70" s="2" t="s">
        <v>323</v>
      </c>
      <c r="E70" s="2" t="s">
        <v>344</v>
      </c>
      <c r="F70" s="2" t="s">
        <v>120</v>
      </c>
      <c r="H70" s="40" t="s">
        <v>117</v>
      </c>
      <c r="I70" s="13">
        <f>10*33*580/1000000</f>
        <v>0.19139999999999999</v>
      </c>
      <c r="J70" s="13"/>
      <c r="K70" s="13"/>
      <c r="L70" s="13"/>
      <c r="M70" s="13"/>
      <c r="N70" s="13"/>
      <c r="O70" s="13"/>
      <c r="P70" s="13"/>
      <c r="Q70" s="13"/>
      <c r="R70" s="32">
        <f>SUM(DE_AT9[[#This Row],[26M04]:[26M06]])</f>
        <v>0.19139999999999999</v>
      </c>
      <c r="S70" s="79">
        <f>SUM(DE_AT9[[#This Row],[26M07]:[26M09]])</f>
        <v>0</v>
      </c>
      <c r="T70" s="79">
        <f>SUM(DE_AT9[[#This Row],[26M10]:[26M12]])</f>
        <v>0</v>
      </c>
      <c r="U70" s="85" t="str">
        <f>VLOOKUP(DE_AT9[[#This Row],[Product Line]],Prod_T6[],4,0)</f>
        <v>PV</v>
      </c>
    </row>
    <row r="71" spans="1:21" ht="14.5">
      <c r="A71" s="14" t="s">
        <v>32</v>
      </c>
      <c r="B71" s="1" t="s">
        <v>345</v>
      </c>
      <c r="C71" s="3" t="s">
        <v>259</v>
      </c>
      <c r="D71" s="2" t="s">
        <v>118</v>
      </c>
      <c r="E71" s="2" t="s">
        <v>119</v>
      </c>
      <c r="F71" s="2" t="s">
        <v>120</v>
      </c>
      <c r="H71" s="40" t="s">
        <v>117</v>
      </c>
      <c r="I71" s="13"/>
      <c r="J71" s="13">
        <f>8*36*460/1000000</f>
        <v>0.13247999999999999</v>
      </c>
      <c r="K71" s="13"/>
      <c r="L71" s="133">
        <f>8*36*460/1000000</f>
        <v>0.13247999999999999</v>
      </c>
      <c r="M71" s="133"/>
      <c r="N71" s="133"/>
      <c r="O71" s="13">
        <f>8*36*460/1000000</f>
        <v>0.13247999999999999</v>
      </c>
      <c r="P71" s="13"/>
      <c r="Q71" s="13"/>
      <c r="R71" s="32">
        <f>SUM(DE_AT9[[#This Row],[26M04]:[26M06]])</f>
        <v>0.13247999999999999</v>
      </c>
      <c r="S71" s="79">
        <f>SUM(DE_AT9[[#This Row],[26M07]:[26M09]])</f>
        <v>0.13247999999999999</v>
      </c>
      <c r="T71" s="79">
        <f>SUM(DE_AT9[[#This Row],[26M10]:[26M12]])</f>
        <v>0.13247999999999999</v>
      </c>
      <c r="U71" s="85" t="str">
        <f>VLOOKUP(DE_AT9[[#This Row],[Product Line]],Prod_T6[],4,0)</f>
        <v>PV</v>
      </c>
    </row>
    <row r="72" spans="1:21" ht="14.5">
      <c r="A72" s="14" t="s">
        <v>32</v>
      </c>
      <c r="B72" s="1" t="s">
        <v>345</v>
      </c>
      <c r="C72" s="3" t="s">
        <v>259</v>
      </c>
      <c r="D72" s="2" t="s">
        <v>118</v>
      </c>
      <c r="E72" s="2" t="s">
        <v>180</v>
      </c>
      <c r="F72" s="2" t="s">
        <v>120</v>
      </c>
      <c r="H72" s="40" t="s">
        <v>117</v>
      </c>
      <c r="I72" s="13"/>
      <c r="J72" s="13"/>
      <c r="K72" s="13"/>
      <c r="L72" s="133">
        <f>2*36*515/1000000</f>
        <v>3.7080000000000002E-2</v>
      </c>
      <c r="M72" s="133"/>
      <c r="N72" s="133"/>
      <c r="O72" s="13">
        <f>2*36*515/1000000</f>
        <v>3.7080000000000002E-2</v>
      </c>
      <c r="P72" s="13"/>
      <c r="Q72" s="13"/>
      <c r="R72" s="32">
        <f>SUM(DE_AT9[[#This Row],[26M04]:[26M06]])</f>
        <v>0</v>
      </c>
      <c r="S72" s="79">
        <f>SUM(DE_AT9[[#This Row],[26M07]:[26M09]])</f>
        <v>3.7080000000000002E-2</v>
      </c>
      <c r="T72" s="79">
        <f>SUM(DE_AT9[[#This Row],[26M10]:[26M12]])</f>
        <v>3.7080000000000002E-2</v>
      </c>
      <c r="U72" s="85" t="str">
        <f>VLOOKUP(DE_AT9[[#This Row],[Product Line]],Prod_T6[],4,0)</f>
        <v>PV</v>
      </c>
    </row>
    <row r="73" spans="1:21" ht="14.5">
      <c r="A73" s="14" t="s">
        <v>32</v>
      </c>
      <c r="B73" s="1" t="s">
        <v>345</v>
      </c>
      <c r="C73" s="3" t="s">
        <v>259</v>
      </c>
      <c r="D73" s="2" t="s">
        <v>118</v>
      </c>
      <c r="E73" s="2" t="s">
        <v>255</v>
      </c>
      <c r="F73" s="2" t="s">
        <v>120</v>
      </c>
      <c r="H73" s="40" t="s">
        <v>117</v>
      </c>
      <c r="I73" s="13"/>
      <c r="J73" s="13"/>
      <c r="K73" s="13">
        <f>6*33*555/1000000</f>
        <v>0.10989</v>
      </c>
      <c r="L73" s="133"/>
      <c r="M73" s="133"/>
      <c r="N73" s="13">
        <f>6*33*555/1000000</f>
        <v>0.10989</v>
      </c>
      <c r="O73" s="13"/>
      <c r="P73" s="13"/>
      <c r="Q73" s="13"/>
      <c r="R73" s="32">
        <f>SUM(DE_AT9[[#This Row],[26M04]:[26M06]])</f>
        <v>0.10989</v>
      </c>
      <c r="S73" s="79">
        <f>SUM(DE_AT9[[#This Row],[26M07]:[26M09]])</f>
        <v>0.10989</v>
      </c>
      <c r="T73" s="79">
        <f>SUM(DE_AT9[[#This Row],[26M10]:[26M12]])</f>
        <v>0</v>
      </c>
      <c r="U73" s="85" t="str">
        <f>VLOOKUP(DE_AT9[[#This Row],[Product Line]],Prod_T6[],4,0)</f>
        <v>PV</v>
      </c>
    </row>
    <row r="74" spans="1:21" ht="14.5">
      <c r="A74" s="14" t="s">
        <v>32</v>
      </c>
      <c r="B74" s="1" t="s">
        <v>345</v>
      </c>
      <c r="C74" s="3" t="s">
        <v>259</v>
      </c>
      <c r="D74" s="2" t="s">
        <v>134</v>
      </c>
      <c r="E74" s="2" t="s">
        <v>135</v>
      </c>
      <c r="F74" s="2" t="s">
        <v>120</v>
      </c>
      <c r="H74" s="40" t="s">
        <v>117</v>
      </c>
      <c r="I74" s="13"/>
      <c r="J74" s="13"/>
      <c r="K74" s="13"/>
      <c r="L74" s="13"/>
      <c r="M74" s="13"/>
      <c r="N74" s="13"/>
      <c r="O74" s="13"/>
      <c r="P74" s="13"/>
      <c r="Q74" s="13"/>
      <c r="R74" s="32">
        <f>SUM(DE_AT9[[#This Row],[26M04]:[26M06]])</f>
        <v>0</v>
      </c>
      <c r="S74" s="79">
        <f>SUM(DE_AT9[[#This Row],[26M07]:[26M09]])</f>
        <v>0</v>
      </c>
      <c r="T74" s="79">
        <f>SUM(DE_AT9[[#This Row],[26M10]:[26M12]])</f>
        <v>0</v>
      </c>
      <c r="U74" s="85" t="str">
        <f>VLOOKUP(DE_AT9[[#This Row],[Product Line]],Prod_T6[],4,0)</f>
        <v>PV</v>
      </c>
    </row>
    <row r="75" spans="1:21" ht="14.5">
      <c r="A75" s="14" t="s">
        <v>32</v>
      </c>
      <c r="B75" s="1" t="s">
        <v>346</v>
      </c>
      <c r="C75" s="3" t="s">
        <v>259</v>
      </c>
      <c r="D75" s="2" t="s">
        <v>118</v>
      </c>
      <c r="E75" s="2" t="s">
        <v>119</v>
      </c>
      <c r="F75" s="2" t="s">
        <v>120</v>
      </c>
      <c r="H75" s="40" t="s">
        <v>117</v>
      </c>
      <c r="I75" s="13"/>
      <c r="J75" s="13"/>
      <c r="K75" s="13">
        <f>8*36*460/1000000</f>
        <v>0.13247999999999999</v>
      </c>
      <c r="L75" s="133"/>
      <c r="M75" s="13">
        <f>8*36*460/1000000</f>
        <v>0.13247999999999999</v>
      </c>
      <c r="N75" s="133"/>
      <c r="O75" s="13"/>
      <c r="P75" s="13">
        <f>4*36*460/1000000</f>
        <v>6.6239999999999993E-2</v>
      </c>
      <c r="Q75" s="13"/>
      <c r="R75" s="32">
        <f>SUM(DE_AT9[[#This Row],[26M04]:[26M06]])</f>
        <v>0.13247999999999999</v>
      </c>
      <c r="S75" s="79">
        <f>SUM(DE_AT9[[#This Row],[26M07]:[26M09]])</f>
        <v>0.13247999999999999</v>
      </c>
      <c r="T75" s="79">
        <f>SUM(DE_AT9[[#This Row],[26M10]:[26M12]])</f>
        <v>6.6239999999999993E-2</v>
      </c>
      <c r="U75" s="85" t="str">
        <f>VLOOKUP(DE_AT9[[#This Row],[Product Line]],Prod_T6[],4,0)</f>
        <v>PV</v>
      </c>
    </row>
    <row r="76" spans="1:21" ht="14.5">
      <c r="A76" s="14" t="s">
        <v>32</v>
      </c>
      <c r="B76" s="1" t="s">
        <v>346</v>
      </c>
      <c r="C76" s="3" t="s">
        <v>259</v>
      </c>
      <c r="D76" s="2" t="s">
        <v>118</v>
      </c>
      <c r="E76" s="2" t="s">
        <v>180</v>
      </c>
      <c r="F76" s="2" t="s">
        <v>120</v>
      </c>
      <c r="H76" s="40" t="s">
        <v>117</v>
      </c>
      <c r="I76" s="13"/>
      <c r="J76" s="13"/>
      <c r="K76" s="133">
        <f>2*36*515/1000000</f>
        <v>3.7080000000000002E-2</v>
      </c>
      <c r="L76" s="133"/>
      <c r="M76" s="133">
        <f>2*36*515/1000000</f>
        <v>3.7080000000000002E-2</v>
      </c>
      <c r="N76" s="133"/>
      <c r="O76" s="13"/>
      <c r="P76" s="133">
        <f>2*36*515/1000000</f>
        <v>3.7080000000000002E-2</v>
      </c>
      <c r="Q76" s="13"/>
      <c r="R76" s="32">
        <f>SUM(DE_AT9[[#This Row],[26M04]:[26M06]])</f>
        <v>3.7080000000000002E-2</v>
      </c>
      <c r="S76" s="79">
        <f>SUM(DE_AT9[[#This Row],[26M07]:[26M09]])</f>
        <v>3.7080000000000002E-2</v>
      </c>
      <c r="T76" s="79">
        <f>SUM(DE_AT9[[#This Row],[26M10]:[26M12]])</f>
        <v>3.7080000000000002E-2</v>
      </c>
      <c r="U76" s="85" t="str">
        <f>VLOOKUP(DE_AT9[[#This Row],[Product Line]],Prod_T6[],4,0)</f>
        <v>PV</v>
      </c>
    </row>
    <row r="77" spans="1:21" ht="14.5">
      <c r="A77" s="14" t="s">
        <v>32</v>
      </c>
      <c r="B77" s="1" t="s">
        <v>346</v>
      </c>
      <c r="C77" s="3" t="s">
        <v>259</v>
      </c>
      <c r="D77" s="2" t="s">
        <v>118</v>
      </c>
      <c r="E77" s="2" t="s">
        <v>255</v>
      </c>
      <c r="F77" s="2" t="s">
        <v>120</v>
      </c>
      <c r="H77" s="40" t="s">
        <v>117</v>
      </c>
      <c r="I77" s="13"/>
      <c r="J77" s="13"/>
      <c r="K77" s="13">
        <f>2*33*555/1000000</f>
        <v>3.6630000000000003E-2</v>
      </c>
      <c r="L77" s="133"/>
      <c r="M77" s="133">
        <f>2*33*555/1000000</f>
        <v>3.6630000000000003E-2</v>
      </c>
      <c r="N77" s="133"/>
      <c r="O77" s="13"/>
      <c r="P77" s="13">
        <f>2*33*555/1000000</f>
        <v>3.6630000000000003E-2</v>
      </c>
      <c r="Q77" s="13"/>
      <c r="R77" s="32">
        <f>SUM(DE_AT9[[#This Row],[26M04]:[26M06]])</f>
        <v>3.6630000000000003E-2</v>
      </c>
      <c r="S77" s="79">
        <f>SUM(DE_AT9[[#This Row],[26M07]:[26M09]])</f>
        <v>3.6630000000000003E-2</v>
      </c>
      <c r="T77" s="79">
        <f>SUM(DE_AT9[[#This Row],[26M10]:[26M12]])</f>
        <v>3.6630000000000003E-2</v>
      </c>
      <c r="U77" s="85" t="str">
        <f>VLOOKUP(DE_AT9[[#This Row],[Product Line]],Prod_T6[],4,0)</f>
        <v>PV</v>
      </c>
    </row>
    <row r="78" spans="1:21" ht="14.5">
      <c r="A78" s="14" t="s">
        <v>32</v>
      </c>
      <c r="B78" s="1" t="s">
        <v>346</v>
      </c>
      <c r="C78" s="3" t="s">
        <v>259</v>
      </c>
      <c r="D78" s="2" t="s">
        <v>134</v>
      </c>
      <c r="E78" s="2" t="s">
        <v>135</v>
      </c>
      <c r="F78" s="2" t="s">
        <v>120</v>
      </c>
      <c r="H78" s="40" t="s">
        <v>117</v>
      </c>
      <c r="I78" s="13"/>
      <c r="J78" s="13"/>
      <c r="K78" s="13"/>
      <c r="L78" s="13"/>
      <c r="M78" s="13">
        <f>2*36*495/1000000</f>
        <v>3.5639999999999998E-2</v>
      </c>
      <c r="N78" s="13"/>
      <c r="O78" s="13"/>
      <c r="P78" s="13">
        <f>2*36*495/1000000</f>
        <v>3.5639999999999998E-2</v>
      </c>
      <c r="Q78" s="13"/>
      <c r="R78" s="32">
        <f>SUM(DE_AT9[[#This Row],[26M04]:[26M06]])</f>
        <v>0</v>
      </c>
      <c r="S78" s="79">
        <f>SUM(DE_AT9[[#This Row],[26M07]:[26M09]])</f>
        <v>3.5639999999999998E-2</v>
      </c>
      <c r="T78" s="79">
        <f>SUM(DE_AT9[[#This Row],[26M10]:[26M12]])</f>
        <v>3.5639999999999998E-2</v>
      </c>
      <c r="U78" s="85" t="str">
        <f>VLOOKUP(DE_AT9[[#This Row],[Product Line]],Prod_T6[],4,0)</f>
        <v>PV</v>
      </c>
    </row>
    <row r="79" spans="1:21" ht="13" customHeight="1">
      <c r="A79" s="14" t="s">
        <v>32</v>
      </c>
      <c r="B79" s="1" t="s">
        <v>346</v>
      </c>
      <c r="C79" s="3" t="s">
        <v>259</v>
      </c>
      <c r="D79" s="2" t="s">
        <v>134</v>
      </c>
      <c r="E79" s="2" t="s">
        <v>263</v>
      </c>
      <c r="F79" s="2" t="s">
        <v>120</v>
      </c>
      <c r="H79" s="40" t="s">
        <v>117</v>
      </c>
      <c r="I79" s="13"/>
      <c r="J79" s="13"/>
      <c r="K79" s="13"/>
      <c r="L79" s="13"/>
      <c r="M79" s="13">
        <f>2*36*600/1000000</f>
        <v>4.3200000000000002E-2</v>
      </c>
      <c r="N79" s="13"/>
      <c r="O79" s="13"/>
      <c r="P79" s="13"/>
      <c r="Q79" s="13"/>
      <c r="R79" s="32">
        <f>SUM(DE_AT9[[#This Row],[26M04]:[26M06]])</f>
        <v>0</v>
      </c>
      <c r="S79" s="79">
        <f>SUM(DE_AT9[[#This Row],[26M07]:[26M09]])</f>
        <v>4.3200000000000002E-2</v>
      </c>
      <c r="T79" s="79">
        <f>SUM(DE_AT9[[#This Row],[26M10]:[26M12]])</f>
        <v>0</v>
      </c>
      <c r="U79" s="85" t="str">
        <f>VLOOKUP(DE_AT9[[#This Row],[Product Line]],Prod_T6[],4,0)</f>
        <v>PV</v>
      </c>
    </row>
    <row r="80" spans="1:21" ht="14.5">
      <c r="A80" s="14" t="s">
        <v>32</v>
      </c>
      <c r="B80" s="1" t="s">
        <v>347</v>
      </c>
      <c r="C80" s="3" t="s">
        <v>259</v>
      </c>
      <c r="D80" s="2" t="s">
        <v>118</v>
      </c>
      <c r="E80" s="2" t="s">
        <v>119</v>
      </c>
      <c r="F80" s="2" t="s">
        <v>120</v>
      </c>
      <c r="H80" s="40" t="s">
        <v>117</v>
      </c>
      <c r="I80" s="13"/>
      <c r="J80" s="13"/>
      <c r="K80" s="13"/>
      <c r="L80" s="133"/>
      <c r="M80" s="133"/>
      <c r="N80" s="133">
        <f>2*36*460/1000000</f>
        <v>3.3119999999999997E-2</v>
      </c>
      <c r="O80" s="13"/>
      <c r="P80" s="13"/>
      <c r="Q80" s="13"/>
      <c r="R80" s="32">
        <f>SUM(DE_AT9[[#This Row],[26M04]:[26M06]])</f>
        <v>0</v>
      </c>
      <c r="S80" s="79">
        <f>SUM(DE_AT9[[#This Row],[26M07]:[26M09]])</f>
        <v>3.3119999999999997E-2</v>
      </c>
      <c r="T80" s="79">
        <f>SUM(DE_AT9[[#This Row],[26M10]:[26M12]])</f>
        <v>0</v>
      </c>
      <c r="U80" s="85" t="str">
        <f>VLOOKUP(DE_AT9[[#This Row],[Product Line]],Prod_T6[],4,0)</f>
        <v>PV</v>
      </c>
    </row>
    <row r="81" spans="1:21" ht="14.5">
      <c r="A81" s="14" t="s">
        <v>32</v>
      </c>
      <c r="B81" s="1" t="s">
        <v>319</v>
      </c>
      <c r="C81" s="3" t="s">
        <v>259</v>
      </c>
      <c r="D81" s="2" t="s">
        <v>118</v>
      </c>
      <c r="E81" s="2" t="s">
        <v>180</v>
      </c>
      <c r="F81" s="2" t="s">
        <v>120</v>
      </c>
      <c r="H81" s="40" t="s">
        <v>117</v>
      </c>
      <c r="I81" s="13"/>
      <c r="J81" s="13"/>
      <c r="K81" s="13"/>
      <c r="L81" s="133"/>
      <c r="M81" s="133"/>
      <c r="N81" s="133"/>
      <c r="O81" s="13">
        <f>2*33*515/1000000</f>
        <v>3.3989999999999999E-2</v>
      </c>
      <c r="P81" s="13"/>
      <c r="Q81" s="13"/>
      <c r="R81" s="32">
        <f>SUM(DE_AT9[[#This Row],[26M04]:[26M06]])</f>
        <v>0</v>
      </c>
      <c r="S81" s="79">
        <f>SUM(DE_AT9[[#This Row],[26M07]:[26M09]])</f>
        <v>0</v>
      </c>
      <c r="T81" s="79">
        <f>SUM(DE_AT9[[#This Row],[26M10]:[26M12]])</f>
        <v>3.3989999999999999E-2</v>
      </c>
      <c r="U81" s="85" t="str">
        <f>VLOOKUP(DE_AT9[[#This Row],[Product Line]],Prod_T6[],4,0)</f>
        <v>PV</v>
      </c>
    </row>
    <row r="82" spans="1:21" ht="14.5">
      <c r="A82" s="14" t="s">
        <v>32</v>
      </c>
      <c r="B82" s="1" t="s">
        <v>319</v>
      </c>
      <c r="C82" s="3" t="s">
        <v>259</v>
      </c>
      <c r="D82" s="2" t="s">
        <v>118</v>
      </c>
      <c r="E82" s="2" t="s">
        <v>255</v>
      </c>
      <c r="F82" s="2" t="s">
        <v>120</v>
      </c>
      <c r="H82" s="40" t="s">
        <v>117</v>
      </c>
      <c r="I82" s="13"/>
      <c r="J82" s="13"/>
      <c r="K82" s="13"/>
      <c r="L82" s="13"/>
      <c r="M82" s="13"/>
      <c r="N82" s="133"/>
      <c r="O82" s="13">
        <f>8*33*555/1000000</f>
        <v>0.14652000000000001</v>
      </c>
      <c r="P82" s="13"/>
      <c r="Q82" s="13"/>
      <c r="R82" s="32">
        <f>SUM(DE_AT9[[#This Row],[26M04]:[26M06]])</f>
        <v>0</v>
      </c>
      <c r="S82" s="79">
        <f>SUM(DE_AT9[[#This Row],[26M07]:[26M09]])</f>
        <v>0</v>
      </c>
      <c r="T82" s="79">
        <f>SUM(DE_AT9[[#This Row],[26M10]:[26M12]])</f>
        <v>0.14652000000000001</v>
      </c>
      <c r="U82" s="85" t="str">
        <f>VLOOKUP(DE_AT9[[#This Row],[Product Line]],Prod_T6[],4,0)</f>
        <v>PV</v>
      </c>
    </row>
    <row r="83" spans="1:21" ht="14.5" customHeight="1">
      <c r="A83" s="14" t="s">
        <v>32</v>
      </c>
      <c r="B83" s="1" t="s">
        <v>319</v>
      </c>
      <c r="C83" s="3" t="s">
        <v>259</v>
      </c>
      <c r="D83" s="2" t="s">
        <v>134</v>
      </c>
      <c r="E83" s="2" t="s">
        <v>263</v>
      </c>
      <c r="F83" s="2" t="s">
        <v>120</v>
      </c>
      <c r="H83" s="40" t="s">
        <v>117</v>
      </c>
      <c r="I83" s="13"/>
      <c r="J83" s="13"/>
      <c r="K83" s="13"/>
      <c r="L83" s="13"/>
      <c r="M83" s="13"/>
      <c r="N83" s="13"/>
      <c r="O83" s="13">
        <f>2*36*600/1000000</f>
        <v>4.3200000000000002E-2</v>
      </c>
      <c r="P83" s="13"/>
      <c r="Q83" s="13"/>
      <c r="R83" s="32">
        <f>SUM(DE_AT9[[#This Row],[26M04]:[26M06]])</f>
        <v>0</v>
      </c>
      <c r="S83" s="79">
        <f>SUM(DE_AT9[[#This Row],[26M07]:[26M09]])</f>
        <v>0</v>
      </c>
      <c r="T83" s="79">
        <f>SUM(DE_AT9[[#This Row],[26M10]:[26M12]])</f>
        <v>4.3200000000000002E-2</v>
      </c>
      <c r="U83" s="85" t="str">
        <f>VLOOKUP(DE_AT9[[#This Row],[Product Line]],Prod_T6[],4,0)</f>
        <v>PV</v>
      </c>
    </row>
    <row r="84" spans="1:21" ht="14.5">
      <c r="A84" s="14" t="s">
        <v>32</v>
      </c>
      <c r="B84" s="1" t="s">
        <v>272</v>
      </c>
      <c r="C84" s="3" t="s">
        <v>259</v>
      </c>
      <c r="D84" s="2" t="s">
        <v>118</v>
      </c>
      <c r="E84" s="2" t="s">
        <v>255</v>
      </c>
      <c r="F84" s="2" t="s">
        <v>120</v>
      </c>
      <c r="H84" s="40" t="s">
        <v>117</v>
      </c>
      <c r="I84" s="13"/>
      <c r="J84" s="13">
        <v>0.2</v>
      </c>
      <c r="K84" s="13"/>
      <c r="L84" s="133"/>
      <c r="M84" s="133">
        <f>8*33*555/1000000</f>
        <v>0.14652000000000001</v>
      </c>
      <c r="N84" s="133"/>
      <c r="O84" s="13"/>
      <c r="P84" s="13">
        <f>8*33*555/1000000</f>
        <v>0.14652000000000001</v>
      </c>
      <c r="Q84" s="13"/>
      <c r="R84" s="32">
        <f>SUM(DE_AT9[[#This Row],[26M04]:[26M06]])</f>
        <v>0.2</v>
      </c>
      <c r="S84" s="79">
        <f>SUM(DE_AT9[[#This Row],[26M07]:[26M09]])</f>
        <v>0.14652000000000001</v>
      </c>
      <c r="T84" s="79">
        <f>SUM(DE_AT9[[#This Row],[26M10]:[26M12]])</f>
        <v>0.14652000000000001</v>
      </c>
      <c r="U84" s="85" t="str">
        <f>VLOOKUP(DE_AT9[[#This Row],[Product Line]],Prod_T6[],4,0)</f>
        <v>PV</v>
      </c>
    </row>
    <row r="85" spans="1:21" ht="14.5">
      <c r="A85" s="14" t="s">
        <v>32</v>
      </c>
      <c r="B85" s="1" t="s">
        <v>272</v>
      </c>
      <c r="C85" s="3" t="s">
        <v>259</v>
      </c>
      <c r="D85" s="2" t="s">
        <v>134</v>
      </c>
      <c r="E85" s="2" t="s">
        <v>263</v>
      </c>
      <c r="F85" s="2" t="s">
        <v>120</v>
      </c>
      <c r="H85" s="40" t="s">
        <v>117</v>
      </c>
      <c r="I85" s="13"/>
      <c r="J85" s="13"/>
      <c r="K85" s="13"/>
      <c r="L85" s="13"/>
      <c r="M85" s="13">
        <f>4*36*600/1000000</f>
        <v>8.6400000000000005E-2</v>
      </c>
      <c r="N85" s="13"/>
      <c r="O85" s="13"/>
      <c r="P85" s="13">
        <f>4*36*600/1000000</f>
        <v>8.6400000000000005E-2</v>
      </c>
      <c r="Q85" s="13"/>
      <c r="R85" s="32">
        <f>SUM(DE_AT9[[#This Row],[26M04]:[26M06]])</f>
        <v>0</v>
      </c>
      <c r="S85" s="79">
        <f>SUM(DE_AT9[[#This Row],[26M07]:[26M09]])</f>
        <v>8.6400000000000005E-2</v>
      </c>
      <c r="T85" s="79">
        <f>SUM(DE_AT9[[#This Row],[26M10]:[26M12]])</f>
        <v>8.6400000000000005E-2</v>
      </c>
      <c r="U85" s="85" t="str">
        <f>VLOOKUP(DE_AT9[[#This Row],[Product Line]],Prod_T6[],4,0)</f>
        <v>PV</v>
      </c>
    </row>
    <row r="86" spans="1:21" ht="14.5" customHeight="1">
      <c r="A86" s="14" t="s">
        <v>32</v>
      </c>
      <c r="B86" s="1" t="s">
        <v>273</v>
      </c>
      <c r="C86" s="3" t="s">
        <v>259</v>
      </c>
      <c r="D86" s="2" t="s">
        <v>197</v>
      </c>
      <c r="E86" s="2" t="s">
        <v>61</v>
      </c>
      <c r="F86" s="2" t="s">
        <v>120</v>
      </c>
      <c r="H86" s="40" t="s">
        <v>117</v>
      </c>
      <c r="I86" s="13">
        <v>1</v>
      </c>
      <c r="J86" s="13"/>
      <c r="K86" s="13"/>
      <c r="L86" s="13"/>
      <c r="M86" s="13">
        <v>1</v>
      </c>
      <c r="N86" s="13"/>
      <c r="O86" s="13"/>
      <c r="P86" s="13">
        <v>1</v>
      </c>
      <c r="Q86" s="13"/>
      <c r="R86" s="32">
        <f>SUM(DE_AT9[[#This Row],[26M04]:[26M06]])</f>
        <v>1</v>
      </c>
      <c r="S86" s="79">
        <f>SUM(DE_AT9[[#This Row],[26M07]:[26M09]])</f>
        <v>1</v>
      </c>
      <c r="T86" s="79">
        <f>SUM(DE_AT9[[#This Row],[26M10]:[26M12]])</f>
        <v>1</v>
      </c>
      <c r="U86" s="85" t="str">
        <f>VLOOKUP(DE_AT9[[#This Row],[Product Line]],Prod_T6[],4,0)</f>
        <v>ESS</v>
      </c>
    </row>
    <row r="87" spans="1:21" ht="14.5" customHeight="1">
      <c r="A87" s="14" t="s">
        <v>32</v>
      </c>
      <c r="B87" s="1" t="s">
        <v>273</v>
      </c>
      <c r="C87" s="3" t="s">
        <v>259</v>
      </c>
      <c r="D87" s="2" t="s">
        <v>118</v>
      </c>
      <c r="E87" s="2" t="s">
        <v>180</v>
      </c>
      <c r="F87" s="2" t="s">
        <v>120</v>
      </c>
      <c r="H87" s="40" t="s">
        <v>117</v>
      </c>
      <c r="I87" s="13">
        <f>2*36*515/10000000</f>
        <v>3.7079999999999999E-3</v>
      </c>
      <c r="J87" s="13"/>
      <c r="K87" s="13"/>
      <c r="L87" s="133"/>
      <c r="M87" s="13">
        <f>2*36*515/10000000</f>
        <v>3.7079999999999999E-3</v>
      </c>
      <c r="N87" s="133"/>
      <c r="O87" s="13"/>
      <c r="P87" s="13">
        <f>2*36*515/10000000</f>
        <v>3.7079999999999999E-3</v>
      </c>
      <c r="Q87" s="13"/>
      <c r="R87" s="32">
        <f>SUM(DE_AT9[[#This Row],[26M04]:[26M06]])</f>
        <v>3.7079999999999999E-3</v>
      </c>
      <c r="S87" s="79">
        <f>SUM(DE_AT9[[#This Row],[26M07]:[26M09]])</f>
        <v>3.7079999999999999E-3</v>
      </c>
      <c r="T87" s="79">
        <f>SUM(DE_AT9[[#This Row],[26M10]:[26M12]])</f>
        <v>3.7079999999999999E-3</v>
      </c>
      <c r="U87" s="85" t="str">
        <f>VLOOKUP(DE_AT9[[#This Row],[Product Line]],Prod_T6[],4,0)</f>
        <v>PV</v>
      </c>
    </row>
    <row r="88" spans="1:21" ht="14.5" customHeight="1">
      <c r="A88" s="14" t="s">
        <v>32</v>
      </c>
      <c r="B88" s="1" t="s">
        <v>274</v>
      </c>
      <c r="C88" s="3" t="s">
        <v>259</v>
      </c>
      <c r="D88" s="2" t="s">
        <v>118</v>
      </c>
      <c r="E88" s="2" t="s">
        <v>119</v>
      </c>
      <c r="F88" s="2" t="s">
        <v>120</v>
      </c>
      <c r="H88" s="40" t="s">
        <v>117</v>
      </c>
      <c r="I88" s="13"/>
      <c r="J88" s="13">
        <f>14*36*460/1000000</f>
        <v>0.23183999999999999</v>
      </c>
      <c r="K88" s="13"/>
      <c r="L88" s="133">
        <f>14*36*460/1000000</f>
        <v>0.23183999999999999</v>
      </c>
      <c r="M88" s="133"/>
      <c r="N88" s="133">
        <f>14*36*460/1000000</f>
        <v>0.23183999999999999</v>
      </c>
      <c r="O88" s="13"/>
      <c r="P88" s="133">
        <f>14*36*460/1000000</f>
        <v>0.23183999999999999</v>
      </c>
      <c r="Q88" s="13"/>
      <c r="R88" s="32"/>
      <c r="S88" s="79"/>
      <c r="T88" s="79"/>
      <c r="U88" s="85" t="str">
        <f>VLOOKUP(DE_AT9[[#This Row],[Product Line]],Prod_T6[],4,0)</f>
        <v>PV</v>
      </c>
    </row>
    <row r="89" spans="1:21" ht="14.5">
      <c r="A89" s="14" t="s">
        <v>32</v>
      </c>
      <c r="B89" s="1" t="s">
        <v>274</v>
      </c>
      <c r="C89" s="3" t="s">
        <v>259</v>
      </c>
      <c r="D89" s="2" t="s">
        <v>118</v>
      </c>
      <c r="E89" s="2" t="s">
        <v>275</v>
      </c>
      <c r="F89" s="2" t="s">
        <v>120</v>
      </c>
      <c r="H89" s="40" t="s">
        <v>117</v>
      </c>
      <c r="I89" s="13">
        <f>6*36*510/1000000</f>
        <v>0.11015999999999999</v>
      </c>
      <c r="J89" s="13">
        <f>6*36*510/1000000</f>
        <v>0.11015999999999999</v>
      </c>
      <c r="K89" s="13"/>
      <c r="L89" s="133"/>
      <c r="M89" s="133"/>
      <c r="N89" s="133"/>
      <c r="O89" s="13"/>
      <c r="P89" s="13"/>
      <c r="Q89" s="13"/>
      <c r="R89" s="32">
        <f>SUM(DE_AT9[[#This Row],[26M04]:[26M06]])</f>
        <v>0.22031999999999999</v>
      </c>
      <c r="S89" s="79">
        <f>SUM(DE_AT9[[#This Row],[26M07]:[26M09]])</f>
        <v>0</v>
      </c>
      <c r="T89" s="79">
        <f>SUM(DE_AT9[[#This Row],[26M10]:[26M12]])</f>
        <v>0</v>
      </c>
      <c r="U89" s="85" t="str">
        <f>VLOOKUP(DE_AT9[[#This Row],[Product Line]],Prod_T6[],4,0)</f>
        <v>PV</v>
      </c>
    </row>
    <row r="90" spans="1:21" ht="14.5">
      <c r="A90" s="14" t="s">
        <v>32</v>
      </c>
      <c r="B90" s="1" t="s">
        <v>274</v>
      </c>
      <c r="C90" s="3" t="s">
        <v>259</v>
      </c>
      <c r="D90" s="2" t="s">
        <v>118</v>
      </c>
      <c r="E90" s="2" t="s">
        <v>180</v>
      </c>
      <c r="F90" s="2" t="s">
        <v>120</v>
      </c>
      <c r="H90" s="40" t="s">
        <v>117</v>
      </c>
      <c r="I90" s="13">
        <f t="shared" ref="I90:Q90" si="0">14*36*515/1000000</f>
        <v>0.25956000000000001</v>
      </c>
      <c r="J90" s="13">
        <f t="shared" si="0"/>
        <v>0.25956000000000001</v>
      </c>
      <c r="K90" s="13">
        <f t="shared" si="0"/>
        <v>0.25956000000000001</v>
      </c>
      <c r="L90" s="13">
        <f t="shared" si="0"/>
        <v>0.25956000000000001</v>
      </c>
      <c r="M90" s="13">
        <f t="shared" si="0"/>
        <v>0.25956000000000001</v>
      </c>
      <c r="N90" s="13">
        <f t="shared" si="0"/>
        <v>0.25956000000000001</v>
      </c>
      <c r="O90" s="13">
        <f t="shared" si="0"/>
        <v>0.25956000000000001</v>
      </c>
      <c r="P90" s="13">
        <f t="shared" si="0"/>
        <v>0.25956000000000001</v>
      </c>
      <c r="Q90" s="13">
        <f t="shared" si="0"/>
        <v>0.25956000000000001</v>
      </c>
      <c r="R90" s="32">
        <f>SUM(DE_AT9[[#This Row],[26M04]:[26M06]])</f>
        <v>0.77868000000000004</v>
      </c>
      <c r="S90" s="79">
        <f>SUM(DE_AT9[[#This Row],[26M07]:[26M09]])</f>
        <v>0.77868000000000004</v>
      </c>
      <c r="T90" s="79">
        <f>SUM(DE_AT9[[#This Row],[26M10]:[26M12]])</f>
        <v>0.77868000000000004</v>
      </c>
      <c r="U90" s="85" t="str">
        <f>VLOOKUP(DE_AT9[[#This Row],[Product Line]],Prod_T6[],4,0)</f>
        <v>PV</v>
      </c>
    </row>
    <row r="91" spans="1:21" ht="14.5" customHeight="1">
      <c r="A91" s="14" t="s">
        <v>32</v>
      </c>
      <c r="B91" s="1" t="s">
        <v>274</v>
      </c>
      <c r="C91" s="3" t="s">
        <v>259</v>
      </c>
      <c r="D91" s="2" t="s">
        <v>118</v>
      </c>
      <c r="E91" s="2" t="s">
        <v>255</v>
      </c>
      <c r="F91" s="2" t="s">
        <v>120</v>
      </c>
      <c r="H91" s="40" t="s">
        <v>117</v>
      </c>
      <c r="I91" s="13"/>
      <c r="J91" s="13"/>
      <c r="K91" s="13"/>
      <c r="L91" s="133"/>
      <c r="M91" s="133">
        <f>8*33*555/1000000</f>
        <v>0.14652000000000001</v>
      </c>
      <c r="N91" s="133"/>
      <c r="O91" s="13"/>
      <c r="P91" s="13"/>
      <c r="Q91" s="13"/>
      <c r="R91" s="32">
        <f>SUM(DE_AT9[[#This Row],[26M04]:[26M06]])</f>
        <v>0</v>
      </c>
      <c r="S91" s="79">
        <f>SUM(DE_AT9[[#This Row],[26M07]:[26M09]])</f>
        <v>0.14652000000000001</v>
      </c>
      <c r="T91" s="79">
        <f>SUM(DE_AT9[[#This Row],[26M10]:[26M12]])</f>
        <v>0</v>
      </c>
      <c r="U91" s="85" t="str">
        <f>VLOOKUP(DE_AT9[[#This Row],[Product Line]],Prod_T6[],4,0)</f>
        <v>PV</v>
      </c>
    </row>
    <row r="92" spans="1:21" ht="14.5">
      <c r="A92" s="14" t="s">
        <v>32</v>
      </c>
      <c r="B92" s="1" t="s">
        <v>274</v>
      </c>
      <c r="C92" s="3" t="s">
        <v>259</v>
      </c>
      <c r="D92" s="2" t="s">
        <v>276</v>
      </c>
      <c r="E92" s="2" t="s">
        <v>277</v>
      </c>
      <c r="F92" s="2" t="s">
        <v>120</v>
      </c>
      <c r="H92" s="40" t="s">
        <v>117</v>
      </c>
      <c r="I92" s="13">
        <f>2*37*490/1000000</f>
        <v>3.6260000000000001E-2</v>
      </c>
      <c r="J92" s="13">
        <f>2*37*490/1000000</f>
        <v>3.6260000000000001E-2</v>
      </c>
      <c r="K92" s="13">
        <f>2*37*490/1000000</f>
        <v>3.6260000000000001E-2</v>
      </c>
      <c r="L92" s="13">
        <f>2*37*490/1000000</f>
        <v>3.6260000000000001E-2</v>
      </c>
      <c r="M92" s="13">
        <f>2*37*490/1000000</f>
        <v>3.6260000000000001E-2</v>
      </c>
      <c r="N92" s="13"/>
      <c r="O92" s="13"/>
      <c r="P92" s="13"/>
      <c r="Q92" s="13"/>
      <c r="R92" s="32">
        <f>SUM(DE_AT9[[#This Row],[26M04]:[26M06]])</f>
        <v>0.10878</v>
      </c>
      <c r="S92" s="79">
        <f>SUM(DE_AT9[[#This Row],[26M07]:[26M09]])</f>
        <v>7.2520000000000001E-2</v>
      </c>
      <c r="T92" s="79">
        <f>SUM(DE_AT9[[#This Row],[26M10]:[26M12]])</f>
        <v>0</v>
      </c>
      <c r="U92" s="85" t="str">
        <f>VLOOKUP(DE_AT9[[#This Row],[Product Line]],Prod_T6[],4,0)</f>
        <v>PV</v>
      </c>
    </row>
    <row r="93" spans="1:21" ht="14.5">
      <c r="A93" s="14" t="s">
        <v>32</v>
      </c>
      <c r="B93" s="1" t="s">
        <v>274</v>
      </c>
      <c r="C93" s="3" t="s">
        <v>259</v>
      </c>
      <c r="D93" s="2" t="s">
        <v>134</v>
      </c>
      <c r="E93" s="2" t="s">
        <v>135</v>
      </c>
      <c r="F93" s="2" t="s">
        <v>120</v>
      </c>
      <c r="H93" s="40" t="s">
        <v>117</v>
      </c>
      <c r="I93" s="13"/>
      <c r="J93" s="13"/>
      <c r="K93" s="13"/>
      <c r="L93" s="13"/>
      <c r="M93" s="13"/>
      <c r="N93" s="13">
        <f>2*36*500/1000000</f>
        <v>3.5999999999999997E-2</v>
      </c>
      <c r="O93" s="13">
        <f>2*36*500/1000000</f>
        <v>3.5999999999999997E-2</v>
      </c>
      <c r="P93" s="13">
        <f>2*36*500/1000000</f>
        <v>3.5999999999999997E-2</v>
      </c>
      <c r="Q93" s="13">
        <f>2*36*500/1000000</f>
        <v>3.5999999999999997E-2</v>
      </c>
      <c r="R93" s="32">
        <f>SUM(DE_AT9[[#This Row],[26M04]:[26M06]])</f>
        <v>0</v>
      </c>
      <c r="S93" s="79">
        <f>SUM(DE_AT9[[#This Row],[26M07]:[26M09]])</f>
        <v>3.5999999999999997E-2</v>
      </c>
      <c r="T93" s="79">
        <f>SUM(DE_AT9[[#This Row],[26M10]:[26M12]])</f>
        <v>0.10799999999999998</v>
      </c>
      <c r="U93" s="85" t="str">
        <f>VLOOKUP(DE_AT9[[#This Row],[Product Line]],Prod_T6[],4,0)</f>
        <v>PV</v>
      </c>
    </row>
    <row r="94" spans="1:21" ht="14.5">
      <c r="A94" s="14" t="s">
        <v>32</v>
      </c>
      <c r="B94" s="1" t="s">
        <v>274</v>
      </c>
      <c r="C94" s="3" t="s">
        <v>259</v>
      </c>
      <c r="D94" s="2" t="s">
        <v>134</v>
      </c>
      <c r="E94" s="2" t="s">
        <v>263</v>
      </c>
      <c r="F94" s="2" t="s">
        <v>120</v>
      </c>
      <c r="H94" s="40" t="s">
        <v>117</v>
      </c>
      <c r="I94" s="13"/>
      <c r="J94" s="13"/>
      <c r="K94" s="13"/>
      <c r="L94" s="13"/>
      <c r="M94" s="13"/>
      <c r="N94" s="13">
        <f>2*36*600/1000000</f>
        <v>4.3200000000000002E-2</v>
      </c>
      <c r="O94" s="13">
        <f>2*36*600/1000000</f>
        <v>4.3200000000000002E-2</v>
      </c>
      <c r="P94" s="13">
        <f>2*36*600/1000000</f>
        <v>4.3200000000000002E-2</v>
      </c>
      <c r="Q94" s="13">
        <f>2*36*600/1000000</f>
        <v>4.3200000000000002E-2</v>
      </c>
      <c r="R94" s="32">
        <f>SUM(DE_AT9[[#This Row],[26M04]:[26M06]])</f>
        <v>0</v>
      </c>
      <c r="S94" s="79">
        <f>SUM(DE_AT9[[#This Row],[26M07]:[26M09]])</f>
        <v>4.3200000000000002E-2</v>
      </c>
      <c r="T94" s="79">
        <f>SUM(DE_AT9[[#This Row],[26M10]:[26M12]])</f>
        <v>0.12959999999999999</v>
      </c>
      <c r="U94" s="85" t="str">
        <f>VLOOKUP(DE_AT9[[#This Row],[Product Line]],Prod_T6[],4,0)</f>
        <v>PV</v>
      </c>
    </row>
    <row r="95" spans="1:21" ht="14.5">
      <c r="A95" s="14" t="s">
        <v>32</v>
      </c>
      <c r="B95" s="1" t="s">
        <v>278</v>
      </c>
      <c r="C95" s="3" t="s">
        <v>259</v>
      </c>
      <c r="D95" s="2" t="s">
        <v>118</v>
      </c>
      <c r="E95" s="2" t="s">
        <v>180</v>
      </c>
      <c r="F95" s="2" t="s">
        <v>120</v>
      </c>
      <c r="H95" s="40" t="s">
        <v>117</v>
      </c>
      <c r="I95" s="13"/>
      <c r="J95" s="13"/>
      <c r="K95" s="13"/>
      <c r="L95" s="13"/>
      <c r="M95" s="13">
        <f>2*36*515/1000000</f>
        <v>3.7080000000000002E-2</v>
      </c>
      <c r="N95" s="13"/>
      <c r="O95" s="13"/>
      <c r="P95" s="13"/>
      <c r="Q95" s="13"/>
      <c r="R95" s="32">
        <f>SUM(DE_AT9[[#This Row],[26M04]:[26M06]])</f>
        <v>0</v>
      </c>
      <c r="S95" s="79">
        <f>SUM(DE_AT9[[#This Row],[26M07]:[26M09]])</f>
        <v>3.7080000000000002E-2</v>
      </c>
      <c r="T95" s="79">
        <f>SUM(DE_AT9[[#This Row],[26M10]:[26M12]])</f>
        <v>0</v>
      </c>
      <c r="U95" s="85" t="str">
        <f>VLOOKUP(DE_AT9[[#This Row],[Product Line]],Prod_T6[],4,0)</f>
        <v>PV</v>
      </c>
    </row>
    <row r="96" spans="1:21" ht="14.5">
      <c r="A96" s="14" t="s">
        <v>32</v>
      </c>
      <c r="B96" s="1" t="s">
        <v>278</v>
      </c>
      <c r="C96" s="3" t="s">
        <v>259</v>
      </c>
      <c r="D96" s="2" t="s">
        <v>197</v>
      </c>
      <c r="E96" s="2" t="s">
        <v>61</v>
      </c>
      <c r="F96" s="2" t="s">
        <v>136</v>
      </c>
      <c r="H96" s="40" t="s">
        <v>117</v>
      </c>
      <c r="I96" s="13"/>
      <c r="J96" s="13"/>
      <c r="K96" s="13">
        <v>1</v>
      </c>
      <c r="L96" s="13"/>
      <c r="M96" s="13"/>
      <c r="N96" s="13">
        <v>1</v>
      </c>
      <c r="O96" s="13"/>
      <c r="P96" s="13">
        <v>1</v>
      </c>
      <c r="Q96" s="13"/>
      <c r="R96" s="32">
        <f>SUM(DE_AT9[[#This Row],[26M04]:[26M06]])</f>
        <v>1</v>
      </c>
      <c r="S96" s="79">
        <f>SUM(DE_AT9[[#This Row],[26M07]:[26M09]])</f>
        <v>1</v>
      </c>
      <c r="T96" s="79">
        <f>SUM(DE_AT9[[#This Row],[26M10]:[26M12]])</f>
        <v>1</v>
      </c>
      <c r="U96" s="85" t="str">
        <f>VLOOKUP(DE_AT9[[#This Row],[Product Line]],Prod_T6[],4,0)</f>
        <v>ESS</v>
      </c>
    </row>
    <row r="97" spans="1:21" ht="14.5">
      <c r="A97" s="14" t="s">
        <v>32</v>
      </c>
      <c r="B97" s="1" t="s">
        <v>279</v>
      </c>
      <c r="C97" s="3" t="s">
        <v>259</v>
      </c>
      <c r="D97" s="2" t="s">
        <v>118</v>
      </c>
      <c r="E97" s="2" t="s">
        <v>255</v>
      </c>
      <c r="F97" s="2" t="s">
        <v>120</v>
      </c>
      <c r="H97" s="40" t="s">
        <v>117</v>
      </c>
      <c r="I97" s="13"/>
      <c r="J97" s="13"/>
      <c r="K97" s="13"/>
      <c r="L97" s="133">
        <f>4*33*555/1000000</f>
        <v>7.3260000000000006E-2</v>
      </c>
      <c r="M97" s="133"/>
      <c r="N97" s="133"/>
      <c r="O97" s="133">
        <f>4*33*555/1000000</f>
        <v>7.3260000000000006E-2</v>
      </c>
      <c r="P97" s="13"/>
      <c r="Q97" s="13"/>
      <c r="R97" s="32">
        <f>SUM(DE_AT9[[#This Row],[26M04]:[26M06]])</f>
        <v>0</v>
      </c>
      <c r="S97" s="79">
        <f>SUM(DE_AT9[[#This Row],[26M07]:[26M09]])</f>
        <v>7.3260000000000006E-2</v>
      </c>
      <c r="T97" s="79">
        <f>SUM(DE_AT9[[#This Row],[26M10]:[26M12]])</f>
        <v>7.3260000000000006E-2</v>
      </c>
      <c r="U97" s="85" t="str">
        <f>VLOOKUP(DE_AT9[[#This Row],[Product Line]],Prod_T6[],4,0)</f>
        <v>PV</v>
      </c>
    </row>
    <row r="98" spans="1:21" ht="14.5">
      <c r="A98" s="14" t="s">
        <v>32</v>
      </c>
      <c r="B98" s="1" t="s">
        <v>280</v>
      </c>
      <c r="C98" s="3" t="s">
        <v>259</v>
      </c>
      <c r="D98" s="2" t="s">
        <v>118</v>
      </c>
      <c r="E98" s="2" t="s">
        <v>281</v>
      </c>
      <c r="F98" s="2" t="s">
        <v>120</v>
      </c>
      <c r="H98" s="40" t="s">
        <v>117</v>
      </c>
      <c r="I98" s="13">
        <f>26*36*450/1000000</f>
        <v>0.42120000000000002</v>
      </c>
      <c r="J98" s="13"/>
      <c r="K98" s="13"/>
      <c r="L98" s="133"/>
      <c r="M98" s="133"/>
      <c r="N98" s="133"/>
      <c r="O98" s="13"/>
      <c r="P98" s="13"/>
      <c r="Q98" s="13"/>
      <c r="R98" s="32">
        <f>SUM(DE_AT9[[#This Row],[26M04]:[26M06]])</f>
        <v>0.42120000000000002</v>
      </c>
      <c r="S98" s="79">
        <f>SUM(DE_AT9[[#This Row],[26M07]:[26M09]])</f>
        <v>0</v>
      </c>
      <c r="T98" s="79">
        <f>SUM(DE_AT9[[#This Row],[26M10]:[26M12]])</f>
        <v>0</v>
      </c>
      <c r="U98" s="85" t="str">
        <f>VLOOKUP(DE_AT9[[#This Row],[Product Line]],Prod_T6[],4,0)</f>
        <v>PV</v>
      </c>
    </row>
    <row r="99" spans="1:21" ht="14.5" customHeight="1">
      <c r="A99" s="14" t="s">
        <v>32</v>
      </c>
      <c r="B99" s="1" t="s">
        <v>280</v>
      </c>
      <c r="C99" s="3" t="s">
        <v>259</v>
      </c>
      <c r="D99" s="2" t="s">
        <v>134</v>
      </c>
      <c r="E99" s="2" t="s">
        <v>135</v>
      </c>
      <c r="F99" s="2" t="s">
        <v>154</v>
      </c>
      <c r="G99" s="62" t="s">
        <v>282</v>
      </c>
      <c r="H99" s="40" t="s">
        <v>117</v>
      </c>
      <c r="I99" s="13"/>
      <c r="J99" s="13"/>
      <c r="K99" s="13"/>
      <c r="L99" s="13">
        <f>12*36*500/1000000</f>
        <v>0.216</v>
      </c>
      <c r="M99" s="13"/>
      <c r="N99" s="13"/>
      <c r="O99" s="13">
        <f>12*36*500/1000000</f>
        <v>0.216</v>
      </c>
      <c r="P99" s="13"/>
      <c r="Q99" s="13"/>
      <c r="R99" s="32">
        <f>SUM(DE_AT9[[#This Row],[26M04]:[26M06]])</f>
        <v>0</v>
      </c>
      <c r="S99" s="79">
        <f>SUM(DE_AT9[[#This Row],[26M07]:[26M09]])</f>
        <v>0.216</v>
      </c>
      <c r="T99" s="79">
        <f>SUM(DE_AT9[[#This Row],[26M10]:[26M12]])</f>
        <v>0.216</v>
      </c>
      <c r="U99" s="85" t="str">
        <f>VLOOKUP(DE_AT9[[#This Row],[Product Line]],Prod_T6[],4,0)</f>
        <v>PV</v>
      </c>
    </row>
    <row r="100" spans="1:21" ht="14.5">
      <c r="A100" s="14" t="s">
        <v>32</v>
      </c>
      <c r="B100" s="1" t="s">
        <v>270</v>
      </c>
      <c r="C100" s="3" t="s">
        <v>259</v>
      </c>
      <c r="D100" s="2" t="s">
        <v>118</v>
      </c>
      <c r="E100" s="2" t="s">
        <v>119</v>
      </c>
      <c r="F100" s="2" t="s">
        <v>120</v>
      </c>
      <c r="H100" s="40" t="s">
        <v>117</v>
      </c>
      <c r="I100" s="13"/>
      <c r="J100" s="13"/>
      <c r="K100" s="13">
        <f>10*36*460/1000000</f>
        <v>0.1656</v>
      </c>
      <c r="L100" s="133"/>
      <c r="M100" s="133">
        <f>10*36*460/1000000</f>
        <v>0.1656</v>
      </c>
      <c r="N100" s="133"/>
      <c r="O100" s="13"/>
      <c r="P100" s="13">
        <f>10*36*460/1000000</f>
        <v>0.1656</v>
      </c>
      <c r="Q100" s="13"/>
      <c r="R100" s="32">
        <f>SUM(DE_AT9[[#This Row],[26M04]:[26M06]])</f>
        <v>0.1656</v>
      </c>
      <c r="S100" s="79">
        <f>SUM(DE_AT9[[#This Row],[26M07]:[26M09]])</f>
        <v>0.1656</v>
      </c>
      <c r="T100" s="79">
        <f>SUM(DE_AT9[[#This Row],[26M10]:[26M12]])</f>
        <v>0.1656</v>
      </c>
      <c r="U100" s="85" t="str">
        <f>VLOOKUP(DE_AT9[[#This Row],[Product Line]],Prod_T6[],4,0)</f>
        <v>PV</v>
      </c>
    </row>
    <row r="101" spans="1:21" ht="14.5">
      <c r="A101" s="14" t="s">
        <v>32</v>
      </c>
      <c r="B101" s="1" t="s">
        <v>270</v>
      </c>
      <c r="C101" s="3" t="s">
        <v>259</v>
      </c>
      <c r="D101" s="2" t="s">
        <v>118</v>
      </c>
      <c r="E101" s="2" t="s">
        <v>180</v>
      </c>
      <c r="F101" s="2" t="s">
        <v>120</v>
      </c>
      <c r="H101" s="40" t="s">
        <v>117</v>
      </c>
      <c r="I101" s="13"/>
      <c r="J101" s="13"/>
      <c r="K101" s="13">
        <f>6*36*515/1000000</f>
        <v>0.11124000000000001</v>
      </c>
      <c r="L101" s="133"/>
      <c r="M101" s="133">
        <f>6*36*515/1000000</f>
        <v>0.11124000000000001</v>
      </c>
      <c r="N101" s="133"/>
      <c r="O101" s="13"/>
      <c r="P101" s="13">
        <f>6*36*515/1000000</f>
        <v>0.11124000000000001</v>
      </c>
      <c r="Q101" s="13"/>
      <c r="R101" s="32">
        <f>SUM(DE_AT9[[#This Row],[26M04]:[26M06]])</f>
        <v>0.11124000000000001</v>
      </c>
      <c r="S101" s="79">
        <f>SUM(DE_AT9[[#This Row],[26M07]:[26M09]])</f>
        <v>0.11124000000000001</v>
      </c>
      <c r="T101" s="79">
        <f>SUM(DE_AT9[[#This Row],[26M10]:[26M12]])</f>
        <v>0.11124000000000001</v>
      </c>
      <c r="U101" s="85" t="str">
        <f>VLOOKUP(DE_AT9[[#This Row],[Product Line]],Prod_T6[],4,0)</f>
        <v>PV</v>
      </c>
    </row>
    <row r="102" spans="1:21" ht="14.5">
      <c r="A102" s="14" t="s">
        <v>32</v>
      </c>
      <c r="B102" s="1" t="s">
        <v>270</v>
      </c>
      <c r="C102" s="3" t="s">
        <v>259</v>
      </c>
      <c r="D102" s="2" t="s">
        <v>118</v>
      </c>
      <c r="E102" s="2" t="s">
        <v>255</v>
      </c>
      <c r="F102" s="2" t="s">
        <v>120</v>
      </c>
      <c r="H102" s="40" t="s">
        <v>117</v>
      </c>
      <c r="I102" s="13"/>
      <c r="J102" s="13"/>
      <c r="K102" s="13">
        <f>6*33*555/1000000</f>
        <v>0.10989</v>
      </c>
      <c r="L102" s="133"/>
      <c r="M102" s="133">
        <f>6*33*555/1000000</f>
        <v>0.10989</v>
      </c>
      <c r="N102" s="133"/>
      <c r="O102" s="13"/>
      <c r="P102" s="13">
        <f>6*33*555/1000000</f>
        <v>0.10989</v>
      </c>
      <c r="Q102" s="13"/>
      <c r="R102" s="32">
        <f>SUM(DE_AT9[[#This Row],[26M04]:[26M06]])</f>
        <v>0.10989</v>
      </c>
      <c r="S102" s="79">
        <f>SUM(DE_AT9[[#This Row],[26M07]:[26M09]])</f>
        <v>0.10989</v>
      </c>
      <c r="T102" s="79">
        <f>SUM(DE_AT9[[#This Row],[26M10]:[26M12]])</f>
        <v>0.10989</v>
      </c>
      <c r="U102" s="85" t="str">
        <f>VLOOKUP(DE_AT9[[#This Row],[Product Line]],Prod_T6[],4,0)</f>
        <v>PV</v>
      </c>
    </row>
    <row r="103" spans="1:21" ht="14.5">
      <c r="A103" s="14" t="s">
        <v>32</v>
      </c>
      <c r="B103" s="1" t="s">
        <v>270</v>
      </c>
      <c r="C103" s="3" t="s">
        <v>259</v>
      </c>
      <c r="D103" s="2" t="s">
        <v>134</v>
      </c>
      <c r="E103" s="2" t="s">
        <v>135</v>
      </c>
      <c r="F103" s="2" t="s">
        <v>120</v>
      </c>
      <c r="G103" s="62" t="s">
        <v>271</v>
      </c>
      <c r="H103" s="40" t="s">
        <v>117</v>
      </c>
      <c r="I103" s="13"/>
      <c r="J103" s="13"/>
      <c r="K103" s="13"/>
      <c r="L103" s="13"/>
      <c r="M103" s="13"/>
      <c r="N103" s="13"/>
      <c r="O103" s="13">
        <f>8*36*500/1000000</f>
        <v>0.14399999999999999</v>
      </c>
      <c r="P103" s="13">
        <f>8*36*500/1000000</f>
        <v>0.14399999999999999</v>
      </c>
      <c r="Q103" s="13"/>
      <c r="R103" s="32">
        <f>SUM(DE_AT9[[#This Row],[26M04]:[26M06]])</f>
        <v>0</v>
      </c>
      <c r="S103" s="79">
        <f>SUM(DE_AT9[[#This Row],[26M07]:[26M09]])</f>
        <v>0</v>
      </c>
      <c r="T103" s="79">
        <f>SUM(DE_AT9[[#This Row],[26M10]:[26M12]])</f>
        <v>0.28799999999999998</v>
      </c>
      <c r="U103" s="85" t="str">
        <f>VLOOKUP(DE_AT9[[#This Row],[Product Line]],Prod_T6[],4,0)</f>
        <v>PV</v>
      </c>
    </row>
    <row r="104" spans="1:21" ht="13" customHeight="1">
      <c r="A104" s="14" t="s">
        <v>32</v>
      </c>
      <c r="B104" s="1" t="s">
        <v>258</v>
      </c>
      <c r="C104" s="3" t="s">
        <v>259</v>
      </c>
      <c r="D104" s="2" t="s">
        <v>118</v>
      </c>
      <c r="E104" s="2" t="s">
        <v>255</v>
      </c>
      <c r="F104" s="2" t="s">
        <v>120</v>
      </c>
      <c r="G104" s="62" t="s">
        <v>260</v>
      </c>
      <c r="H104" s="40" t="s">
        <v>117</v>
      </c>
      <c r="I104" s="13">
        <v>5.0000000000000001E-3</v>
      </c>
      <c r="J104" s="13"/>
      <c r="K104" s="13"/>
      <c r="L104" s="133"/>
      <c r="M104" s="133"/>
      <c r="N104" s="133"/>
      <c r="O104" s="13"/>
      <c r="P104" s="13"/>
      <c r="Q104" s="13">
        <f>2*22*560/1000000</f>
        <v>2.4639999999999999E-2</v>
      </c>
      <c r="R104" s="32">
        <f>SUM(DE_AT9[[#This Row],[26M04]:[26M06]])</f>
        <v>5.0000000000000001E-3</v>
      </c>
      <c r="S104" s="79">
        <f>SUM(DE_AT9[[#This Row],[26M07]:[26M09]])</f>
        <v>0</v>
      </c>
      <c r="T104" s="79">
        <f>SUM(DE_AT9[[#This Row],[26M10]:[26M12]])</f>
        <v>2.4639999999999999E-2</v>
      </c>
      <c r="U104" s="85" t="str">
        <f>VLOOKUP(DE_AT9[[#This Row],[Product Line]],Prod_T6[],4,0)</f>
        <v>PV</v>
      </c>
    </row>
    <row r="105" spans="1:21" ht="14.5">
      <c r="A105" s="14" t="s">
        <v>32</v>
      </c>
      <c r="B105" s="1" t="s">
        <v>261</v>
      </c>
      <c r="C105" s="3" t="s">
        <v>259</v>
      </c>
      <c r="D105" s="2" t="s">
        <v>118</v>
      </c>
      <c r="E105" s="2" t="s">
        <v>119</v>
      </c>
      <c r="F105" s="2" t="s">
        <v>120</v>
      </c>
      <c r="H105" s="40" t="s">
        <v>117</v>
      </c>
      <c r="I105" s="13">
        <f>14*36*460/1000000</f>
        <v>0.23183999999999999</v>
      </c>
      <c r="J105" s="13">
        <f>14*36*460/1000000</f>
        <v>0.23183999999999999</v>
      </c>
      <c r="K105" s="13">
        <f>14*36*460/1000000</f>
        <v>0.23183999999999999</v>
      </c>
      <c r="L105" s="133">
        <f t="shared" ref="L105:Q105" si="1">12*36*460/1000000</f>
        <v>0.19872000000000001</v>
      </c>
      <c r="M105" s="133">
        <f t="shared" si="1"/>
        <v>0.19872000000000001</v>
      </c>
      <c r="N105" s="133">
        <f t="shared" si="1"/>
        <v>0.19872000000000001</v>
      </c>
      <c r="O105" s="13">
        <f t="shared" si="1"/>
        <v>0.19872000000000001</v>
      </c>
      <c r="P105" s="13">
        <f t="shared" si="1"/>
        <v>0.19872000000000001</v>
      </c>
      <c r="Q105" s="13">
        <f t="shared" si="1"/>
        <v>0.19872000000000001</v>
      </c>
      <c r="R105" s="32">
        <f>SUM(DE_AT9[[#This Row],[26M04]:[26M06]])</f>
        <v>0.69551999999999992</v>
      </c>
      <c r="S105" s="79">
        <f>SUM(DE_AT9[[#This Row],[26M07]:[26M09]])</f>
        <v>0.59616000000000002</v>
      </c>
      <c r="T105" s="79">
        <f>SUM(DE_AT9[[#This Row],[26M10]:[26M12]])</f>
        <v>0.59616000000000002</v>
      </c>
      <c r="U105" s="85" t="str">
        <f>VLOOKUP(DE_AT9[[#This Row],[Product Line]],Prod_T6[],4,0)</f>
        <v>PV</v>
      </c>
    </row>
    <row r="106" spans="1:21" ht="14.5">
      <c r="A106" s="14" t="s">
        <v>32</v>
      </c>
      <c r="B106" s="1" t="s">
        <v>261</v>
      </c>
      <c r="C106" s="3" t="s">
        <v>259</v>
      </c>
      <c r="D106" s="2" t="s">
        <v>118</v>
      </c>
      <c r="E106" s="2" t="s">
        <v>180</v>
      </c>
      <c r="F106" s="2" t="s">
        <v>120</v>
      </c>
      <c r="H106" s="40" t="s">
        <v>117</v>
      </c>
      <c r="I106" s="13"/>
      <c r="J106" s="13"/>
      <c r="K106" s="13">
        <f>2*36*515/1000000</f>
        <v>3.7080000000000002E-2</v>
      </c>
      <c r="L106" s="133"/>
      <c r="M106" s="133"/>
      <c r="N106" s="133"/>
      <c r="O106" s="13">
        <f>2*36*515/1000000</f>
        <v>3.7080000000000002E-2</v>
      </c>
      <c r="P106" s="13"/>
      <c r="Q106" s="13"/>
      <c r="R106" s="32">
        <f>SUM(DE_AT9[[#This Row],[26M04]:[26M06]])</f>
        <v>3.7080000000000002E-2</v>
      </c>
      <c r="S106" s="79">
        <f>SUM(DE_AT9[[#This Row],[26M07]:[26M09]])</f>
        <v>0</v>
      </c>
      <c r="T106" s="79">
        <f>SUM(DE_AT9[[#This Row],[26M10]:[26M12]])</f>
        <v>3.7080000000000002E-2</v>
      </c>
      <c r="U106" s="85" t="str">
        <f>VLOOKUP(DE_AT9[[#This Row],[Product Line]],Prod_T6[],4,0)</f>
        <v>PV</v>
      </c>
    </row>
    <row r="107" spans="1:21" ht="14.5">
      <c r="A107" s="14" t="s">
        <v>32</v>
      </c>
      <c r="B107" s="1" t="s">
        <v>261</v>
      </c>
      <c r="C107" s="3" t="s">
        <v>259</v>
      </c>
      <c r="D107" s="2" t="s">
        <v>118</v>
      </c>
      <c r="E107" s="2" t="s">
        <v>255</v>
      </c>
      <c r="F107" s="2" t="s">
        <v>120</v>
      </c>
      <c r="H107" s="40" t="s">
        <v>117</v>
      </c>
      <c r="I107" s="13"/>
      <c r="J107" s="13">
        <v>0.2</v>
      </c>
      <c r="K107" s="13"/>
      <c r="L107" s="133"/>
      <c r="M107" s="133">
        <f>6*33*555/1000000</f>
        <v>0.10989</v>
      </c>
      <c r="N107" s="133"/>
      <c r="O107" s="13"/>
      <c r="P107" s="13"/>
      <c r="Q107" s="13"/>
      <c r="R107" s="32">
        <f>SUM(DE_AT9[[#This Row],[26M04]:[26M06]])</f>
        <v>0.2</v>
      </c>
      <c r="S107" s="79">
        <f>SUM(DE_AT9[[#This Row],[26M07]:[26M09]])</f>
        <v>0.10989</v>
      </c>
      <c r="T107" s="79">
        <f>SUM(DE_AT9[[#This Row],[26M10]:[26M12]])</f>
        <v>0</v>
      </c>
      <c r="U107" s="85" t="str">
        <f>VLOOKUP(DE_AT9[[#This Row],[Product Line]],Prod_T6[],4,0)</f>
        <v>PV</v>
      </c>
    </row>
    <row r="108" spans="1:21" ht="14.5">
      <c r="A108" s="14" t="s">
        <v>32</v>
      </c>
      <c r="B108" s="1" t="s">
        <v>261</v>
      </c>
      <c r="C108" s="3" t="s">
        <v>259</v>
      </c>
      <c r="D108" s="2" t="s">
        <v>134</v>
      </c>
      <c r="E108" s="2" t="s">
        <v>135</v>
      </c>
      <c r="F108" s="2" t="s">
        <v>120</v>
      </c>
      <c r="G108" s="62" t="s">
        <v>262</v>
      </c>
      <c r="H108" s="40" t="s">
        <v>117</v>
      </c>
      <c r="I108" s="13"/>
      <c r="J108" s="13"/>
      <c r="K108" s="13"/>
      <c r="L108" s="13">
        <f t="shared" ref="L108:Q108" si="2">2*36*495/1000000</f>
        <v>3.5639999999999998E-2</v>
      </c>
      <c r="M108" s="13">
        <f t="shared" si="2"/>
        <v>3.5639999999999998E-2</v>
      </c>
      <c r="N108" s="13">
        <f t="shared" si="2"/>
        <v>3.5639999999999998E-2</v>
      </c>
      <c r="O108" s="13">
        <f t="shared" si="2"/>
        <v>3.5639999999999998E-2</v>
      </c>
      <c r="P108" s="13">
        <f t="shared" si="2"/>
        <v>3.5639999999999998E-2</v>
      </c>
      <c r="Q108" s="13">
        <f t="shared" si="2"/>
        <v>3.5639999999999998E-2</v>
      </c>
      <c r="R108" s="32">
        <f>SUM(DE_AT9[[#This Row],[26M04]:[26M06]])</f>
        <v>0</v>
      </c>
      <c r="S108" s="79">
        <f>SUM(DE_AT9[[#This Row],[26M07]:[26M09]])</f>
        <v>0.10691999999999999</v>
      </c>
      <c r="T108" s="79">
        <f>SUM(DE_AT9[[#This Row],[26M10]:[26M12]])</f>
        <v>0.10691999999999999</v>
      </c>
      <c r="U108" s="85" t="str">
        <f>VLOOKUP(DE_AT9[[#This Row],[Product Line]],Prod_T6[],4,0)</f>
        <v>PV</v>
      </c>
    </row>
    <row r="109" spans="1:21" ht="14.5">
      <c r="A109" s="14" t="s">
        <v>32</v>
      </c>
      <c r="B109" s="1" t="s">
        <v>261</v>
      </c>
      <c r="C109" s="3" t="s">
        <v>259</v>
      </c>
      <c r="D109" s="2" t="s">
        <v>134</v>
      </c>
      <c r="E109" s="2" t="s">
        <v>263</v>
      </c>
      <c r="F109" s="2" t="s">
        <v>120</v>
      </c>
      <c r="G109" s="62" t="s">
        <v>264</v>
      </c>
      <c r="H109" s="40" t="s">
        <v>117</v>
      </c>
      <c r="I109" s="13"/>
      <c r="J109" s="13"/>
      <c r="K109" s="13"/>
      <c r="L109" s="13"/>
      <c r="M109" s="13">
        <f>4*36*600/1000000</f>
        <v>8.6400000000000005E-2</v>
      </c>
      <c r="N109" s="13"/>
      <c r="O109" s="13"/>
      <c r="P109" s="13"/>
      <c r="Q109" s="13"/>
      <c r="R109" s="32">
        <f>SUM(DE_AT9[[#This Row],[26M04]:[26M06]])</f>
        <v>0</v>
      </c>
      <c r="S109" s="79">
        <f>SUM(DE_AT9[[#This Row],[26M07]:[26M09]])</f>
        <v>8.6400000000000005E-2</v>
      </c>
      <c r="T109" s="79">
        <f>SUM(DE_AT9[[#This Row],[26M10]:[26M12]])</f>
        <v>0</v>
      </c>
      <c r="U109" s="85" t="str">
        <f>VLOOKUP(DE_AT9[[#This Row],[Product Line]],Prod_T6[],4,0)</f>
        <v>PV</v>
      </c>
    </row>
    <row r="110" spans="1:21" ht="14.5" customHeight="1">
      <c r="A110" s="14" t="s">
        <v>32</v>
      </c>
      <c r="B110" s="1" t="s">
        <v>265</v>
      </c>
      <c r="C110" s="3" t="s">
        <v>259</v>
      </c>
      <c r="D110" s="2" t="s">
        <v>118</v>
      </c>
      <c r="E110" s="2" t="s">
        <v>119</v>
      </c>
      <c r="F110" s="2" t="s">
        <v>120</v>
      </c>
      <c r="H110" s="40" t="s">
        <v>117</v>
      </c>
      <c r="I110" s="13">
        <f>8*36*460/1000000</f>
        <v>0.13247999999999999</v>
      </c>
      <c r="J110" s="13"/>
      <c r="K110" s="13"/>
      <c r="L110" s="133">
        <f>8*36*460/1000000</f>
        <v>0.13247999999999999</v>
      </c>
      <c r="M110" s="133"/>
      <c r="N110" s="133"/>
      <c r="O110" s="13">
        <f>8*36*460/1000000</f>
        <v>0.13247999999999999</v>
      </c>
      <c r="P110" s="13"/>
      <c r="Q110" s="13"/>
      <c r="R110" s="32">
        <f>SUM(DE_AT9[[#This Row],[26M04]:[26M06]])</f>
        <v>0.13247999999999999</v>
      </c>
      <c r="S110" s="79">
        <f>SUM(DE_AT9[[#This Row],[26M07]:[26M09]])</f>
        <v>0.13247999999999999</v>
      </c>
      <c r="T110" s="79">
        <f>SUM(DE_AT9[[#This Row],[26M10]:[26M12]])</f>
        <v>0.13247999999999999</v>
      </c>
      <c r="U110" s="85" t="str">
        <f>VLOOKUP(DE_AT9[[#This Row],[Product Line]],Prod_T6[],4,0)</f>
        <v>PV</v>
      </c>
    </row>
    <row r="111" spans="1:21" ht="14.5">
      <c r="A111" s="14" t="s">
        <v>32</v>
      </c>
      <c r="B111" s="1" t="s">
        <v>265</v>
      </c>
      <c r="C111" s="3" t="s">
        <v>259</v>
      </c>
      <c r="D111" s="2" t="s">
        <v>118</v>
      </c>
      <c r="E111" s="2" t="s">
        <v>180</v>
      </c>
      <c r="F111" s="2" t="s">
        <v>120</v>
      </c>
      <c r="H111" s="40" t="s">
        <v>117</v>
      </c>
      <c r="I111" s="13">
        <f>8*36*515/1000000</f>
        <v>0.14832000000000001</v>
      </c>
      <c r="J111" s="13"/>
      <c r="K111" s="13"/>
      <c r="L111" s="13">
        <f>8*36*515/1000000</f>
        <v>0.14832000000000001</v>
      </c>
      <c r="M111" s="133"/>
      <c r="N111" s="133"/>
      <c r="O111" s="13">
        <f>8*36*515/1000000</f>
        <v>0.14832000000000001</v>
      </c>
      <c r="P111" s="13"/>
      <c r="Q111" s="13"/>
      <c r="R111" s="32">
        <f>SUM(DE_AT9[[#This Row],[26M04]:[26M06]])</f>
        <v>0.14832000000000001</v>
      </c>
      <c r="S111" s="79">
        <f>SUM(DE_AT9[[#This Row],[26M07]:[26M09]])</f>
        <v>0.14832000000000001</v>
      </c>
      <c r="T111" s="79">
        <f>SUM(DE_AT9[[#This Row],[26M10]:[26M12]])</f>
        <v>0.14832000000000001</v>
      </c>
      <c r="U111" s="85" t="str">
        <f>VLOOKUP(DE_AT9[[#This Row],[Product Line]],Prod_T6[],4,0)</f>
        <v>PV</v>
      </c>
    </row>
    <row r="112" spans="1:21" ht="14.5">
      <c r="A112" s="14" t="s">
        <v>32</v>
      </c>
      <c r="B112" s="1" t="s">
        <v>265</v>
      </c>
      <c r="C112" s="3" t="s">
        <v>259</v>
      </c>
      <c r="D112" s="2" t="s">
        <v>118</v>
      </c>
      <c r="E112" s="2" t="s">
        <v>255</v>
      </c>
      <c r="F112" s="2" t="s">
        <v>120</v>
      </c>
      <c r="H112" s="40" t="s">
        <v>117</v>
      </c>
      <c r="I112" s="13"/>
      <c r="J112" s="13"/>
      <c r="K112" s="13"/>
      <c r="L112" s="133">
        <f>6*33*555/1000000</f>
        <v>0.10989</v>
      </c>
      <c r="M112" s="133"/>
      <c r="N112" s="133"/>
      <c r="O112" s="133">
        <f>6*33*555/1000000</f>
        <v>0.10989</v>
      </c>
      <c r="P112" s="13"/>
      <c r="Q112" s="13"/>
      <c r="R112" s="32">
        <f>SUM(DE_AT9[[#This Row],[26M04]:[26M06]])</f>
        <v>0</v>
      </c>
      <c r="S112" s="79">
        <f>SUM(DE_AT9[[#This Row],[26M07]:[26M09]])</f>
        <v>0.10989</v>
      </c>
      <c r="T112" s="79">
        <f>SUM(DE_AT9[[#This Row],[26M10]:[26M12]])</f>
        <v>0.10989</v>
      </c>
      <c r="U112" s="85" t="str">
        <f>VLOOKUP(DE_AT9[[#This Row],[Product Line]],Prod_T6[],4,0)</f>
        <v>PV</v>
      </c>
    </row>
    <row r="113" spans="1:21" ht="14.5">
      <c r="A113" s="14" t="s">
        <v>32</v>
      </c>
      <c r="B113" s="1" t="s">
        <v>265</v>
      </c>
      <c r="C113" s="3" t="s">
        <v>259</v>
      </c>
      <c r="D113" s="2" t="s">
        <v>134</v>
      </c>
      <c r="E113" s="2" t="s">
        <v>135</v>
      </c>
      <c r="F113" s="2" t="s">
        <v>120</v>
      </c>
      <c r="H113" s="40" t="s">
        <v>117</v>
      </c>
      <c r="I113" s="13"/>
      <c r="J113" s="13"/>
      <c r="K113" s="13"/>
      <c r="L113" s="13">
        <f>2*36*500/1000000</f>
        <v>3.5999999999999997E-2</v>
      </c>
      <c r="M113" s="13"/>
      <c r="N113" s="13"/>
      <c r="O113" s="13">
        <f>2*36*500/1000000</f>
        <v>3.5999999999999997E-2</v>
      </c>
      <c r="P113" s="13"/>
      <c r="Q113" s="13"/>
      <c r="R113" s="32">
        <f>SUM(DE_AT9[[#This Row],[26M04]:[26M06]])</f>
        <v>0</v>
      </c>
      <c r="S113" s="79">
        <f>SUM(DE_AT9[[#This Row],[26M07]:[26M09]])</f>
        <v>3.5999999999999997E-2</v>
      </c>
      <c r="T113" s="79">
        <f>SUM(DE_AT9[[#This Row],[26M10]:[26M12]])</f>
        <v>3.5999999999999997E-2</v>
      </c>
      <c r="U113" s="85" t="str">
        <f>VLOOKUP(DE_AT9[[#This Row],[Product Line]],Prod_T6[],4,0)</f>
        <v>PV</v>
      </c>
    </row>
    <row r="114" spans="1:21" ht="14.5">
      <c r="A114" s="14" t="s">
        <v>32</v>
      </c>
      <c r="B114" s="1" t="s">
        <v>266</v>
      </c>
      <c r="C114" s="3" t="s">
        <v>259</v>
      </c>
      <c r="D114" s="2" t="s">
        <v>118</v>
      </c>
      <c r="E114" s="2" t="s">
        <v>255</v>
      </c>
      <c r="F114" s="2" t="s">
        <v>120</v>
      </c>
      <c r="H114" s="40" t="s">
        <v>117</v>
      </c>
      <c r="I114" s="13"/>
      <c r="J114" s="13"/>
      <c r="K114" s="13"/>
      <c r="L114" s="133">
        <v>0.1</v>
      </c>
      <c r="M114" s="133"/>
      <c r="N114" s="133"/>
      <c r="O114" s="13"/>
      <c r="P114" s="13">
        <v>0.1</v>
      </c>
      <c r="Q114" s="13"/>
      <c r="R114" s="32">
        <f>SUM(DE_AT9[[#This Row],[26M04]:[26M06]])</f>
        <v>0</v>
      </c>
      <c r="S114" s="79">
        <f>SUM(DE_AT9[[#This Row],[26M07]:[26M09]])</f>
        <v>0.1</v>
      </c>
      <c r="T114" s="79">
        <f>SUM(DE_AT9[[#This Row],[26M10]:[26M12]])</f>
        <v>0.1</v>
      </c>
      <c r="U114" s="85" t="str">
        <f>VLOOKUP(DE_AT9[[#This Row],[Product Line]],Prod_T6[],4,0)</f>
        <v>PV</v>
      </c>
    </row>
    <row r="115" spans="1:21" ht="14.5">
      <c r="A115" s="14" t="s">
        <v>32</v>
      </c>
      <c r="B115" s="1" t="s">
        <v>267</v>
      </c>
      <c r="C115" s="3" t="s">
        <v>268</v>
      </c>
      <c r="D115" s="2" t="s">
        <v>197</v>
      </c>
      <c r="E115" s="2" t="s">
        <v>234</v>
      </c>
      <c r="F115" s="2" t="s">
        <v>120</v>
      </c>
      <c r="H115" s="40" t="s">
        <v>117</v>
      </c>
      <c r="I115" s="13"/>
      <c r="J115" s="13">
        <v>2</v>
      </c>
      <c r="K115" s="13">
        <v>3</v>
      </c>
      <c r="L115" s="13">
        <v>3</v>
      </c>
      <c r="M115" s="13">
        <v>3</v>
      </c>
      <c r="N115" s="13">
        <v>3</v>
      </c>
      <c r="O115" s="13">
        <v>4</v>
      </c>
      <c r="P115" s="13">
        <v>4</v>
      </c>
      <c r="Q115" s="13">
        <v>2</v>
      </c>
      <c r="R115" s="32">
        <f>SUM(DE_AT9[[#This Row],[26M04]:[26M06]])</f>
        <v>5</v>
      </c>
      <c r="S115" s="79">
        <f>SUM(DE_AT9[[#This Row],[26M07]:[26M09]])</f>
        <v>9</v>
      </c>
      <c r="T115" s="79">
        <f>SUM(DE_AT9[[#This Row],[26M10]:[26M12]])</f>
        <v>10</v>
      </c>
      <c r="U115" s="85" t="str">
        <f>VLOOKUP(DE_AT9[[#This Row],[Product Line]],Prod_T6[],4,0)</f>
        <v>ESS</v>
      </c>
    </row>
    <row r="116" spans="1:21" ht="14.5">
      <c r="A116" s="14" t="s">
        <v>32</v>
      </c>
      <c r="B116" s="1" t="s">
        <v>267</v>
      </c>
      <c r="C116" s="3" t="s">
        <v>268</v>
      </c>
      <c r="D116" s="2" t="s">
        <v>197</v>
      </c>
      <c r="E116" s="2" t="s">
        <v>63</v>
      </c>
      <c r="F116" s="2" t="s">
        <v>120</v>
      </c>
      <c r="H116" s="40" t="s">
        <v>117</v>
      </c>
      <c r="I116" s="13"/>
      <c r="J116" s="13">
        <v>2</v>
      </c>
      <c r="K116" s="13">
        <v>2</v>
      </c>
      <c r="L116" s="13">
        <v>2</v>
      </c>
      <c r="M116" s="13">
        <v>2</v>
      </c>
      <c r="N116" s="13">
        <v>1</v>
      </c>
      <c r="O116" s="13">
        <v>2</v>
      </c>
      <c r="P116" s="13">
        <v>2</v>
      </c>
      <c r="Q116" s="13">
        <v>1</v>
      </c>
      <c r="R116" s="32">
        <f>SUM(DE_AT9[[#This Row],[26M04]:[26M06]])</f>
        <v>4</v>
      </c>
      <c r="S116" s="79">
        <f>SUM(DE_AT9[[#This Row],[26M07]:[26M09]])</f>
        <v>5</v>
      </c>
      <c r="T116" s="79">
        <f>SUM(DE_AT9[[#This Row],[26M10]:[26M12]])</f>
        <v>5</v>
      </c>
      <c r="U116" s="85" t="str">
        <f>VLOOKUP(DE_AT9[[#This Row],[Product Line]],Prod_T6[],4,0)</f>
        <v>ESS</v>
      </c>
    </row>
    <row r="117" spans="1:21" ht="14.5">
      <c r="A117" s="14" t="s">
        <v>32</v>
      </c>
      <c r="B117" s="1" t="s">
        <v>267</v>
      </c>
      <c r="C117" s="3" t="s">
        <v>268</v>
      </c>
      <c r="D117" s="2" t="s">
        <v>118</v>
      </c>
      <c r="E117" s="2" t="s">
        <v>119</v>
      </c>
      <c r="F117" s="2" t="s">
        <v>120</v>
      </c>
      <c r="H117" s="40" t="s">
        <v>117</v>
      </c>
      <c r="I117" s="13"/>
      <c r="J117" s="13">
        <f>33/1000</f>
        <v>3.3000000000000002E-2</v>
      </c>
      <c r="K117" s="13"/>
      <c r="L117" s="13">
        <f>66/1000</f>
        <v>6.6000000000000003E-2</v>
      </c>
      <c r="M117" s="13"/>
      <c r="N117" s="13">
        <f>66/1000</f>
        <v>6.6000000000000003E-2</v>
      </c>
      <c r="O117" s="13"/>
      <c r="P117" s="13">
        <f>66/1000</f>
        <v>6.6000000000000003E-2</v>
      </c>
      <c r="Q117" s="13"/>
      <c r="R117" s="32">
        <f>SUM(DE_AT9[[#This Row],[26M04]:[26M06]])</f>
        <v>3.3000000000000002E-2</v>
      </c>
      <c r="S117" s="79">
        <f>SUM(DE_AT9[[#This Row],[26M07]:[26M09]])</f>
        <v>0.13200000000000001</v>
      </c>
      <c r="T117" s="79">
        <f>SUM(DE_AT9[[#This Row],[26M10]:[26M12]])</f>
        <v>6.6000000000000003E-2</v>
      </c>
      <c r="U117" s="85" t="str">
        <f>VLOOKUP(DE_AT9[[#This Row],[Product Line]],Prod_T6[],4,0)</f>
        <v>PV</v>
      </c>
    </row>
    <row r="118" spans="1:21" ht="14.5">
      <c r="A118" s="14" t="s">
        <v>32</v>
      </c>
      <c r="B118" s="1" t="s">
        <v>269</v>
      </c>
      <c r="C118" s="3" t="s">
        <v>268</v>
      </c>
      <c r="D118" s="2" t="s">
        <v>118</v>
      </c>
      <c r="E118" s="2" t="s">
        <v>145</v>
      </c>
      <c r="F118" s="2" t="s">
        <v>120</v>
      </c>
      <c r="H118" s="40" t="s">
        <v>117</v>
      </c>
      <c r="I118" s="13">
        <f>60/1000</f>
        <v>0.06</v>
      </c>
      <c r="J118" s="13"/>
      <c r="K118" s="13"/>
      <c r="L118" s="13"/>
      <c r="M118" s="13"/>
      <c r="N118" s="13"/>
      <c r="O118" s="13"/>
      <c r="P118" s="13"/>
      <c r="Q118" s="13"/>
      <c r="R118" s="32">
        <f>SUM(DE_AT9[[#This Row],[26M04]:[26M06]])</f>
        <v>0.06</v>
      </c>
      <c r="S118" s="79">
        <f>SUM(DE_AT9[[#This Row],[26M07]:[26M09]])</f>
        <v>0</v>
      </c>
      <c r="T118" s="79">
        <f>SUM(DE_AT9[[#This Row],[26M10]:[26M12]])</f>
        <v>0</v>
      </c>
      <c r="U118" s="85" t="str">
        <f>VLOOKUP(DE_AT9[[#This Row],[Product Line]],Prod_T6[],4,0)</f>
        <v>PV</v>
      </c>
    </row>
    <row r="119" spans="1:21" ht="14.5">
      <c r="A119" s="14" t="s">
        <v>32</v>
      </c>
      <c r="B119" s="1" t="s">
        <v>269</v>
      </c>
      <c r="C119" s="3" t="s">
        <v>268</v>
      </c>
      <c r="D119" s="2" t="s">
        <v>118</v>
      </c>
      <c r="E119" s="2" t="s">
        <v>119</v>
      </c>
      <c r="F119" s="2" t="s">
        <v>120</v>
      </c>
      <c r="H119" s="40" t="s">
        <v>117</v>
      </c>
      <c r="I119" s="13"/>
      <c r="J119" s="13">
        <v>0.06</v>
      </c>
      <c r="K119" s="13"/>
      <c r="L119" s="13">
        <f>66/1000</f>
        <v>6.6000000000000003E-2</v>
      </c>
      <c r="M119" s="13"/>
      <c r="N119" s="13">
        <f>66/1000</f>
        <v>6.6000000000000003E-2</v>
      </c>
      <c r="O119" s="13"/>
      <c r="P119" s="13">
        <f>66/1000</f>
        <v>6.6000000000000003E-2</v>
      </c>
      <c r="Q119" s="13"/>
      <c r="R119" s="32">
        <f>SUM(DE_AT9[[#This Row],[26M04]:[26M06]])</f>
        <v>0.06</v>
      </c>
      <c r="S119" s="79">
        <f>SUM(DE_AT9[[#This Row],[26M07]:[26M09]])</f>
        <v>0.13200000000000001</v>
      </c>
      <c r="T119" s="79">
        <f>SUM(DE_AT9[[#This Row],[26M10]:[26M12]])</f>
        <v>6.6000000000000003E-2</v>
      </c>
      <c r="U119" s="85" t="str">
        <f>VLOOKUP(DE_AT9[[#This Row],[Product Line]],Prod_T6[],4,0)</f>
        <v>PV</v>
      </c>
    </row>
    <row r="120" spans="1:21" ht="14.5">
      <c r="A120" s="14" t="s">
        <v>32</v>
      </c>
      <c r="B120" s="1" t="s">
        <v>283</v>
      </c>
      <c r="C120" s="3" t="s">
        <v>268</v>
      </c>
      <c r="D120" s="2" t="s">
        <v>134</v>
      </c>
      <c r="E120" s="2" t="s">
        <v>135</v>
      </c>
      <c r="F120" s="2" t="s">
        <v>120</v>
      </c>
      <c r="G120" s="62" t="s">
        <v>284</v>
      </c>
      <c r="H120" s="40" t="s">
        <v>117</v>
      </c>
      <c r="I120" s="13"/>
      <c r="J120" s="13"/>
      <c r="K120" s="13"/>
      <c r="L120" s="13"/>
      <c r="M120" s="13"/>
      <c r="N120" s="13"/>
      <c r="O120" s="113">
        <f>36*0.49*8/1000</f>
        <v>0.14112</v>
      </c>
      <c r="P120" s="13"/>
      <c r="Q120" s="13"/>
      <c r="R120" s="32">
        <f>SUM(DE_AT9[[#This Row],[26M04]:[26M06]])</f>
        <v>0</v>
      </c>
      <c r="S120" s="79">
        <f>SUM(DE_AT9[[#This Row],[26M07]:[26M09]])</f>
        <v>0</v>
      </c>
      <c r="T120" s="79">
        <f>SUM(DE_AT9[[#This Row],[26M10]:[26M12]])</f>
        <v>0.14112</v>
      </c>
      <c r="U120" s="85" t="str">
        <f>VLOOKUP(DE_AT9[[#This Row],[Product Line]],Prod_T6[],4,0)</f>
        <v>PV</v>
      </c>
    </row>
    <row r="121" spans="1:21" ht="14.5">
      <c r="A121" s="29" t="s">
        <v>32</v>
      </c>
      <c r="B121" s="1" t="s">
        <v>285</v>
      </c>
      <c r="C121" s="3" t="s">
        <v>268</v>
      </c>
      <c r="D121" s="2" t="s">
        <v>134</v>
      </c>
      <c r="E121" s="2" t="s">
        <v>135</v>
      </c>
      <c r="F121" s="2" t="s">
        <v>120</v>
      </c>
      <c r="G121" s="62" t="s">
        <v>284</v>
      </c>
      <c r="H121" s="40" t="s">
        <v>117</v>
      </c>
      <c r="I121" s="13"/>
      <c r="J121" s="13"/>
      <c r="K121" s="13"/>
      <c r="L121" s="13"/>
      <c r="M121" s="13"/>
      <c r="N121" s="13"/>
      <c r="O121" s="113">
        <f>36*0.49*8/1000</f>
        <v>0.14112</v>
      </c>
      <c r="P121" s="13"/>
      <c r="Q121" s="13"/>
      <c r="R121" s="32">
        <f>SUM(DE_AT9[[#This Row],[26M04]:[26M06]])</f>
        <v>0</v>
      </c>
      <c r="S121" s="79">
        <f>SUM(DE_AT9[[#This Row],[26M07]:[26M09]])</f>
        <v>0</v>
      </c>
      <c r="T121" s="79">
        <f>SUM(DE_AT9[[#This Row],[26M10]:[26M12]])</f>
        <v>0.14112</v>
      </c>
      <c r="U121" s="85" t="str">
        <f>VLOOKUP(DE_AT9[[#This Row],[Product Line]],Prod_T6[],4,0)</f>
        <v>PV</v>
      </c>
    </row>
    <row r="122" spans="1:21" ht="14.5">
      <c r="A122" s="29" t="s">
        <v>32</v>
      </c>
      <c r="B122" s="1" t="s">
        <v>286</v>
      </c>
      <c r="C122" s="3" t="s">
        <v>268</v>
      </c>
      <c r="D122" s="2" t="s">
        <v>118</v>
      </c>
      <c r="E122" s="2" t="s">
        <v>255</v>
      </c>
      <c r="F122" s="2" t="s">
        <v>120</v>
      </c>
      <c r="H122" s="40" t="s">
        <v>117</v>
      </c>
      <c r="I122" s="13"/>
      <c r="J122" s="13"/>
      <c r="K122" s="13"/>
      <c r="L122" s="13">
        <v>0.2</v>
      </c>
      <c r="M122" s="13"/>
      <c r="N122" s="13">
        <v>0.25</v>
      </c>
      <c r="O122" s="13"/>
      <c r="P122" s="13"/>
      <c r="Q122" s="13"/>
      <c r="R122" s="32">
        <f>SUM(DE_AT9[[#This Row],[26M04]:[26M06]])</f>
        <v>0</v>
      </c>
      <c r="S122" s="79">
        <f>SUM(DE_AT9[[#This Row],[26M07]:[26M09]])</f>
        <v>0.45</v>
      </c>
      <c r="T122" s="79">
        <f>SUM(DE_AT9[[#This Row],[26M10]:[26M12]])</f>
        <v>0</v>
      </c>
      <c r="U122" s="85" t="str">
        <f>VLOOKUP(DE_AT9[[#This Row],[Product Line]],Prod_T6[],4,0)</f>
        <v>PV</v>
      </c>
    </row>
    <row r="123" spans="1:21" ht="14.5">
      <c r="A123" s="29" t="s">
        <v>32</v>
      </c>
      <c r="B123" s="1" t="s">
        <v>305</v>
      </c>
      <c r="C123" s="3" t="s">
        <v>268</v>
      </c>
      <c r="D123" s="2" t="s">
        <v>118</v>
      </c>
      <c r="E123" s="2" t="s">
        <v>145</v>
      </c>
      <c r="F123" s="2" t="s">
        <v>120</v>
      </c>
      <c r="H123" s="40" t="s">
        <v>117</v>
      </c>
      <c r="I123" s="13"/>
      <c r="J123" s="13"/>
      <c r="K123" s="13">
        <f>131/1000</f>
        <v>0.13100000000000001</v>
      </c>
      <c r="L123" s="13"/>
      <c r="M123" s="13"/>
      <c r="N123" s="13"/>
      <c r="O123" s="13"/>
      <c r="P123" s="13"/>
      <c r="Q123" s="13"/>
      <c r="R123" s="32">
        <f>SUM(DE_AT9[[#This Row],[26M04]:[26M06]])</f>
        <v>0.13100000000000001</v>
      </c>
      <c r="S123" s="79">
        <f>SUM(DE_AT9[[#This Row],[26M07]:[26M09]])</f>
        <v>0</v>
      </c>
      <c r="T123" s="79">
        <f>SUM(DE_AT9[[#This Row],[26M10]:[26M12]])</f>
        <v>0</v>
      </c>
      <c r="U123" s="85" t="str">
        <f>VLOOKUP(DE_AT9[[#This Row],[Product Line]],Prod_T6[],4,0)</f>
        <v>PV</v>
      </c>
    </row>
    <row r="124" spans="1:21" ht="14.5">
      <c r="A124" s="29" t="s">
        <v>32</v>
      </c>
      <c r="B124" s="1" t="s">
        <v>305</v>
      </c>
      <c r="C124" s="3" t="s">
        <v>268</v>
      </c>
      <c r="D124" s="2" t="s">
        <v>118</v>
      </c>
      <c r="E124" s="2" t="s">
        <v>119</v>
      </c>
      <c r="F124" s="2" t="s">
        <v>120</v>
      </c>
      <c r="H124" s="40" t="s">
        <v>117</v>
      </c>
      <c r="I124" s="13"/>
      <c r="J124" s="13"/>
      <c r="K124" s="13"/>
      <c r="L124" s="13"/>
      <c r="M124" s="133">
        <f>0.46*36*8/1000</f>
        <v>0.13248000000000001</v>
      </c>
      <c r="N124" s="133"/>
      <c r="O124" s="133">
        <f>0.46*36*8/1000</f>
        <v>0.13248000000000001</v>
      </c>
      <c r="P124" s="13"/>
      <c r="Q124" s="13"/>
      <c r="R124" s="32">
        <f>SUM(DE_AT9[[#This Row],[26M04]:[26M06]])</f>
        <v>0</v>
      </c>
      <c r="S124" s="79">
        <f>SUM(DE_AT9[[#This Row],[26M07]:[26M09]])</f>
        <v>0.13248000000000001</v>
      </c>
      <c r="T124" s="79">
        <f>SUM(DE_AT9[[#This Row],[26M10]:[26M12]])</f>
        <v>0.13248000000000001</v>
      </c>
      <c r="U124" s="85" t="str">
        <f>VLOOKUP(DE_AT9[[#This Row],[Product Line]],Prod_T6[],4,0)</f>
        <v>PV</v>
      </c>
    </row>
    <row r="125" spans="1:21" ht="14.5">
      <c r="A125" s="29" t="s">
        <v>32</v>
      </c>
      <c r="B125" s="1" t="s">
        <v>306</v>
      </c>
      <c r="C125" s="3" t="s">
        <v>268</v>
      </c>
      <c r="D125" s="2" t="s">
        <v>118</v>
      </c>
      <c r="E125" s="2" t="s">
        <v>119</v>
      </c>
      <c r="F125" s="2" t="s">
        <v>120</v>
      </c>
      <c r="G125" s="62" t="s">
        <v>307</v>
      </c>
      <c r="H125" s="40" t="s">
        <v>117</v>
      </c>
      <c r="I125" s="13"/>
      <c r="J125" s="113">
        <f>36*26*0.46/1000</f>
        <v>0.43056</v>
      </c>
      <c r="K125" s="13"/>
      <c r="L125" s="13"/>
      <c r="M125" s="133"/>
      <c r="N125" s="13">
        <v>0.43099999999999999</v>
      </c>
      <c r="O125" s="133"/>
      <c r="P125" s="13"/>
      <c r="Q125" s="13"/>
      <c r="R125" s="32">
        <f>SUM(DE_AT9[[#This Row],[26M04]:[26M06]])</f>
        <v>0.43056</v>
      </c>
      <c r="S125" s="79">
        <f>SUM(DE_AT9[[#This Row],[26M07]:[26M09]])</f>
        <v>0.43099999999999999</v>
      </c>
      <c r="T125" s="79">
        <f>SUM(DE_AT9[[#This Row],[26M10]:[26M12]])</f>
        <v>0</v>
      </c>
      <c r="U125" s="85" t="str">
        <f>VLOOKUP(DE_AT9[[#This Row],[Product Line]],Prod_T6[],4,0)</f>
        <v>PV</v>
      </c>
    </row>
    <row r="126" spans="1:21" ht="14.5">
      <c r="A126" s="29" t="s">
        <v>32</v>
      </c>
      <c r="B126" s="1" t="s">
        <v>308</v>
      </c>
      <c r="C126" s="3" t="s">
        <v>268</v>
      </c>
      <c r="D126" s="2" t="s">
        <v>197</v>
      </c>
      <c r="E126" s="2" t="s">
        <v>62</v>
      </c>
      <c r="F126" s="2" t="s">
        <v>120</v>
      </c>
      <c r="H126" s="40" t="s">
        <v>117</v>
      </c>
      <c r="I126" s="13"/>
      <c r="J126" s="13"/>
      <c r="K126" s="13"/>
      <c r="L126" s="13"/>
      <c r="M126" s="13">
        <v>2</v>
      </c>
      <c r="N126" s="13">
        <v>2</v>
      </c>
      <c r="O126" s="13">
        <v>2</v>
      </c>
      <c r="P126" s="13">
        <v>2</v>
      </c>
      <c r="Q126" s="13">
        <v>2</v>
      </c>
      <c r="R126" s="32">
        <f>SUM(DE_AT9[[#This Row],[26M04]:[26M06]])</f>
        <v>0</v>
      </c>
      <c r="S126" s="79">
        <f>SUM(DE_AT9[[#This Row],[26M07]:[26M09]])</f>
        <v>4</v>
      </c>
      <c r="T126" s="79">
        <f>SUM(DE_AT9[[#This Row],[26M10]:[26M12]])</f>
        <v>6</v>
      </c>
      <c r="U126" s="85" t="str">
        <f>VLOOKUP(DE_AT9[[#This Row],[Product Line]],Prod_T6[],4,0)</f>
        <v>ESS</v>
      </c>
    </row>
    <row r="127" spans="1:21" ht="14.5">
      <c r="A127" s="29" t="s">
        <v>32</v>
      </c>
      <c r="B127" s="1" t="s">
        <v>309</v>
      </c>
      <c r="C127" s="3" t="s">
        <v>268</v>
      </c>
      <c r="D127" s="2" t="s">
        <v>118</v>
      </c>
      <c r="E127" s="2" t="s">
        <v>119</v>
      </c>
      <c r="F127" s="2" t="s">
        <v>120</v>
      </c>
      <c r="G127" s="62" t="s">
        <v>307</v>
      </c>
      <c r="H127" s="40" t="s">
        <v>117</v>
      </c>
      <c r="I127" s="13"/>
      <c r="J127" s="13"/>
      <c r="K127" s="13">
        <v>0.4</v>
      </c>
      <c r="L127" s="13"/>
      <c r="M127" s="13"/>
      <c r="N127" s="13">
        <v>0.43</v>
      </c>
      <c r="O127" s="13"/>
      <c r="P127" s="13"/>
      <c r="Q127" s="13"/>
      <c r="R127" s="32">
        <f>SUM(DE_AT9[[#This Row],[26M04]:[26M06]])</f>
        <v>0.4</v>
      </c>
      <c r="S127" s="79">
        <f>SUM(DE_AT9[[#This Row],[26M07]:[26M09]])</f>
        <v>0.43</v>
      </c>
      <c r="T127" s="79">
        <f>SUM(DE_AT9[[#This Row],[26M10]:[26M12]])</f>
        <v>0</v>
      </c>
      <c r="U127" s="85" t="str">
        <f>VLOOKUP(DE_AT9[[#This Row],[Product Line]],Prod_T6[],4,0)</f>
        <v>PV</v>
      </c>
    </row>
    <row r="128" spans="1:21" ht="14.5">
      <c r="A128" s="29" t="s">
        <v>32</v>
      </c>
      <c r="B128" s="1" t="s">
        <v>310</v>
      </c>
      <c r="C128" s="3" t="s">
        <v>268</v>
      </c>
      <c r="D128" s="2" t="s">
        <v>197</v>
      </c>
      <c r="E128" s="2" t="s">
        <v>62</v>
      </c>
      <c r="F128" s="2" t="s">
        <v>120</v>
      </c>
      <c r="G128" s="62" t="s">
        <v>311</v>
      </c>
      <c r="H128" s="40" t="s">
        <v>117</v>
      </c>
      <c r="I128" s="13"/>
      <c r="J128" s="13"/>
      <c r="K128" s="13"/>
      <c r="L128" s="13"/>
      <c r="M128" s="13">
        <v>2</v>
      </c>
      <c r="N128" s="13">
        <v>2</v>
      </c>
      <c r="O128" s="13">
        <v>2</v>
      </c>
      <c r="P128" s="13">
        <v>2</v>
      </c>
      <c r="Q128" s="13">
        <v>2</v>
      </c>
      <c r="R128" s="32">
        <f>SUM(DE_AT9[[#This Row],[26M04]:[26M06]])</f>
        <v>0</v>
      </c>
      <c r="S128" s="79">
        <f>SUM(DE_AT9[[#This Row],[26M07]:[26M09]])</f>
        <v>4</v>
      </c>
      <c r="T128" s="79">
        <f>SUM(DE_AT9[[#This Row],[26M10]:[26M12]])</f>
        <v>6</v>
      </c>
      <c r="U128" s="85" t="str">
        <f>VLOOKUP(DE_AT9[[#This Row],[Product Line]],Prod_T6[],4,0)</f>
        <v>ESS</v>
      </c>
    </row>
    <row r="129" spans="1:21" ht="14.5">
      <c r="A129" s="29" t="s">
        <v>32</v>
      </c>
      <c r="B129" s="1" t="s">
        <v>310</v>
      </c>
      <c r="C129" s="3" t="s">
        <v>268</v>
      </c>
      <c r="D129" s="2" t="s">
        <v>118</v>
      </c>
      <c r="E129" s="2" t="s">
        <v>119</v>
      </c>
      <c r="F129" s="2" t="s">
        <v>120</v>
      </c>
      <c r="H129" s="40" t="s">
        <v>117</v>
      </c>
      <c r="I129" s="13"/>
      <c r="J129" s="13">
        <v>0.13</v>
      </c>
      <c r="K129" s="13"/>
      <c r="L129" s="13">
        <v>0.13</v>
      </c>
      <c r="M129" s="13"/>
      <c r="N129" s="13">
        <v>0.13</v>
      </c>
      <c r="O129" s="13"/>
      <c r="P129" s="13"/>
      <c r="Q129" s="13"/>
      <c r="R129" s="32">
        <f>SUM(DE_AT9[[#This Row],[26M04]:[26M06]])</f>
        <v>0.13</v>
      </c>
      <c r="S129" s="79">
        <f>SUM(DE_AT9[[#This Row],[26M07]:[26M09]])</f>
        <v>0.26</v>
      </c>
      <c r="T129" s="79">
        <f>SUM(DE_AT9[[#This Row],[26M10]:[26M12]])</f>
        <v>0</v>
      </c>
      <c r="U129" s="85" t="str">
        <f>VLOOKUP(DE_AT9[[#This Row],[Product Line]],Prod_T6[],4,0)</f>
        <v>PV</v>
      </c>
    </row>
    <row r="130" spans="1:21" ht="14.5">
      <c r="A130" s="29" t="s">
        <v>32</v>
      </c>
      <c r="B130" s="1" t="s">
        <v>310</v>
      </c>
      <c r="C130" s="3" t="s">
        <v>268</v>
      </c>
      <c r="D130" s="2" t="s">
        <v>134</v>
      </c>
      <c r="E130" s="2" t="s">
        <v>135</v>
      </c>
      <c r="F130" s="2" t="s">
        <v>120</v>
      </c>
      <c r="H130" s="40" t="s">
        <v>117</v>
      </c>
      <c r="I130" s="13"/>
      <c r="J130" s="13"/>
      <c r="K130" s="13"/>
      <c r="L130" s="13"/>
      <c r="M130" s="13"/>
      <c r="N130" s="13"/>
      <c r="O130" s="13"/>
      <c r="P130" s="133">
        <f>0.495*36*8/1000</f>
        <v>0.14255999999999999</v>
      </c>
      <c r="Q130" s="13"/>
      <c r="R130" s="32">
        <f>SUM(DE_AT9[[#This Row],[26M04]:[26M06]])</f>
        <v>0</v>
      </c>
      <c r="S130" s="79">
        <f>SUM(DE_AT9[[#This Row],[26M07]:[26M09]])</f>
        <v>0</v>
      </c>
      <c r="T130" s="79">
        <f>SUM(DE_AT9[[#This Row],[26M10]:[26M12]])</f>
        <v>0.14255999999999999</v>
      </c>
      <c r="U130" s="85" t="str">
        <f>VLOOKUP(DE_AT9[[#This Row],[Product Line]],Prod_T6[],4,0)</f>
        <v>PV</v>
      </c>
    </row>
    <row r="131" spans="1:21" ht="14.5">
      <c r="A131" s="29" t="s">
        <v>32</v>
      </c>
      <c r="B131" s="3" t="s">
        <v>287</v>
      </c>
      <c r="D131" s="2" t="s">
        <v>317</v>
      </c>
      <c r="E131" s="2" t="s">
        <v>318</v>
      </c>
      <c r="F131" s="2" t="s">
        <v>136</v>
      </c>
      <c r="H131" s="40" t="s">
        <v>117</v>
      </c>
      <c r="I131" s="82">
        <v>2</v>
      </c>
      <c r="J131" s="82">
        <v>5</v>
      </c>
      <c r="K131" s="82">
        <v>5</v>
      </c>
      <c r="L131" s="82"/>
      <c r="M131" s="82"/>
      <c r="N131" s="82"/>
      <c r="O131" s="82"/>
      <c r="P131" s="82"/>
      <c r="Q131" s="82"/>
      <c r="R131" s="83">
        <f>SUM(DE_AT9[[#This Row],[26M04]:[26M06]])</f>
        <v>12</v>
      </c>
      <c r="S131" s="79">
        <f>SUM(DE_AT9[[#This Row],[26M07]:[26M09]])</f>
        <v>0</v>
      </c>
      <c r="T131" s="79">
        <f>SUM(DE_AT9[[#This Row],[26M10]:[26M12]])</f>
        <v>0</v>
      </c>
      <c r="U131" s="85" t="str">
        <f>VLOOKUP(DE_AT9[[#This Row],[Product Line]],Prod_T6[],4,0)</f>
        <v>PV</v>
      </c>
    </row>
    <row r="132" spans="1:21" ht="14.5">
      <c r="A132" s="29" t="s">
        <v>32</v>
      </c>
      <c r="B132" s="3" t="s">
        <v>287</v>
      </c>
      <c r="D132" s="2" t="s">
        <v>54</v>
      </c>
      <c r="E132" s="2" t="s">
        <v>159</v>
      </c>
      <c r="F132" s="2" t="s">
        <v>136</v>
      </c>
      <c r="H132" s="40" t="s">
        <v>117</v>
      </c>
      <c r="I132" s="82">
        <v>2</v>
      </c>
      <c r="J132" s="82">
        <v>5</v>
      </c>
      <c r="K132" s="82">
        <v>5</v>
      </c>
      <c r="L132" s="82"/>
      <c r="M132" s="82"/>
      <c r="N132" s="82"/>
      <c r="O132" s="82"/>
      <c r="P132" s="82"/>
      <c r="Q132" s="82"/>
      <c r="R132" s="83">
        <f>SUM(DE_AT9[[#This Row],[26M04]:[26M06]])</f>
        <v>12</v>
      </c>
      <c r="S132" s="79">
        <f>SUM(DE_AT9[[#This Row],[26M07]:[26M09]])</f>
        <v>0</v>
      </c>
      <c r="T132" s="79">
        <f>SUM(DE_AT9[[#This Row],[26M10]:[26M12]])</f>
        <v>0</v>
      </c>
      <c r="U132" s="85" t="str">
        <f>VLOOKUP(DE_AT9[[#This Row],[Product Line]],Prod_T6[],4,0)</f>
        <v>PV</v>
      </c>
    </row>
    <row r="133" spans="1:21" ht="14.5">
      <c r="A133" s="29" t="s">
        <v>32</v>
      </c>
      <c r="B133" s="3" t="s">
        <v>287</v>
      </c>
      <c r="D133" s="2" t="s">
        <v>149</v>
      </c>
      <c r="E133" s="2" t="s">
        <v>312</v>
      </c>
      <c r="F133" s="2" t="s">
        <v>136</v>
      </c>
      <c r="G133" s="62">
        <v>475</v>
      </c>
      <c r="H133" s="40" t="s">
        <v>117</v>
      </c>
      <c r="I133" s="82">
        <v>2</v>
      </c>
      <c r="J133" s="82">
        <v>5</v>
      </c>
      <c r="K133" s="82">
        <v>5</v>
      </c>
      <c r="L133" s="82"/>
      <c r="M133" s="82"/>
      <c r="N133" s="82"/>
      <c r="O133" s="82"/>
      <c r="P133" s="82"/>
      <c r="Q133" s="82"/>
      <c r="R133" s="83">
        <f>SUM(DE_AT9[[#This Row],[26M04]:[26M06]])</f>
        <v>12</v>
      </c>
      <c r="S133" s="79">
        <f>SUM(DE_AT9[[#This Row],[26M07]:[26M09]])</f>
        <v>0</v>
      </c>
      <c r="T133" s="79">
        <f>SUM(DE_AT9[[#This Row],[26M10]:[26M12]])</f>
        <v>0</v>
      </c>
      <c r="U133" s="85" t="str">
        <f>VLOOKUP(DE_AT9[[#This Row],[Product Line]],Prod_T6[],4,0)</f>
        <v>PV</v>
      </c>
    </row>
    <row r="134" spans="1:21" ht="14.5">
      <c r="A134" s="29" t="s">
        <v>32</v>
      </c>
      <c r="B134" s="3" t="s">
        <v>313</v>
      </c>
      <c r="D134" s="2" t="s">
        <v>149</v>
      </c>
      <c r="E134" s="2" t="s">
        <v>289</v>
      </c>
      <c r="F134" s="2" t="s">
        <v>136</v>
      </c>
      <c r="G134" s="62">
        <v>465</v>
      </c>
      <c r="H134" s="43" t="s">
        <v>132</v>
      </c>
      <c r="I134" s="82">
        <v>3</v>
      </c>
      <c r="J134" s="82">
        <v>6</v>
      </c>
      <c r="K134" s="82">
        <v>6</v>
      </c>
      <c r="L134" s="82"/>
      <c r="M134" s="82"/>
      <c r="N134" s="82"/>
      <c r="O134" s="82"/>
      <c r="P134" s="82"/>
      <c r="Q134" s="82"/>
      <c r="R134" s="83">
        <f>SUM(DE_AT9[[#This Row],[26M04]:[26M06]])</f>
        <v>15</v>
      </c>
      <c r="S134" s="79">
        <f>SUM(DE_AT9[[#This Row],[26M07]:[26M09]])</f>
        <v>0</v>
      </c>
      <c r="T134" s="79">
        <f>SUM(DE_AT9[[#This Row],[26M10]:[26M12]])</f>
        <v>0</v>
      </c>
      <c r="U134" s="85" t="str">
        <f>VLOOKUP(DE_AT9[[#This Row],[Product Line]],Prod_T6[],4,0)</f>
        <v>PV</v>
      </c>
    </row>
    <row r="135" spans="1:21" ht="14.5">
      <c r="A135" s="29" t="s">
        <v>32</v>
      </c>
      <c r="B135" s="3" t="s">
        <v>313</v>
      </c>
      <c r="D135" s="2" t="s">
        <v>314</v>
      </c>
      <c r="E135" s="2" t="s">
        <v>315</v>
      </c>
      <c r="F135" s="2" t="s">
        <v>136</v>
      </c>
      <c r="G135" s="62" t="s">
        <v>316</v>
      </c>
      <c r="H135" s="43" t="s">
        <v>132</v>
      </c>
      <c r="I135" s="82">
        <v>30</v>
      </c>
      <c r="J135" s="82"/>
      <c r="K135" s="82"/>
      <c r="L135" s="82"/>
      <c r="M135" s="82"/>
      <c r="N135" s="82"/>
      <c r="O135" s="82"/>
      <c r="P135" s="82"/>
      <c r="Q135" s="82"/>
      <c r="R135" s="83">
        <f>SUM(DE_AT9[[#This Row],[26M04]:[26M06]])</f>
        <v>30</v>
      </c>
      <c r="S135" s="79">
        <f>SUM(DE_AT9[[#This Row],[26M07]:[26M09]])</f>
        <v>0</v>
      </c>
      <c r="T135" s="79">
        <f>SUM(DE_AT9[[#This Row],[26M10]:[26M12]])</f>
        <v>0</v>
      </c>
      <c r="U135" s="85" t="str">
        <f>VLOOKUP(DE_AT9[[#This Row],[Product Line]],Prod_T6[],4,0)</f>
        <v>PV</v>
      </c>
    </row>
    <row r="136" spans="1:21">
      <c r="A136" s="29" t="s">
        <v>32</v>
      </c>
      <c r="B136" s="3" t="s">
        <v>313</v>
      </c>
      <c r="D136" s="2" t="s">
        <v>54</v>
      </c>
      <c r="E136" s="2" t="s">
        <v>166</v>
      </c>
      <c r="F136" s="2" t="s">
        <v>156</v>
      </c>
      <c r="H136" s="43" t="s">
        <v>132</v>
      </c>
      <c r="I136" s="82"/>
      <c r="J136" s="82"/>
      <c r="K136" s="82"/>
      <c r="L136" s="136">
        <v>9</v>
      </c>
      <c r="M136" s="136"/>
      <c r="N136" s="82"/>
      <c r="O136" s="82"/>
      <c r="P136" s="82"/>
      <c r="Q136" s="82"/>
      <c r="R136" s="32">
        <f>SUM(DE_AT9[[#This Row],[26M04]:[26M06]])</f>
        <v>0</v>
      </c>
      <c r="S136" s="79">
        <f>SUM(DE_AT9[[#This Row],[26M07]:[26M09]])</f>
        <v>9</v>
      </c>
      <c r="T136" s="79">
        <f>SUM(DE_AT9[[#This Row],[26M10]:[26M12]])</f>
        <v>0</v>
      </c>
      <c r="U136" s="120" t="str">
        <f>VLOOKUP(DE_AT9[[#This Row],[Product Line]],Prod_T6[],4,0)</f>
        <v>PV</v>
      </c>
    </row>
    <row r="137" spans="1:21">
      <c r="A137" s="29" t="s">
        <v>32</v>
      </c>
      <c r="B137" s="3" t="s">
        <v>313</v>
      </c>
      <c r="D137" s="2" t="s">
        <v>54</v>
      </c>
      <c r="E137" s="2" t="s">
        <v>166</v>
      </c>
      <c r="F137" s="2" t="s">
        <v>136</v>
      </c>
      <c r="H137" s="43" t="s">
        <v>132</v>
      </c>
      <c r="I137" s="82"/>
      <c r="J137" s="82"/>
      <c r="K137" s="82"/>
      <c r="L137" s="136">
        <v>4</v>
      </c>
      <c r="M137" s="136"/>
      <c r="N137" s="82"/>
      <c r="O137" s="82"/>
      <c r="P137" s="82"/>
      <c r="Q137" s="82"/>
      <c r="R137" s="32">
        <f>SUM(DE_AT9[[#This Row],[26M04]:[26M06]])</f>
        <v>0</v>
      </c>
      <c r="S137" s="79">
        <f>SUM(DE_AT9[[#This Row],[26M07]:[26M09]])</f>
        <v>4</v>
      </c>
      <c r="T137" s="79">
        <f>SUM(DE_AT9[[#This Row],[26M10]:[26M12]])</f>
        <v>0</v>
      </c>
      <c r="U137" s="120" t="str">
        <f>VLOOKUP(DE_AT9[[#This Row],[Product Line]],Prod_T6[],4,0)</f>
        <v>PV</v>
      </c>
    </row>
    <row r="138" spans="1:21">
      <c r="A138" s="29" t="s">
        <v>32</v>
      </c>
      <c r="B138" s="3" t="s">
        <v>313</v>
      </c>
      <c r="D138" s="2" t="s">
        <v>54</v>
      </c>
      <c r="E138" s="2" t="s">
        <v>297</v>
      </c>
      <c r="F138" s="2" t="s">
        <v>136</v>
      </c>
      <c r="H138" s="43" t="s">
        <v>132</v>
      </c>
      <c r="I138" s="82"/>
      <c r="J138" s="82"/>
      <c r="K138" s="82"/>
      <c r="L138" s="136">
        <v>6</v>
      </c>
      <c r="M138" s="136"/>
      <c r="N138" s="82"/>
      <c r="O138" s="82"/>
      <c r="P138" s="82"/>
      <c r="Q138" s="82"/>
      <c r="R138" s="32">
        <f>SUM(DE_AT9[[#This Row],[26M04]:[26M06]])</f>
        <v>0</v>
      </c>
      <c r="S138" s="79">
        <f>SUM(DE_AT9[[#This Row],[26M07]:[26M09]])</f>
        <v>6</v>
      </c>
      <c r="T138" s="79">
        <f>SUM(DE_AT9[[#This Row],[26M10]:[26M12]])</f>
        <v>0</v>
      </c>
      <c r="U138" s="120" t="str">
        <f>VLOOKUP(DE_AT9[[#This Row],[Product Line]],Prod_T6[],4,0)</f>
        <v>PV</v>
      </c>
    </row>
    <row r="139" spans="1:21">
      <c r="A139" s="29" t="s">
        <v>32</v>
      </c>
      <c r="B139" s="3" t="s">
        <v>287</v>
      </c>
      <c r="C139" s="3" t="s">
        <v>295</v>
      </c>
      <c r="D139" s="2" t="s">
        <v>113</v>
      </c>
      <c r="E139" s="2" t="s">
        <v>153</v>
      </c>
      <c r="F139" s="2" t="s">
        <v>136</v>
      </c>
      <c r="G139" s="62" t="s">
        <v>295</v>
      </c>
      <c r="H139" s="43" t="s">
        <v>132</v>
      </c>
      <c r="I139" s="82"/>
      <c r="J139" s="82"/>
      <c r="K139" s="82"/>
      <c r="L139" s="136"/>
      <c r="M139" s="136"/>
      <c r="N139" s="136">
        <v>1</v>
      </c>
      <c r="O139" s="136">
        <v>3</v>
      </c>
      <c r="P139" s="82">
        <v>10</v>
      </c>
      <c r="Q139" s="82">
        <v>10</v>
      </c>
      <c r="R139" s="32">
        <f>SUM(DE_AT9[[#This Row],[26M04]:[26M06]])</f>
        <v>0</v>
      </c>
      <c r="S139" s="79">
        <f>SUM(DE_AT9[[#This Row],[26M07]:[26M09]])</f>
        <v>1</v>
      </c>
      <c r="T139" s="79">
        <f>SUM(DE_AT9[[#This Row],[26M10]:[26M12]])</f>
        <v>23</v>
      </c>
      <c r="U139" s="120" t="str">
        <f>VLOOKUP(DE_AT9[[#This Row],[Product Line]],Prod_T6[],4,0)</f>
        <v>PV</v>
      </c>
    </row>
    <row r="140" spans="1:21">
      <c r="A140" s="29" t="s">
        <v>32</v>
      </c>
      <c r="B140" s="3" t="s">
        <v>287</v>
      </c>
      <c r="C140" s="3" t="s">
        <v>293</v>
      </c>
      <c r="D140" s="2" t="s">
        <v>113</v>
      </c>
      <c r="E140" s="2" t="s">
        <v>153</v>
      </c>
      <c r="F140" s="2" t="s">
        <v>136</v>
      </c>
      <c r="G140" s="62" t="s">
        <v>293</v>
      </c>
      <c r="H140" s="43" t="s">
        <v>132</v>
      </c>
      <c r="I140" s="82"/>
      <c r="J140" s="82"/>
      <c r="K140" s="82"/>
      <c r="L140" s="136"/>
      <c r="M140" s="136"/>
      <c r="N140" s="136">
        <v>1</v>
      </c>
      <c r="O140" s="136">
        <v>3</v>
      </c>
      <c r="P140" s="82">
        <v>5</v>
      </c>
      <c r="Q140" s="82">
        <v>5</v>
      </c>
      <c r="R140" s="32">
        <f>SUM(DE_AT9[[#This Row],[26M04]:[26M06]])</f>
        <v>0</v>
      </c>
      <c r="S140" s="79">
        <f>SUM(DE_AT9[[#This Row],[26M07]:[26M09]])</f>
        <v>1</v>
      </c>
      <c r="T140" s="79">
        <f>SUM(DE_AT9[[#This Row],[26M10]:[26M12]])</f>
        <v>13</v>
      </c>
      <c r="U140" s="120" t="str">
        <f>VLOOKUP(DE_AT9[[#This Row],[Product Line]],Prod_T6[],4,0)</f>
        <v>PV</v>
      </c>
    </row>
    <row r="141" spans="1:21">
      <c r="A141" s="29" t="s">
        <v>32</v>
      </c>
      <c r="B141" s="3" t="s">
        <v>287</v>
      </c>
      <c r="D141" s="2" t="s">
        <v>113</v>
      </c>
      <c r="E141" s="2" t="s">
        <v>182</v>
      </c>
      <c r="F141" s="2" t="s">
        <v>136</v>
      </c>
      <c r="G141" s="62" t="s">
        <v>296</v>
      </c>
      <c r="H141" s="281" t="s">
        <v>132</v>
      </c>
      <c r="I141" s="82"/>
      <c r="J141" s="82"/>
      <c r="K141" s="82"/>
      <c r="L141" s="136"/>
      <c r="M141" s="136"/>
      <c r="N141" s="136">
        <v>3</v>
      </c>
      <c r="O141" s="136">
        <v>3</v>
      </c>
      <c r="P141" s="82">
        <v>3</v>
      </c>
      <c r="Q141" s="82"/>
      <c r="R141" s="32">
        <f>SUM(DE_AT9[[#This Row],[26M04]:[26M06]])</f>
        <v>0</v>
      </c>
      <c r="S141" s="79">
        <f>SUM(DE_AT9[[#This Row],[26M07]:[26M09]])</f>
        <v>3</v>
      </c>
      <c r="T141" s="79">
        <f>SUM(DE_AT9[[#This Row],[26M10]:[26M12]])</f>
        <v>6</v>
      </c>
      <c r="U141" s="120" t="str">
        <f>VLOOKUP(DE_AT9[[#This Row],[Product Line]],Prod_T6[],4,0)</f>
        <v>PV</v>
      </c>
    </row>
    <row r="142" spans="1:21">
      <c r="A142" s="29" t="s">
        <v>32</v>
      </c>
      <c r="B142" s="3" t="s">
        <v>287</v>
      </c>
      <c r="D142" s="2" t="s">
        <v>54</v>
      </c>
      <c r="E142" s="2" t="s">
        <v>297</v>
      </c>
      <c r="F142" s="2" t="s">
        <v>136</v>
      </c>
      <c r="G142" s="62" t="s">
        <v>298</v>
      </c>
      <c r="H142" s="281" t="s">
        <v>132</v>
      </c>
      <c r="I142" s="82"/>
      <c r="J142" s="82"/>
      <c r="K142" s="82"/>
      <c r="L142" s="136"/>
      <c r="M142" s="136"/>
      <c r="N142" s="136">
        <v>4</v>
      </c>
      <c r="O142" s="136">
        <v>4</v>
      </c>
      <c r="P142" s="82">
        <v>4</v>
      </c>
      <c r="Q142" s="82"/>
      <c r="R142" s="32">
        <f>SUM(DE_AT9[[#This Row],[26M04]:[26M06]])</f>
        <v>0</v>
      </c>
      <c r="S142" s="79">
        <f>SUM(DE_AT9[[#This Row],[26M07]:[26M09]])</f>
        <v>4</v>
      </c>
      <c r="T142" s="79">
        <f>SUM(DE_AT9[[#This Row],[26M10]:[26M12]])</f>
        <v>8</v>
      </c>
      <c r="U142" s="120" t="str">
        <f>VLOOKUP(DE_AT9[[#This Row],[Product Line]],Prod_T6[],4,0)</f>
        <v>PV</v>
      </c>
    </row>
    <row r="143" spans="1:21">
      <c r="A143" s="29" t="s">
        <v>32</v>
      </c>
      <c r="B143" s="3" t="s">
        <v>287</v>
      </c>
      <c r="D143" s="2" t="s">
        <v>54</v>
      </c>
      <c r="E143" s="2" t="s">
        <v>126</v>
      </c>
      <c r="F143" s="2" t="s">
        <v>136</v>
      </c>
      <c r="G143" s="62" t="s">
        <v>288</v>
      </c>
      <c r="H143" s="281" t="s">
        <v>132</v>
      </c>
      <c r="I143" s="82"/>
      <c r="J143" s="82"/>
      <c r="K143" s="82"/>
      <c r="L143" s="136"/>
      <c r="M143" s="136"/>
      <c r="N143" s="136">
        <v>4</v>
      </c>
      <c r="O143" s="136">
        <v>4</v>
      </c>
      <c r="P143" s="82">
        <v>4</v>
      </c>
      <c r="Q143" s="82"/>
      <c r="R143" s="32">
        <f>SUM(DE_AT9[[#This Row],[26M04]:[26M06]])</f>
        <v>0</v>
      </c>
      <c r="S143" s="79">
        <f>SUM(DE_AT9[[#This Row],[26M07]:[26M09]])</f>
        <v>4</v>
      </c>
      <c r="T143" s="79">
        <f>SUM(DE_AT9[[#This Row],[26M10]:[26M12]])</f>
        <v>8</v>
      </c>
      <c r="U143" s="120" t="str">
        <f>VLOOKUP(DE_AT9[[#This Row],[Product Line]],Prod_T6[],4,0)</f>
        <v>PV</v>
      </c>
    </row>
    <row r="144" spans="1:21">
      <c r="A144" s="29" t="s">
        <v>32</v>
      </c>
      <c r="B144" s="3" t="s">
        <v>287</v>
      </c>
      <c r="D144" s="2" t="s">
        <v>149</v>
      </c>
      <c r="E144" s="2" t="s">
        <v>289</v>
      </c>
      <c r="F144" s="2" t="s">
        <v>136</v>
      </c>
      <c r="G144" s="62" t="s">
        <v>290</v>
      </c>
      <c r="H144" s="281" t="s">
        <v>132</v>
      </c>
      <c r="I144" s="82"/>
      <c r="J144" s="82"/>
      <c r="K144" s="82"/>
      <c r="L144" s="136"/>
      <c r="M144" s="136"/>
      <c r="N144" s="136">
        <v>20</v>
      </c>
      <c r="O144" s="136">
        <v>20</v>
      </c>
      <c r="P144" s="82">
        <v>20</v>
      </c>
      <c r="Q144" s="82"/>
      <c r="R144" s="32">
        <f>SUM(DE_AT9[[#This Row],[26M04]:[26M06]])</f>
        <v>0</v>
      </c>
      <c r="S144" s="79">
        <f>SUM(DE_AT9[[#This Row],[26M07]:[26M09]])</f>
        <v>20</v>
      </c>
      <c r="T144" s="79">
        <f>SUM(DE_AT9[[#This Row],[26M10]:[26M12]])</f>
        <v>40</v>
      </c>
      <c r="U144" s="120" t="str">
        <f>VLOOKUP(DE_AT9[[#This Row],[Product Line]],Prod_T6[],4,0)</f>
        <v>PV</v>
      </c>
    </row>
    <row r="145" spans="1:21">
      <c r="A145" s="29" t="s">
        <v>32</v>
      </c>
      <c r="B145" s="3" t="s">
        <v>287</v>
      </c>
      <c r="D145" s="2" t="s">
        <v>134</v>
      </c>
      <c r="E145" s="2" t="s">
        <v>135</v>
      </c>
      <c r="F145" s="2" t="s">
        <v>136</v>
      </c>
      <c r="G145" s="62" t="s">
        <v>291</v>
      </c>
      <c r="H145" s="281" t="s">
        <v>132</v>
      </c>
      <c r="I145" s="82"/>
      <c r="J145" s="82"/>
      <c r="K145" s="82"/>
      <c r="L145" s="136"/>
      <c r="M145" s="136"/>
      <c r="N145" s="136">
        <v>1</v>
      </c>
      <c r="O145" s="136">
        <v>1</v>
      </c>
      <c r="P145" s="82">
        <v>1</v>
      </c>
      <c r="Q145" s="82"/>
      <c r="R145" s="32">
        <f>SUM(DE_AT9[[#This Row],[26M04]:[26M06]])</f>
        <v>0</v>
      </c>
      <c r="S145" s="79">
        <f>SUM(DE_AT9[[#This Row],[26M07]:[26M09]])</f>
        <v>1</v>
      </c>
      <c r="T145" s="79">
        <f>SUM(DE_AT9[[#This Row],[26M10]:[26M12]])</f>
        <v>2</v>
      </c>
      <c r="U145" s="120" t="str">
        <f>VLOOKUP(DE_AT9[[#This Row],[Product Line]],Prod_T6[],4,0)</f>
        <v>PV</v>
      </c>
    </row>
    <row r="146" spans="1:21">
      <c r="A146" s="29" t="s">
        <v>32</v>
      </c>
      <c r="B146" s="2" t="s">
        <v>292</v>
      </c>
      <c r="C146" s="3" t="s">
        <v>293</v>
      </c>
      <c r="D146" s="2" t="s">
        <v>113</v>
      </c>
      <c r="E146" s="2" t="s">
        <v>153</v>
      </c>
      <c r="F146" s="2" t="s">
        <v>136</v>
      </c>
      <c r="G146" s="62" t="s">
        <v>293</v>
      </c>
      <c r="H146" s="43" t="s">
        <v>132</v>
      </c>
      <c r="I146" s="82"/>
      <c r="J146" s="82"/>
      <c r="K146" s="82"/>
      <c r="L146" s="136"/>
      <c r="M146" s="136"/>
      <c r="N146" s="136">
        <v>0</v>
      </c>
      <c r="O146" s="136">
        <v>1</v>
      </c>
      <c r="P146" s="82">
        <v>3</v>
      </c>
      <c r="Q146" s="82">
        <v>3</v>
      </c>
      <c r="R146" s="32">
        <f>SUM(DE_AT9[[#This Row],[26M04]:[26M06]])</f>
        <v>0</v>
      </c>
      <c r="S146" s="79">
        <f>SUM(DE_AT9[[#This Row],[26M07]:[26M09]])</f>
        <v>0</v>
      </c>
      <c r="T146" s="79">
        <f>SUM(DE_AT9[[#This Row],[26M10]:[26M12]])</f>
        <v>7</v>
      </c>
      <c r="U146" s="120" t="str">
        <f>VLOOKUP(DE_AT9[[#This Row],[Product Line]],Prod_T6[],4,0)</f>
        <v>PV</v>
      </c>
    </row>
    <row r="147" spans="1:21">
      <c r="A147" s="29" t="s">
        <v>32</v>
      </c>
      <c r="B147" s="2" t="s">
        <v>292</v>
      </c>
      <c r="C147" s="3" t="s">
        <v>294</v>
      </c>
      <c r="D147" s="2" t="s">
        <v>113</v>
      </c>
      <c r="E147" s="2" t="s">
        <v>153</v>
      </c>
      <c r="F147" s="2" t="s">
        <v>136</v>
      </c>
      <c r="G147" s="62" t="s">
        <v>295</v>
      </c>
      <c r="H147" s="40" t="s">
        <v>117</v>
      </c>
      <c r="I147" s="82"/>
      <c r="J147" s="82"/>
      <c r="K147" s="82"/>
      <c r="L147" s="136"/>
      <c r="M147" s="136"/>
      <c r="N147" s="136">
        <v>0</v>
      </c>
      <c r="O147" s="136">
        <v>1</v>
      </c>
      <c r="P147" s="82">
        <v>1</v>
      </c>
      <c r="Q147" s="82">
        <v>1</v>
      </c>
      <c r="R147" s="32">
        <f>SUM(DE_AT9[[#This Row],[26M04]:[26M06]])</f>
        <v>0</v>
      </c>
      <c r="S147" s="79">
        <f>SUM(DE_AT9[[#This Row],[26M07]:[26M09]])</f>
        <v>0</v>
      </c>
      <c r="T147" s="79">
        <f>SUM(DE_AT9[[#This Row],[26M10]:[26M12]])</f>
        <v>3</v>
      </c>
      <c r="U147" s="120" t="str">
        <f>VLOOKUP(DE_AT9[[#This Row],[Product Line]],Prod_T6[],4,0)</f>
        <v>PV</v>
      </c>
    </row>
    <row r="148" spans="1:21">
      <c r="A148" s="29" t="s">
        <v>32</v>
      </c>
      <c r="B148" s="2" t="s">
        <v>292</v>
      </c>
      <c r="C148" s="3" t="s">
        <v>294</v>
      </c>
      <c r="D148" s="2" t="s">
        <v>113</v>
      </c>
      <c r="E148" s="2" t="s">
        <v>182</v>
      </c>
      <c r="F148" s="2" t="s">
        <v>136</v>
      </c>
      <c r="G148" s="62" t="s">
        <v>296</v>
      </c>
      <c r="H148" s="40" t="s">
        <v>117</v>
      </c>
      <c r="I148" s="82"/>
      <c r="J148" s="82"/>
      <c r="K148" s="82"/>
      <c r="L148" s="136"/>
      <c r="M148" s="136"/>
      <c r="N148" s="136">
        <v>2</v>
      </c>
      <c r="O148" s="136">
        <v>2</v>
      </c>
      <c r="P148" s="82">
        <v>2</v>
      </c>
      <c r="Q148" s="82"/>
      <c r="R148" s="32">
        <f>SUM(DE_AT9[[#This Row],[26M04]:[26M06]])</f>
        <v>0</v>
      </c>
      <c r="S148" s="79">
        <f>SUM(DE_AT9[[#This Row],[26M07]:[26M09]])</f>
        <v>2</v>
      </c>
      <c r="T148" s="79">
        <f>SUM(DE_AT9[[#This Row],[26M10]:[26M12]])</f>
        <v>4</v>
      </c>
      <c r="U148" s="120" t="str">
        <f>VLOOKUP(DE_AT9[[#This Row],[Product Line]],Prod_T6[],4,0)</f>
        <v>PV</v>
      </c>
    </row>
    <row r="149" spans="1:21">
      <c r="A149" s="29" t="s">
        <v>32</v>
      </c>
      <c r="B149" s="2" t="s">
        <v>292</v>
      </c>
      <c r="C149" s="3" t="s">
        <v>294</v>
      </c>
      <c r="D149" s="2" t="s">
        <v>54</v>
      </c>
      <c r="E149" s="2" t="s">
        <v>297</v>
      </c>
      <c r="F149" s="2" t="s">
        <v>136</v>
      </c>
      <c r="G149" s="62" t="s">
        <v>298</v>
      </c>
      <c r="H149" s="40" t="s">
        <v>117</v>
      </c>
      <c r="I149" s="82"/>
      <c r="J149" s="82"/>
      <c r="K149" s="82"/>
      <c r="L149" s="136"/>
      <c r="M149" s="136"/>
      <c r="N149" s="136">
        <v>2</v>
      </c>
      <c r="O149" s="136">
        <v>2</v>
      </c>
      <c r="P149" s="82">
        <v>2</v>
      </c>
      <c r="Q149" s="82"/>
      <c r="R149" s="32">
        <f>SUM(DE_AT9[[#This Row],[26M04]:[26M06]])</f>
        <v>0</v>
      </c>
      <c r="S149" s="79">
        <f>SUM(DE_AT9[[#This Row],[26M07]:[26M09]])</f>
        <v>2</v>
      </c>
      <c r="T149" s="79">
        <f>SUM(DE_AT9[[#This Row],[26M10]:[26M12]])</f>
        <v>4</v>
      </c>
      <c r="U149" s="120" t="str">
        <f>VLOOKUP(DE_AT9[[#This Row],[Product Line]],Prod_T6[],4,0)</f>
        <v>PV</v>
      </c>
    </row>
    <row r="150" spans="1:21">
      <c r="A150" s="29" t="s">
        <v>32</v>
      </c>
      <c r="B150" s="2" t="s">
        <v>292</v>
      </c>
      <c r="C150" s="3" t="s">
        <v>294</v>
      </c>
      <c r="D150" s="2" t="s">
        <v>54</v>
      </c>
      <c r="E150" s="2" t="s">
        <v>299</v>
      </c>
      <c r="F150" s="2" t="s">
        <v>136</v>
      </c>
      <c r="G150" s="62" t="s">
        <v>288</v>
      </c>
      <c r="H150" s="40" t="s">
        <v>117</v>
      </c>
      <c r="I150" s="82"/>
      <c r="J150" s="82"/>
      <c r="K150" s="82"/>
      <c r="L150" s="136"/>
      <c r="M150" s="136"/>
      <c r="N150" s="136">
        <v>2</v>
      </c>
      <c r="O150" s="136">
        <v>2</v>
      </c>
      <c r="P150" s="82">
        <v>2</v>
      </c>
      <c r="Q150" s="82"/>
      <c r="R150" s="32">
        <f>SUM(DE_AT9[[#This Row],[26M04]:[26M06]])</f>
        <v>0</v>
      </c>
      <c r="S150" s="79">
        <f>SUM(DE_AT9[[#This Row],[26M07]:[26M09]])</f>
        <v>2</v>
      </c>
      <c r="T150" s="79">
        <f>SUM(DE_AT9[[#This Row],[26M10]:[26M12]])</f>
        <v>4</v>
      </c>
      <c r="U150" s="120" t="str">
        <f>VLOOKUP(DE_AT9[[#This Row],[Product Line]],Prod_T6[],4,0)</f>
        <v>PV</v>
      </c>
    </row>
    <row r="151" spans="1:21" ht="14.5">
      <c r="A151" s="29" t="s">
        <v>32</v>
      </c>
      <c r="B151" s="2" t="s">
        <v>300</v>
      </c>
      <c r="C151" s="3" t="s">
        <v>301</v>
      </c>
      <c r="D151" s="2" t="s">
        <v>113</v>
      </c>
      <c r="E151" s="2" t="s">
        <v>153</v>
      </c>
      <c r="F151" s="2" t="s">
        <v>136</v>
      </c>
      <c r="G151" s="62" t="s">
        <v>293</v>
      </c>
      <c r="H151" s="40" t="s">
        <v>117</v>
      </c>
      <c r="I151" s="13"/>
      <c r="J151" s="13"/>
      <c r="K151" s="13"/>
      <c r="L151" s="13"/>
      <c r="M151" s="13"/>
      <c r="N151" s="13">
        <v>0</v>
      </c>
      <c r="O151" s="13">
        <v>2</v>
      </c>
      <c r="P151" s="13">
        <v>1</v>
      </c>
      <c r="Q151" s="13">
        <v>1</v>
      </c>
      <c r="R151" s="83">
        <f>SUM(DE_AT9[[#This Row],[26M04]:[26M06]])</f>
        <v>0</v>
      </c>
      <c r="S151" s="79">
        <f>SUM(DE_AT9[[#This Row],[26M07]:[26M09]])</f>
        <v>0</v>
      </c>
      <c r="T151" s="79">
        <f>SUM(DE_AT9[[#This Row],[26M10]:[26M12]])</f>
        <v>4</v>
      </c>
      <c r="U151" s="85" t="str">
        <f>VLOOKUP(DE_AT9[[#This Row],[Product Line]],Prod_T6[],4,0)</f>
        <v>PV</v>
      </c>
    </row>
    <row r="152" spans="1:21" ht="14.5">
      <c r="A152" s="29" t="s">
        <v>32</v>
      </c>
      <c r="B152" s="2" t="s">
        <v>300</v>
      </c>
      <c r="C152" s="3" t="s">
        <v>301</v>
      </c>
      <c r="D152" s="2" t="s">
        <v>54</v>
      </c>
      <c r="E152" s="2" t="s">
        <v>297</v>
      </c>
      <c r="F152" s="2" t="s">
        <v>136</v>
      </c>
      <c r="G152" s="62" t="s">
        <v>298</v>
      </c>
      <c r="H152" s="40" t="s">
        <v>117</v>
      </c>
      <c r="I152" s="13"/>
      <c r="J152" s="13"/>
      <c r="K152" s="13"/>
      <c r="L152" s="13"/>
      <c r="M152" s="13"/>
      <c r="N152" s="13">
        <v>1</v>
      </c>
      <c r="O152" s="13">
        <v>1</v>
      </c>
      <c r="P152" s="13">
        <v>1</v>
      </c>
      <c r="Q152" s="13"/>
      <c r="R152" s="83">
        <f>SUM(DE_AT9[[#This Row],[26M04]:[26M06]])</f>
        <v>0</v>
      </c>
      <c r="S152" s="79">
        <f>SUM(DE_AT9[[#This Row],[26M07]:[26M09]])</f>
        <v>1</v>
      </c>
      <c r="T152" s="79">
        <f>SUM(DE_AT9[[#This Row],[26M10]:[26M12]])</f>
        <v>2</v>
      </c>
      <c r="U152" s="85" t="str">
        <f>VLOOKUP(DE_AT9[[#This Row],[Product Line]],Prod_T6[],4,0)</f>
        <v>PV</v>
      </c>
    </row>
    <row r="153" spans="1:21" ht="14.5">
      <c r="A153" s="29" t="s">
        <v>32</v>
      </c>
      <c r="B153" s="2" t="s">
        <v>300</v>
      </c>
      <c r="C153" s="3" t="s">
        <v>301</v>
      </c>
      <c r="D153" s="2" t="s">
        <v>54</v>
      </c>
      <c r="E153" s="2" t="s">
        <v>299</v>
      </c>
      <c r="F153" s="2" t="s">
        <v>136</v>
      </c>
      <c r="G153" s="62" t="s">
        <v>288</v>
      </c>
      <c r="H153" s="40" t="s">
        <v>117</v>
      </c>
      <c r="I153" s="13"/>
      <c r="J153" s="13"/>
      <c r="K153" s="13"/>
      <c r="L153" s="13"/>
      <c r="M153" s="13"/>
      <c r="N153" s="13">
        <v>1</v>
      </c>
      <c r="O153" s="13">
        <v>1</v>
      </c>
      <c r="P153" s="13">
        <v>1</v>
      </c>
      <c r="Q153" s="13"/>
      <c r="R153" s="83">
        <f>SUM(DE_AT9[[#This Row],[26M04]:[26M06]])</f>
        <v>0</v>
      </c>
      <c r="S153" s="79">
        <f>SUM(DE_AT9[[#This Row],[26M07]:[26M09]])</f>
        <v>1</v>
      </c>
      <c r="T153" s="79">
        <f>SUM(DE_AT9[[#This Row],[26M10]:[26M12]])</f>
        <v>2</v>
      </c>
      <c r="U153" s="85" t="str">
        <f>VLOOKUP(DE_AT9[[#This Row],[Product Line]],Prod_T6[],4,0)</f>
        <v>PV</v>
      </c>
    </row>
    <row r="154" spans="1:21" ht="14.5">
      <c r="A154" s="29" t="s">
        <v>32</v>
      </c>
      <c r="B154" s="3" t="s">
        <v>302</v>
      </c>
      <c r="D154" s="2" t="s">
        <v>54</v>
      </c>
      <c r="E154" s="2" t="s">
        <v>129</v>
      </c>
      <c r="F154" s="2" t="s">
        <v>115</v>
      </c>
      <c r="H154" s="40" t="s">
        <v>117</v>
      </c>
      <c r="I154" s="82"/>
      <c r="J154" s="82"/>
      <c r="K154" s="82"/>
      <c r="L154" s="13"/>
      <c r="M154" s="13"/>
      <c r="N154" s="82">
        <v>10</v>
      </c>
      <c r="O154" s="82">
        <v>10</v>
      </c>
      <c r="P154" s="82">
        <v>10</v>
      </c>
      <c r="Q154" s="82">
        <v>20</v>
      </c>
      <c r="R154" s="83">
        <f>SUM(DE_AT9[[#This Row],[26M04]:[26M06]])</f>
        <v>0</v>
      </c>
      <c r="S154" s="79">
        <f>SUM(DE_AT9[[#This Row],[26M07]:[26M09]])</f>
        <v>10</v>
      </c>
      <c r="T154" s="79">
        <f>SUM(DE_AT9[[#This Row],[26M10]:[26M12]])</f>
        <v>40</v>
      </c>
      <c r="U154" s="85" t="str">
        <f>VLOOKUP(DE_AT9[[#This Row],[Product Line]],Prod_T6[],4,0)</f>
        <v>PV</v>
      </c>
    </row>
    <row r="155" spans="1:21" ht="14.5">
      <c r="A155" s="29" t="s">
        <v>32</v>
      </c>
      <c r="B155" s="3" t="s">
        <v>302</v>
      </c>
      <c r="D155" s="2" t="s">
        <v>54</v>
      </c>
      <c r="E155" s="2" t="s">
        <v>121</v>
      </c>
      <c r="F155" s="2" t="s">
        <v>115</v>
      </c>
      <c r="H155" s="40" t="s">
        <v>117</v>
      </c>
      <c r="I155" s="82"/>
      <c r="J155" s="82"/>
      <c r="K155" s="82"/>
      <c r="L155" s="13"/>
      <c r="M155" s="13"/>
      <c r="N155" s="82">
        <v>10</v>
      </c>
      <c r="O155" s="82">
        <v>10</v>
      </c>
      <c r="P155" s="82">
        <v>10</v>
      </c>
      <c r="Q155" s="82">
        <v>70</v>
      </c>
      <c r="R155" s="83">
        <f>SUM(DE_AT9[[#This Row],[26M04]:[26M06]])</f>
        <v>0</v>
      </c>
      <c r="S155" s="79">
        <f>SUM(DE_AT9[[#This Row],[26M07]:[26M09]])</f>
        <v>10</v>
      </c>
      <c r="T155" s="79">
        <f>SUM(DE_AT9[[#This Row],[26M10]:[26M12]])</f>
        <v>90</v>
      </c>
      <c r="U155" s="85" t="str">
        <f>VLOOKUP(DE_AT9[[#This Row],[Product Line]],Prod_T6[],4,0)</f>
        <v>PV</v>
      </c>
    </row>
    <row r="156" spans="1:21" ht="14.5">
      <c r="A156" s="29" t="s">
        <v>32</v>
      </c>
      <c r="B156" s="2" t="s">
        <v>303</v>
      </c>
      <c r="D156" s="2" t="s">
        <v>54</v>
      </c>
      <c r="E156" s="2" t="s">
        <v>166</v>
      </c>
      <c r="F156" s="2" t="s">
        <v>115</v>
      </c>
      <c r="H156" s="40" t="s">
        <v>117</v>
      </c>
      <c r="I156" s="13"/>
      <c r="J156" s="13"/>
      <c r="K156" s="13"/>
      <c r="L156" s="13"/>
      <c r="M156" s="13"/>
      <c r="N156" s="13"/>
      <c r="O156" s="13"/>
      <c r="P156" s="13"/>
      <c r="Q156" s="13"/>
      <c r="R156" s="83">
        <f>SUM(DE_AT9[[#This Row],[26M04]:[26M06]])</f>
        <v>0</v>
      </c>
      <c r="S156" s="79">
        <f>SUM(DE_AT9[[#This Row],[26M07]:[26M09]])</f>
        <v>0</v>
      </c>
      <c r="T156" s="79">
        <f>SUM(DE_AT9[[#This Row],[26M10]:[26M12]])</f>
        <v>0</v>
      </c>
      <c r="U156" s="85" t="str">
        <f>VLOOKUP(DE_AT9[[#This Row],[Product Line]],Prod_T6[],4,0)</f>
        <v>PV</v>
      </c>
    </row>
    <row r="157" spans="1:21" ht="14.5">
      <c r="A157" s="29" t="s">
        <v>32</v>
      </c>
      <c r="B157" s="2" t="s">
        <v>304</v>
      </c>
      <c r="D157" s="2" t="s">
        <v>54</v>
      </c>
      <c r="E157" s="2" t="s">
        <v>126</v>
      </c>
      <c r="F157" s="2" t="s">
        <v>136</v>
      </c>
      <c r="H157" s="40" t="s">
        <v>117</v>
      </c>
      <c r="I157" s="13"/>
      <c r="J157" s="13"/>
      <c r="K157" s="13"/>
      <c r="L157" s="13"/>
      <c r="M157" s="13"/>
      <c r="N157" s="13"/>
      <c r="O157" s="13"/>
      <c r="P157" s="13"/>
      <c r="Q157" s="13"/>
      <c r="R157" s="83">
        <f>SUM(DE_AT9[[#This Row],[26M04]:[26M06]])</f>
        <v>0</v>
      </c>
      <c r="S157" s="79">
        <f>SUM(DE_AT9[[#This Row],[26M07]:[26M09]])</f>
        <v>0</v>
      </c>
      <c r="T157" s="79">
        <f>SUM(DE_AT9[[#This Row],[26M10]:[26M12]])</f>
        <v>0</v>
      </c>
      <c r="U157" s="85" t="str">
        <f>VLOOKUP(DE_AT9[[#This Row],[Product Line]],Prod_T6[],4,0)</f>
        <v>PV</v>
      </c>
    </row>
    <row r="158" spans="1:21" ht="14.5">
      <c r="A158" s="29" t="s">
        <v>32</v>
      </c>
      <c r="B158" s="2" t="s">
        <v>338</v>
      </c>
      <c r="D158" s="2" t="s">
        <v>54</v>
      </c>
      <c r="E158" s="2" t="s">
        <v>339</v>
      </c>
      <c r="F158" s="2" t="s">
        <v>115</v>
      </c>
      <c r="H158" s="40" t="s">
        <v>117</v>
      </c>
      <c r="I158" s="13"/>
      <c r="J158" s="13"/>
      <c r="K158" s="13"/>
      <c r="L158" s="13"/>
      <c r="M158" s="13"/>
      <c r="N158" s="13"/>
      <c r="O158" s="13"/>
      <c r="P158" s="13"/>
      <c r="Q158" s="13"/>
      <c r="R158" s="83">
        <f>SUM(DE_AT9[[#This Row],[26M04]:[26M06]])</f>
        <v>0</v>
      </c>
      <c r="S158" s="79">
        <f>SUM(DE_AT9[[#This Row],[26M07]:[26M09]])</f>
        <v>0</v>
      </c>
      <c r="T158" s="79">
        <f>SUM(DE_AT9[[#This Row],[26M10]:[26M12]])</f>
        <v>0</v>
      </c>
      <c r="U158" s="85" t="str">
        <f>VLOOKUP(DE_AT9[[#This Row],[Product Line]],Prod_T6[],4,0)</f>
        <v>PV</v>
      </c>
    </row>
    <row r="159" spans="1:21" ht="14.5">
      <c r="A159" s="29" t="s">
        <v>124</v>
      </c>
      <c r="B159" s="2" t="s">
        <v>125</v>
      </c>
      <c r="D159" s="2" t="s">
        <v>54</v>
      </c>
      <c r="E159" s="2" t="s">
        <v>126</v>
      </c>
      <c r="F159" s="2" t="s">
        <v>115</v>
      </c>
      <c r="H159" s="40" t="s">
        <v>117</v>
      </c>
      <c r="I159" s="13"/>
      <c r="J159" s="13"/>
      <c r="K159" s="13"/>
      <c r="L159" s="13"/>
      <c r="M159" s="13"/>
      <c r="N159" s="13"/>
      <c r="O159" s="13"/>
      <c r="P159" s="13"/>
      <c r="Q159" s="13"/>
      <c r="R159" s="83">
        <f>SUM(DE_AT9[[#This Row],[26M04]:[26M06]])</f>
        <v>0</v>
      </c>
      <c r="S159" s="79">
        <f>SUM(DE_AT9[[#This Row],[26M07]:[26M09]])</f>
        <v>0</v>
      </c>
      <c r="T159" s="79">
        <f>SUM(DE_AT9[[#This Row],[26M10]:[26M12]])</f>
        <v>0</v>
      </c>
      <c r="U159" s="85" t="str">
        <f>VLOOKUP(DE_AT9[[#This Row],[Product Line]],Prod_T6[],4,0)</f>
        <v>PV</v>
      </c>
    </row>
  </sheetData>
  <phoneticPr fontId="58" type="noConversion"/>
  <conditionalFormatting sqref="E6:E159">
    <cfRule type="cellIs" dxfId="74" priority="1" operator="equal">
      <formula>"P8-L"</formula>
    </cfRule>
    <cfRule type="cellIs" dxfId="73" priority="2" operator="equal">
      <formula>"P8-M"</formula>
    </cfRule>
    <cfRule type="cellIs" dxfId="72" priority="3" operator="equal">
      <formula>"P8-S"</formula>
    </cfRule>
  </conditionalFormatting>
  <dataValidations count="4">
    <dataValidation type="list" allowBlank="1" showInputMessage="1" showErrorMessage="1" sqref="D6:D159" xr:uid="{38685BD9-D66F-45BB-B811-EFA1CBC1590A}">
      <formula1>Product_List</formula1>
    </dataValidation>
    <dataValidation type="list" allowBlank="1" showInputMessage="1" showErrorMessage="1" sqref="F6:F159" xr:uid="{39EF760B-8699-4E73-9F5F-BA0FBC5F4DDF}">
      <formula1>Stage_List</formula1>
    </dataValidation>
    <dataValidation type="list" allowBlank="1" showInputMessage="1" showErrorMessage="1" sqref="A6:A159" xr:uid="{0CA9D9BA-9639-4614-8D40-B7BBA92696ED}">
      <formula1>Country_List</formula1>
    </dataValidation>
    <dataValidation type="list" allowBlank="1" showInputMessage="1" showErrorMessage="1" sqref="B119:B120 B6:B110 E6:E159" xr:uid="{DB10D558-0ACE-48D1-B037-41A6C852977D}">
      <formula1>INDIRECT(A6)</formula1>
    </dataValidation>
  </dataValidations>
  <pageMargins left="0.70866141732283505" right="0.70866141732283505" top="0.74803149606299202" bottom="0.74803149606299202" header="0.31496062992126" footer="0.31496062992126"/>
  <pageSetup paperSize="9" scale="23" orientation="landscape"/>
  <legacy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9E59D-9CF5-49D2-B492-71540C7A5A5C}">
  <sheetPr codeName="Sheet12">
    <tabColor rgb="FF002060"/>
    <pageSetUpPr fitToPage="1"/>
  </sheetPr>
  <dimension ref="A1:AH160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6" sqref="A6"/>
      <selection pane="bottomRight" activeCell="K2" sqref="K2"/>
    </sheetView>
  </sheetViews>
  <sheetFormatPr defaultColWidth="8.08984375" defaultRowHeight="13" outlineLevelCol="1"/>
  <cols>
    <col min="1" max="1" width="14.6328125" style="2" bestFit="1" customWidth="1"/>
    <col min="2" max="2" width="31.26953125" style="1" customWidth="1"/>
    <col min="3" max="3" width="12.7265625" style="3" bestFit="1" customWidth="1" outlineLevel="1"/>
    <col min="4" max="4" width="12.90625" style="2" bestFit="1" customWidth="1"/>
    <col min="5" max="5" width="18.36328125" style="2" bestFit="1" customWidth="1"/>
    <col min="6" max="6" width="25.90625" style="2" bestFit="1" customWidth="1"/>
    <col min="7" max="7" width="17.7265625" style="62" bestFit="1" customWidth="1"/>
    <col min="8" max="8" width="20.6328125" style="4" customWidth="1"/>
    <col min="9" max="9" width="13.90625" style="2" bestFit="1" customWidth="1" outlineLevel="1"/>
    <col min="10" max="17" width="13.08984375" style="2" bestFit="1" customWidth="1" outlineLevel="1"/>
    <col min="18" max="18" width="13.08984375" style="5" bestFit="1" customWidth="1"/>
    <col min="19" max="21" width="13.7265625" style="2" bestFit="1" customWidth="1"/>
    <col min="22" max="27" width="15.08984375" style="2" bestFit="1" customWidth="1"/>
    <col min="28" max="29" width="13.7265625" style="2" bestFit="1" customWidth="1"/>
    <col min="30" max="30" width="19.08984375" style="2" bestFit="1" customWidth="1"/>
    <col min="31" max="31" width="22.36328125" style="2" bestFit="1" customWidth="1"/>
    <col min="32" max="33" width="8.08984375" style="2"/>
    <col min="34" max="34" width="17.7265625" style="2" bestFit="1" customWidth="1"/>
    <col min="35" max="16384" width="8.08984375" style="2"/>
  </cols>
  <sheetData>
    <row r="1" spans="1:34">
      <c r="A1" s="3"/>
      <c r="B1" s="3"/>
      <c r="D1" s="3"/>
      <c r="E1" s="3"/>
      <c r="F1" s="38"/>
      <c r="G1" s="38" t="s">
        <v>622</v>
      </c>
      <c r="H1" s="38"/>
      <c r="I1" s="34"/>
      <c r="J1" s="2" t="s">
        <v>623</v>
      </c>
      <c r="K1" s="2" t="s">
        <v>623</v>
      </c>
      <c r="L1" s="2" t="s">
        <v>623</v>
      </c>
      <c r="M1" s="2" t="s">
        <v>623</v>
      </c>
      <c r="N1" s="2" t="s">
        <v>623</v>
      </c>
      <c r="O1" s="2" t="s">
        <v>623</v>
      </c>
      <c r="P1" s="2" t="s">
        <v>623</v>
      </c>
      <c r="Q1" s="2" t="s">
        <v>623</v>
      </c>
      <c r="R1" s="2" t="s">
        <v>623</v>
      </c>
      <c r="S1" s="2" t="s">
        <v>623</v>
      </c>
      <c r="T1" s="2" t="s">
        <v>623</v>
      </c>
      <c r="U1" s="2" t="s">
        <v>623</v>
      </c>
      <c r="V1" s="2" t="s">
        <v>623</v>
      </c>
      <c r="W1" s="2" t="s">
        <v>623</v>
      </c>
      <c r="X1" s="2" t="s">
        <v>623</v>
      </c>
      <c r="Y1" s="2" t="s">
        <v>623</v>
      </c>
      <c r="Z1" s="2" t="s">
        <v>623</v>
      </c>
      <c r="AA1" s="2" t="s">
        <v>623</v>
      </c>
      <c r="AB1" s="2" t="s">
        <v>623</v>
      </c>
      <c r="AC1" s="2" t="s">
        <v>623</v>
      </c>
      <c r="AE1" s="3"/>
      <c r="AF1" s="3"/>
      <c r="AG1" s="3"/>
      <c r="AH1" s="3"/>
    </row>
    <row r="2" spans="1:34" ht="13.5">
      <c r="A2" s="3"/>
      <c r="B2" s="3"/>
      <c r="D2" s="3"/>
      <c r="E2" s="3"/>
      <c r="F2" s="38"/>
      <c r="G2" s="38" t="s">
        <v>27</v>
      </c>
      <c r="H2" s="49"/>
      <c r="I2" s="63"/>
      <c r="J2" s="195" cm="1">
        <f t="array" aca="1" ref="J2" ca="1">SUMPRODUCT((DE_AT[Product Category]=$G2)*SUBTOTAL(109,OFFSET(INDEX(DE_AT[26M04],1),ROW(DE_AT[26M04])-MIN(ROW(DE_AT[26M04])),0,1)))</f>
        <v>11</v>
      </c>
      <c r="K2" s="195" cm="1">
        <f t="array" aca="1" ref="K2" ca="1">SUMPRODUCT((DE_AT[Product Category]=$G2)*SUBTOTAL(109,OFFSET(INDEX(DE_AT[26M05],1),ROW(DE_AT[26M05])-MIN(ROW(DE_AT[26M05])),0,1)))</f>
        <v>15</v>
      </c>
      <c r="L2" s="195" cm="1">
        <f t="array" aca="1" ref="L2" ca="1">SUMPRODUCT((DE_AT[Product Category]=$G2)*SUBTOTAL(109,OFFSET(INDEX(DE_AT[26M06],1),ROW(DE_AT[26M06])-MIN(ROW(DE_AT[26M06])),0,1)))</f>
        <v>17</v>
      </c>
      <c r="M2" s="195" cm="1">
        <f t="array" aca="1" ref="M2" ca="1">SUMPRODUCT((DE_AT[Product Category]=$G2)*SUBTOTAL(109,OFFSET(INDEX(DE_AT[26M07],1),ROW(DE_AT[26M07])-MIN(ROW(DE_AT[26M07])),0,1)))</f>
        <v>10</v>
      </c>
      <c r="N2" s="195" cm="1">
        <f t="array" aca="1" ref="N2" ca="1">SUMPRODUCT((DE_AT[Product Category]=$G2)*SUBTOTAL(109,OFFSET(INDEX(DE_AT[26M08],1),ROW(DE_AT[26M08])-MIN(ROW(DE_AT[26M08])),0,1)))</f>
        <v>16</v>
      </c>
      <c r="O2" s="195" cm="1">
        <f t="array" aca="1" ref="O2" ca="1">SUMPRODUCT((DE_AT[Product Category]=$G2)*SUBTOTAL(109,OFFSET(INDEX(DE_AT[26M09],1),ROW(DE_AT[26M09])-MIN(ROW(DE_AT[26M09])),0,1)))</f>
        <v>19</v>
      </c>
      <c r="P2" s="195" cm="1">
        <f t="array" aca="1" ref="P2" ca="1">SUMPRODUCT((DE_AT[Product Category]=$G2)*SUBTOTAL(109,OFFSET(INDEX(DE_AT[26M10],1),ROW(DE_AT[26M10])-MIN(ROW(DE_AT[26M10])),0,1)))</f>
        <v>15</v>
      </c>
      <c r="Q2" s="195" cm="1">
        <f t="array" aca="1" ref="Q2" ca="1">SUMPRODUCT((DE_AT[Product Category]=$G2)*SUBTOTAL(109,OFFSET(INDEX(DE_AT[26M11],1),ROW(DE_AT[26M11])-MIN(ROW(DE_AT[26M11])),0,1)))</f>
        <v>23</v>
      </c>
      <c r="R2" s="195" cm="1">
        <f t="array" aca="1" ref="R2" ca="1">SUMPRODUCT((DE_AT[Product Category]=$G2)*SUBTOTAL(109,OFFSET(INDEX(DE_AT[26M12],1),ROW(DE_AT[26M12])-MIN(ROW(DE_AT[26M12])),0,1)))</f>
        <v>12</v>
      </c>
      <c r="S2" s="195" cm="1">
        <f t="array" aca="1" ref="S2" ca="1">SUMPRODUCT((DE_AT[Product Category]=$G2)*SUBTOTAL(109,OFFSET(INDEX(DE_AT[26Q2],1),ROW(DE_AT[26Q2])-MIN(ROW(DE_AT[26Q2])),0,1)))</f>
        <v>42</v>
      </c>
      <c r="T2" s="195" cm="1">
        <f t="array" aca="1" ref="T2" ca="1">SUMPRODUCT((DE_AT[Product Category]=$G2)*SUBTOTAL(109,OFFSET(INDEX(DE_AT[26Q3],1),ROW(DE_AT[26Q3])-MIN(ROW(DE_AT[26Q3])),0,1)))</f>
        <v>45</v>
      </c>
      <c r="U2" s="195" cm="1">
        <f t="array" aca="1" ref="U2" ca="1">SUMPRODUCT((DE_AT[Product Category]=$G2)*SUBTOTAL(109,OFFSET(INDEX(DE_AT[26Q4],1),ROW(DE_AT[26Q4])-MIN(ROW(DE_AT[26Q4])),0,1)))</f>
        <v>50</v>
      </c>
      <c r="V2" s="195" cm="1">
        <f t="array" aca="1" ref="V2" ca="1">SUMPRODUCT((DE_AT[Product Category]=$G2)*SUBTOTAL(109,OFFSET(INDEX(DE_AT[27M01],1),ROW(DE_AT[27M01])-MIN(ROW(DE_AT[27M01])),0,1)))</f>
        <v>0</v>
      </c>
      <c r="W2" s="195" cm="1">
        <f t="array" aca="1" ref="W2" ca="1">SUMPRODUCT((DE_AT[Product Category]=$G2)*SUBTOTAL(109,OFFSET(INDEX(DE_AT[27M02],1),ROW(DE_AT[27M02])-MIN(ROW(DE_AT[27M02])),0,1)))</f>
        <v>0</v>
      </c>
      <c r="X2" s="195" cm="1">
        <f t="array" aca="1" ref="X2" ca="1">SUMPRODUCT((DE_AT[Product Category]=$G2)*SUBTOTAL(109,OFFSET(INDEX(DE_AT[27M03],1),ROW(DE_AT[27M03])-MIN(ROW(DE_AT[27M03])),0,1)))</f>
        <v>0</v>
      </c>
      <c r="Y2" s="195" cm="1">
        <f t="array" aca="1" ref="Y2" ca="1">SUMPRODUCT((DE_AT[Product Category]=$G2)*SUBTOTAL(109,OFFSET(INDEX(DE_AT[27M04],1),ROW(DE_AT[27M04])-MIN(ROW(DE_AT[27M04])),0,1)))</f>
        <v>0</v>
      </c>
      <c r="Z2" s="195" cm="1">
        <f t="array" aca="1" ref="Z2" ca="1">SUMPRODUCT((DE_AT[Product Category]=$G2)*SUBTOTAL(109,OFFSET(INDEX(DE_AT[27M05],1),ROW(DE_AT[27M05])-MIN(ROW(DE_AT[27M05])),0,1)))</f>
        <v>0</v>
      </c>
      <c r="AA2" s="195" cm="1">
        <f t="array" aca="1" ref="AA2" ca="1">SUMPRODUCT((DE_AT[Product Category]=$G2)*SUBTOTAL(109,OFFSET(INDEX(DE_AT[27M06],1),ROW(DE_AT[27M06])-MIN(ROW(DE_AT[27M06])),0,1)))</f>
        <v>0</v>
      </c>
      <c r="AB2" s="195" cm="1">
        <f t="array" aca="1" ref="AB2" ca="1">SUMPRODUCT((DE_AT[Product Category]=$G2)*SUBTOTAL(109,OFFSET(INDEX(DE_AT[27Q1],1),ROW(DE_AT[27Q1])-MIN(ROW(DE_AT[27Q1])),0,1)))</f>
        <v>0</v>
      </c>
      <c r="AC2" s="195" cm="1">
        <f t="array" aca="1" ref="AC2" ca="1">SUMPRODUCT((DE_AT[Product Category]=$G2)*SUBTOTAL(109,OFFSET(INDEX(DE_AT[27Q2],1),ROW(DE_AT[27Q2])-MIN(ROW(DE_AT[27Q2])),0,1)))</f>
        <v>0</v>
      </c>
      <c r="AD2" s="255"/>
      <c r="AE2" s="3"/>
      <c r="AF2" s="3"/>
      <c r="AG2" s="3"/>
      <c r="AH2" s="3"/>
    </row>
    <row r="3" spans="1:34" ht="13.5">
      <c r="A3" s="3"/>
      <c r="B3" s="3"/>
      <c r="D3" s="3"/>
      <c r="E3" s="3"/>
      <c r="F3" s="38"/>
      <c r="G3" s="38" t="s">
        <v>87</v>
      </c>
      <c r="H3" s="49"/>
      <c r="I3" s="63"/>
      <c r="J3" s="195" cm="1">
        <f t="array" aca="1" ref="J3" ca="1">SUMPRODUCT((DE_AT[Product Category]=$G3)*SUBTOTAL(109,OFFSET(INDEX(DE_AT[26M04],1),ROW(DE_AT[26M04])-MIN(ROW(DE_AT[26M04])),0,1)))</f>
        <v>0</v>
      </c>
      <c r="K3" s="195" cm="1">
        <f t="array" aca="1" ref="K3" ca="1">SUMPRODUCT((DE_AT[Product Category]=$G3)*SUBTOTAL(109,OFFSET(INDEX(DE_AT[26M05],1),ROW(DE_AT[26M05])-MIN(ROW(DE_AT[26M05])),0,1)))</f>
        <v>0</v>
      </c>
      <c r="L3" s="195" cm="1">
        <f t="array" aca="1" ref="L3" ca="1">SUMPRODUCT((DE_AT[Product Category]=$G3)*SUBTOTAL(109,OFFSET(INDEX(DE_AT[26M06],1),ROW(DE_AT[26M06])-MIN(ROW(DE_AT[26M06])),0,1)))</f>
        <v>0</v>
      </c>
      <c r="M3" s="195" cm="1">
        <f t="array" aca="1" ref="M3" ca="1">SUMPRODUCT((DE_AT[Product Category]=$G3)*SUBTOTAL(109,OFFSET(INDEX(DE_AT[26M07],1),ROW(DE_AT[26M07])-MIN(ROW(DE_AT[26M07])),0,1)))</f>
        <v>0</v>
      </c>
      <c r="N3" s="195" cm="1">
        <f t="array" aca="1" ref="N3" ca="1">SUMPRODUCT((DE_AT[Product Category]=$G3)*SUBTOTAL(109,OFFSET(INDEX(DE_AT[26M08],1),ROW(DE_AT[26M08])-MIN(ROW(DE_AT[26M08])),0,1)))</f>
        <v>0</v>
      </c>
      <c r="O3" s="195" cm="1">
        <f t="array" aca="1" ref="O3" ca="1">SUMPRODUCT((DE_AT[Product Category]=$G3)*SUBTOTAL(109,OFFSET(INDEX(DE_AT[26M09],1),ROW(DE_AT[26M09])-MIN(ROW(DE_AT[26M09])),0,1)))</f>
        <v>0</v>
      </c>
      <c r="P3" s="195" cm="1">
        <f t="array" aca="1" ref="P3" ca="1">SUMPRODUCT((DE_AT[Product Category]=$G3)*SUBTOTAL(109,OFFSET(INDEX(DE_AT[26M10],1),ROW(DE_AT[26M10])-MIN(ROW(DE_AT[26M10])),0,1)))</f>
        <v>0</v>
      </c>
      <c r="Q3" s="195" cm="1">
        <f t="array" aca="1" ref="Q3" ca="1">SUMPRODUCT((DE_AT[Product Category]=$G3)*SUBTOTAL(109,OFFSET(INDEX(DE_AT[26M11],1),ROW(DE_AT[26M11])-MIN(ROW(DE_AT[26M11])),0,1)))</f>
        <v>0</v>
      </c>
      <c r="R3" s="195" cm="1">
        <f t="array" aca="1" ref="R3" ca="1">SUMPRODUCT((DE_AT[Product Category]=$G3)*SUBTOTAL(109,OFFSET(INDEX(DE_AT[26M12],1),ROW(DE_AT[26M12])-MIN(ROW(DE_AT[26M12])),0,1)))</f>
        <v>0</v>
      </c>
      <c r="S3" s="195" cm="1">
        <f t="array" aca="1" ref="S3" ca="1">SUMPRODUCT((DE_AT[Product Category]=$G3)*SUBTOTAL(109,OFFSET(INDEX(DE_AT[26Q2],1),ROW(DE_AT[26Q2])-MIN(ROW(DE_AT[26Q2])),0,1)))</f>
        <v>0</v>
      </c>
      <c r="T3" s="195" cm="1">
        <f t="array" aca="1" ref="T3" ca="1">SUMPRODUCT((DE_AT[Product Category]=$G3)*SUBTOTAL(109,OFFSET(INDEX(DE_AT[26Q3],1),ROW(DE_AT[26Q3])-MIN(ROW(DE_AT[26Q3])),0,1)))</f>
        <v>0</v>
      </c>
      <c r="U3" s="195" cm="1">
        <f t="array" aca="1" ref="U3" ca="1">SUMPRODUCT((DE_AT[Product Category]=$G3)*SUBTOTAL(109,OFFSET(INDEX(DE_AT[26Q4],1),ROW(DE_AT[26Q4])-MIN(ROW(DE_AT[26Q4])),0,1)))</f>
        <v>0</v>
      </c>
      <c r="V3" s="195" cm="1">
        <f t="array" aca="1" ref="V3" ca="1">SUMPRODUCT((DE_AT[Product Category]=$G3)*SUBTOTAL(109,OFFSET(INDEX(DE_AT[27M01],1),ROW(DE_AT[27M01])-MIN(ROW(DE_AT[27M01])),0,1)))</f>
        <v>0</v>
      </c>
      <c r="W3" s="195" cm="1">
        <f t="array" aca="1" ref="W3" ca="1">SUMPRODUCT((DE_AT[Product Category]=$G3)*SUBTOTAL(109,OFFSET(INDEX(DE_AT[27M02],1),ROW(DE_AT[27M02])-MIN(ROW(DE_AT[27M02])),0,1)))</f>
        <v>0</v>
      </c>
      <c r="X3" s="195" cm="1">
        <f t="array" aca="1" ref="X3" ca="1">SUMPRODUCT((DE_AT[Product Category]=$G3)*SUBTOTAL(109,OFFSET(INDEX(DE_AT[27M03],1),ROW(DE_AT[27M03])-MIN(ROW(DE_AT[27M03])),0,1)))</f>
        <v>0</v>
      </c>
      <c r="Y3" s="195" cm="1">
        <f t="array" aca="1" ref="Y3" ca="1">SUMPRODUCT((DE_AT[Product Category]=$G3)*SUBTOTAL(109,OFFSET(INDEX(DE_AT[27M04],1),ROW(DE_AT[27M04])-MIN(ROW(DE_AT[27M04])),0,1)))</f>
        <v>0</v>
      </c>
      <c r="Z3" s="195" cm="1">
        <f t="array" aca="1" ref="Z3" ca="1">SUMPRODUCT((DE_AT[Product Category]=$G3)*SUBTOTAL(109,OFFSET(INDEX(DE_AT[27M05],1),ROW(DE_AT[27M05])-MIN(ROW(DE_AT[27M05])),0,1)))</f>
        <v>0</v>
      </c>
      <c r="AA3" s="195" cm="1">
        <f t="array" aca="1" ref="AA3" ca="1">SUMPRODUCT((DE_AT[Product Category]=$G3)*SUBTOTAL(109,OFFSET(INDEX(DE_AT[27M06],1),ROW(DE_AT[27M06])-MIN(ROW(DE_AT[27M06])),0,1)))</f>
        <v>0</v>
      </c>
      <c r="AB3" s="195" cm="1">
        <f t="array" aca="1" ref="AB3" ca="1">SUMPRODUCT((DE_AT[Product Category]=$G3)*SUBTOTAL(109,OFFSET(INDEX(DE_AT[27Q1],1),ROW(DE_AT[27Q1])-MIN(ROW(DE_AT[27Q1])),0,1)))</f>
        <v>0</v>
      </c>
      <c r="AC3" s="195" cm="1">
        <f t="array" aca="1" ref="AC3" ca="1">SUMPRODUCT((DE_AT[Product Category]=$G3)*SUBTOTAL(109,OFFSET(INDEX(DE_AT[27Q2],1),ROW(DE_AT[27Q2])-MIN(ROW(DE_AT[27Q2])),0,1)))</f>
        <v>0</v>
      </c>
      <c r="AD3" s="255"/>
      <c r="AE3" s="3"/>
      <c r="AF3" s="3"/>
      <c r="AG3" s="3"/>
      <c r="AH3" s="3"/>
    </row>
    <row r="4" spans="1:34" ht="13.5">
      <c r="A4" s="3"/>
      <c r="B4" s="3"/>
      <c r="D4" s="3"/>
      <c r="E4" s="3"/>
      <c r="F4" s="3"/>
      <c r="G4" s="38" t="s">
        <v>70</v>
      </c>
      <c r="H4" s="49"/>
      <c r="I4" s="64"/>
      <c r="J4" s="195" cm="1">
        <f t="array" aca="1" ref="J4" ca="1">SUMPRODUCT((DE_AT[Product Category]=$G4)*SUBTOTAL(109,OFFSET(INDEX(DE_AT[26M04],1),ROW(DE_AT[26M04])-MIN(ROW(DE_AT[26M04])),0,1)))</f>
        <v>45.490848</v>
      </c>
      <c r="K4" s="195" cm="1">
        <f t="array" aca="1" ref="K4" ca="1">SUMPRODUCT((DE_AT[Product Category]=$G4)*SUBTOTAL(109,OFFSET(INDEX(DE_AT[26M05],1),ROW(DE_AT[26M05])-MIN(ROW(DE_AT[26M05])),0,1)))</f>
        <v>26.176100000000002</v>
      </c>
      <c r="L4" s="195" cm="1">
        <f t="array" aca="1" ref="L4" ca="1">SUMPRODUCT((DE_AT[Product Category]=$G4)*SUBTOTAL(109,OFFSET(INDEX(DE_AT[26M06],1),ROW(DE_AT[26M06])-MIN(ROW(DE_AT[26M06])),0,1)))</f>
        <v>26.53603</v>
      </c>
      <c r="M4" s="195" cm="1">
        <f t="array" aca="1" ref="M4" ca="1">SUMPRODUCT((DE_AT[Product Category]=$G4)*SUBTOTAL(109,OFFSET(INDEX(DE_AT[26M07],1),ROW(DE_AT[26M07])-MIN(ROW(DE_AT[26M07])),0,1)))</f>
        <v>21.831099999999999</v>
      </c>
      <c r="N4" s="195" cm="1">
        <f t="array" aca="1" ref="N4" ca="1">SUMPRODUCT((DE_AT[Product Category]=$G4)*SUBTOTAL(109,OFFSET(INDEX(DE_AT[26M08],1),ROW(DE_AT[26M08])-MIN(ROW(DE_AT[26M08])),0,1)))</f>
        <v>4.9795380000000007</v>
      </c>
      <c r="O4" s="195" cm="1">
        <f t="array" aca="1" ref="O4" ca="1">SUMPRODUCT((DE_AT[Product Category]=$G4)*SUBTOTAL(109,OFFSET(INDEX(DE_AT[26M09],1),ROW(DE_AT[26M09])-MIN(ROW(DE_AT[26M09])),0,1)))</f>
        <v>50.162649999999999</v>
      </c>
      <c r="P4" s="195" cm="1">
        <f t="array" aca="1" ref="P4" ca="1">SUMPRODUCT((DE_AT[Product Category]=$G4)*SUBTOTAL(109,OFFSET(INDEX(DE_AT[26M10],1),ROW(DE_AT[26M10])-MIN(ROW(DE_AT[26M10])),0,1)))</f>
        <v>55.634550000000004</v>
      </c>
      <c r="Q4" s="195" cm="1">
        <f t="array" aca="1" ref="Q4" ca="1">SUMPRODUCT((DE_AT[Product Category]=$G4)*SUBTOTAL(109,OFFSET(INDEX(DE_AT[26M11],1),ROW(DE_AT[26M11])-MIN(ROW(DE_AT[26M11])),0,1)))</f>
        <v>69.486227999999997</v>
      </c>
      <c r="R4" s="195" cm="1">
        <f t="array" aca="1" ref="R4" ca="1">SUMPRODUCT((DE_AT[Product Category]=$G4)*SUBTOTAL(109,OFFSET(INDEX(DE_AT[26M12],1),ROW(DE_AT[26M12])-MIN(ROW(DE_AT[26M12])),0,1)))</f>
        <v>24.24428</v>
      </c>
      <c r="S4" s="195" cm="1">
        <f t="array" aca="1" ref="S4" ca="1">SUMPRODUCT((DE_AT[Product Category]=$G4)*SUBTOTAL(109,OFFSET(INDEX(DE_AT[26Q2],1),ROW(DE_AT[26Q2])-MIN(ROW(DE_AT[26Q2])),0,1)))</f>
        <v>98.272977999999995</v>
      </c>
      <c r="T4" s="195" cm="1">
        <f t="array" aca="1" ref="T4" ca="1">SUMPRODUCT((DE_AT[Product Category]=$G4)*SUBTOTAL(109,OFFSET(INDEX(DE_AT[26Q3],1),ROW(DE_AT[26Q3])-MIN(ROW(DE_AT[26Q3])),0,1)))</f>
        <v>76.973287999999997</v>
      </c>
      <c r="U4" s="195" cm="1">
        <f t="array" aca="1" ref="U4" ca="1">SUMPRODUCT((DE_AT[Product Category]=$G4)*SUBTOTAL(109,OFFSET(INDEX(DE_AT[26Q4],1),ROW(DE_AT[26Q4])-MIN(ROW(DE_AT[26Q4])),0,1)))</f>
        <v>149.365058</v>
      </c>
      <c r="V4" s="195" cm="1">
        <f t="array" aca="1" ref="V4" ca="1">SUMPRODUCT((DE_AT[Product Category]=$G4)*SUBTOTAL(109,OFFSET(INDEX(DE_AT[27M01],1),ROW(DE_AT[27M01])-MIN(ROW(DE_AT[27M01])),0,1)))</f>
        <v>0</v>
      </c>
      <c r="W4" s="195" cm="1">
        <f t="array" aca="1" ref="W4" ca="1">SUMPRODUCT((DE_AT[Product Category]=$G4)*SUBTOTAL(109,OFFSET(INDEX(DE_AT[27M02],1),ROW(DE_AT[27M02])-MIN(ROW(DE_AT[27M02])),0,1)))</f>
        <v>0</v>
      </c>
      <c r="X4" s="195" cm="1">
        <f t="array" aca="1" ref="X4" ca="1">SUMPRODUCT((DE_AT[Product Category]=$G4)*SUBTOTAL(109,OFFSET(INDEX(DE_AT[27M03],1),ROW(DE_AT[27M03])-MIN(ROW(DE_AT[27M03])),0,1)))</f>
        <v>0</v>
      </c>
      <c r="Y4" s="195" cm="1">
        <f t="array" aca="1" ref="Y4" ca="1">SUMPRODUCT((DE_AT[Product Category]=$G4)*SUBTOTAL(109,OFFSET(INDEX(DE_AT[27M04],1),ROW(DE_AT[27M04])-MIN(ROW(DE_AT[27M04])),0,1)))</f>
        <v>0</v>
      </c>
      <c r="Z4" s="195" cm="1">
        <f t="array" aca="1" ref="Z4" ca="1">SUMPRODUCT((DE_AT[Product Category]=$G4)*SUBTOTAL(109,OFFSET(INDEX(DE_AT[27M05],1),ROW(DE_AT[27M05])-MIN(ROW(DE_AT[27M05])),0,1)))</f>
        <v>0</v>
      </c>
      <c r="AA4" s="195" cm="1">
        <f t="array" aca="1" ref="AA4" ca="1">SUMPRODUCT((DE_AT[Product Category]=$G4)*SUBTOTAL(109,OFFSET(INDEX(DE_AT[27M06],1),ROW(DE_AT[27M06])-MIN(ROW(DE_AT[27M06])),0,1)))</f>
        <v>0</v>
      </c>
      <c r="AB4" s="195" cm="1">
        <f t="array" aca="1" ref="AB4" ca="1">SUMPRODUCT((DE_AT[Product Category]=$G4)*SUBTOTAL(109,OFFSET(INDEX(DE_AT[27Q1],1),ROW(DE_AT[27Q1])-MIN(ROW(DE_AT[27Q1])),0,1)))</f>
        <v>0</v>
      </c>
      <c r="AC4" s="195" cm="1">
        <f t="array" aca="1" ref="AC4" ca="1">SUMPRODUCT((DE_AT[Product Category]=$G4)*SUBTOTAL(109,OFFSET(INDEX(DE_AT[27Q2],1),ROW(DE_AT[27Q2])-MIN(ROW(DE_AT[27Q2])),0,1)))</f>
        <v>0</v>
      </c>
      <c r="AD4" s="255"/>
      <c r="AE4" s="3"/>
      <c r="AF4" s="3"/>
      <c r="AG4" s="3"/>
      <c r="AH4" s="3"/>
    </row>
    <row r="5" spans="1:34" ht="14">
      <c r="A5" s="10" t="s">
        <v>45</v>
      </c>
      <c r="B5" s="11" t="s">
        <v>1</v>
      </c>
      <c r="C5" s="10" t="s">
        <v>92</v>
      </c>
      <c r="D5" s="10" t="s">
        <v>624</v>
      </c>
      <c r="E5" s="10" t="s">
        <v>3</v>
      </c>
      <c r="F5" s="10" t="s">
        <v>28</v>
      </c>
      <c r="G5" s="11" t="s">
        <v>5</v>
      </c>
      <c r="H5" s="11" t="s">
        <v>93</v>
      </c>
      <c r="I5" s="9" t="s">
        <v>94</v>
      </c>
      <c r="J5" s="12" t="s">
        <v>95</v>
      </c>
      <c r="K5" s="12" t="s">
        <v>96</v>
      </c>
      <c r="L5" s="12" t="s">
        <v>97</v>
      </c>
      <c r="M5" s="12" t="s">
        <v>98</v>
      </c>
      <c r="N5" s="12" t="s">
        <v>99</v>
      </c>
      <c r="O5" s="12" t="s">
        <v>625</v>
      </c>
      <c r="P5" s="12" t="s">
        <v>34</v>
      </c>
      <c r="Q5" s="12" t="s">
        <v>101</v>
      </c>
      <c r="R5" s="12" t="s">
        <v>36</v>
      </c>
      <c r="S5" s="193" t="s">
        <v>626</v>
      </c>
      <c r="T5" s="193" t="s">
        <v>627</v>
      </c>
      <c r="U5" s="107" t="s">
        <v>628</v>
      </c>
      <c r="V5" s="107" t="s">
        <v>629</v>
      </c>
      <c r="W5" s="107" t="s">
        <v>103</v>
      </c>
      <c r="X5" s="107" t="s">
        <v>104</v>
      </c>
      <c r="Y5" s="107" t="s">
        <v>105</v>
      </c>
      <c r="Z5" s="107" t="s">
        <v>106</v>
      </c>
      <c r="AA5" s="107" t="s">
        <v>107</v>
      </c>
      <c r="AB5" s="107" t="s">
        <v>630</v>
      </c>
      <c r="AC5" s="107" t="s">
        <v>631</v>
      </c>
      <c r="AD5" s="107" t="s">
        <v>632</v>
      </c>
      <c r="AE5" s="78" t="s">
        <v>26</v>
      </c>
      <c r="AF5" s="36"/>
      <c r="AG5" s="36"/>
      <c r="AH5" s="36"/>
    </row>
    <row r="6" spans="1:34" ht="14.5">
      <c r="A6" s="14" t="s">
        <v>32</v>
      </c>
      <c r="B6" s="1" t="s">
        <v>333</v>
      </c>
      <c r="C6" s="3" t="s">
        <v>321</v>
      </c>
      <c r="D6" s="2" t="str">
        <f>VLOOKUP(DE_AT[[#This Row],[Product Line]],Prod_T6[],5,0)</f>
        <v>Sunpower</v>
      </c>
      <c r="E6" s="2" t="s">
        <v>118</v>
      </c>
      <c r="F6" s="2" t="s">
        <v>119</v>
      </c>
      <c r="G6" s="2" t="s">
        <v>136</v>
      </c>
      <c r="H6" s="62"/>
      <c r="I6" s="40" t="s">
        <v>117</v>
      </c>
      <c r="J6" s="13">
        <v>0</v>
      </c>
      <c r="K6" s="13">
        <v>0.03</v>
      </c>
      <c r="L6" s="13">
        <v>0.05</v>
      </c>
      <c r="M6" s="13">
        <v>0</v>
      </c>
      <c r="N6" s="13">
        <v>0.1</v>
      </c>
      <c r="O6" s="13">
        <v>0</v>
      </c>
      <c r="P6" s="13">
        <v>0</v>
      </c>
      <c r="Q6" s="13">
        <v>0</v>
      </c>
      <c r="R6" s="13">
        <v>0</v>
      </c>
      <c r="S6" s="32"/>
      <c r="T6" s="69">
        <f>SUM(DE_AT[[#This Row],[26M07]:[26M09]])</f>
        <v>0.1</v>
      </c>
      <c r="U6" s="69">
        <f>SUM(DE_AT[[#This Row],[26M10]:[26M12]])</f>
        <v>0</v>
      </c>
      <c r="V6" s="256"/>
      <c r="W6" s="256"/>
      <c r="X6" s="256"/>
      <c r="Y6" s="256"/>
      <c r="Z6" s="256"/>
      <c r="AA6" s="256"/>
      <c r="AB6" s="256">
        <f>SUM(DE_AT[[#This Row],[27M01]:[27M03]])</f>
        <v>0</v>
      </c>
      <c r="AC6" s="256">
        <f>SUM(DE_AT[[#This Row],[27M04]:[27M06]])</f>
        <v>0</v>
      </c>
      <c r="AD6" s="256" t="str">
        <f>IF(SUM(DE_AT[[#This Row],[26Q2]:[26Q4]])+SUM(DE_AT[[#This Row],[27Q1]:[27Q2]])=0,"No FSCT",IF(AND(SUM(DE_AT[[#This Row],[26Q2]:[26Q4]])&gt;0,SUM(DE_AT[[#This Row],[27Q1]:[27Q2]])=0),"YES","NO"))</f>
        <v>YES</v>
      </c>
      <c r="AE6" s="85" t="str">
        <f>VLOOKUP(DE_AT[[#This Row],[Product Line]],Prod_T6[],4,0)</f>
        <v>PV</v>
      </c>
      <c r="AH6" s="2" t="str" cm="1">
        <f t="array" ref="AH6:AH159">DE_AT[Stage]</f>
        <v>3 - Negotiation</v>
      </c>
    </row>
    <row r="7" spans="1:34" ht="14.5">
      <c r="A7" s="14" t="s">
        <v>32</v>
      </c>
      <c r="B7" s="1" t="s">
        <v>333</v>
      </c>
      <c r="C7" s="3" t="s">
        <v>321</v>
      </c>
      <c r="D7" s="2" t="str">
        <f>VLOOKUP(DE_AT[[#This Row],[Product Line]],Prod_T6[],5,0)</f>
        <v>Sunpower</v>
      </c>
      <c r="E7" s="2" t="s">
        <v>118</v>
      </c>
      <c r="F7" s="2" t="s">
        <v>255</v>
      </c>
      <c r="G7" s="2" t="s">
        <v>120</v>
      </c>
      <c r="H7" s="62"/>
      <c r="I7" s="40" t="s">
        <v>117</v>
      </c>
      <c r="J7" s="13">
        <v>0</v>
      </c>
      <c r="K7" s="13">
        <v>0</v>
      </c>
      <c r="L7" s="13">
        <v>0.1</v>
      </c>
      <c r="M7" s="13">
        <v>0</v>
      </c>
      <c r="N7" s="13">
        <v>0</v>
      </c>
      <c r="O7" s="13">
        <v>0</v>
      </c>
      <c r="P7" s="13">
        <v>0</v>
      </c>
      <c r="Q7" s="13">
        <v>0.3</v>
      </c>
      <c r="R7" s="13">
        <v>0</v>
      </c>
      <c r="S7" s="32">
        <f>SUM(DE_AT[[#This Row],[26M04]:[26M06]])</f>
        <v>0.1</v>
      </c>
      <c r="T7" s="69">
        <f>SUM(DE_AT[[#This Row],[26M07]:[26M09]])</f>
        <v>0</v>
      </c>
      <c r="U7" s="69">
        <f>SUM(DE_AT[[#This Row],[26M10]:[26M12]])</f>
        <v>0.3</v>
      </c>
      <c r="V7" s="256"/>
      <c r="W7" s="256"/>
      <c r="X7" s="256"/>
      <c r="Y7" s="256"/>
      <c r="Z7" s="256"/>
      <c r="AA7" s="256"/>
      <c r="AB7" s="256">
        <f>SUM(DE_AT[[#This Row],[27M01]:[27M03]])</f>
        <v>0</v>
      </c>
      <c r="AC7" s="256">
        <f>SUM(DE_AT[[#This Row],[27M04]:[27M06]])</f>
        <v>0</v>
      </c>
      <c r="AD7" s="256" t="str">
        <f>IF(SUM(DE_AT[[#This Row],[26Q2]:[26Q4]])+SUM(DE_AT[[#This Row],[27Q1]:[27Q2]])=0,"No FSCT",IF(AND(SUM(DE_AT[[#This Row],[26Q2]:[26Q4]])&gt;0,SUM(DE_AT[[#This Row],[27Q1]:[27Q2]])=0),"YES","NO"))</f>
        <v>YES</v>
      </c>
      <c r="AE7" s="85" t="str">
        <f>VLOOKUP(DE_AT[[#This Row],[Product Line]],Prod_T6[],4,0)</f>
        <v>PV</v>
      </c>
      <c r="AH7" s="2" t="str">
        <v>5 - Finalize contract</v>
      </c>
    </row>
    <row r="8" spans="1:34" ht="14.5">
      <c r="A8" s="14" t="s">
        <v>32</v>
      </c>
      <c r="B8" s="1" t="s">
        <v>333</v>
      </c>
      <c r="C8" s="3" t="s">
        <v>321</v>
      </c>
      <c r="D8" s="2" t="str">
        <f>VLOOKUP(DE_AT[[#This Row],[Product Line]],Prod_T6[],5,0)</f>
        <v>Sunpower</v>
      </c>
      <c r="E8" s="2" t="s">
        <v>276</v>
      </c>
      <c r="F8" s="2" t="s">
        <v>322</v>
      </c>
      <c r="G8" s="2" t="s">
        <v>136</v>
      </c>
      <c r="H8" s="62"/>
      <c r="I8" s="40" t="s">
        <v>117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0.1</v>
      </c>
      <c r="Q8" s="13">
        <v>0</v>
      </c>
      <c r="R8" s="13">
        <v>0.1</v>
      </c>
      <c r="S8" s="32">
        <f>SUM(DE_AT[[#This Row],[26M04]:[26M06]])</f>
        <v>0</v>
      </c>
      <c r="T8" s="69">
        <f>SUM(DE_AT[[#This Row],[26M07]:[26M09]])</f>
        <v>0</v>
      </c>
      <c r="U8" s="69">
        <f>SUM(DE_AT[[#This Row],[26M10]:[26M12]])</f>
        <v>0.2</v>
      </c>
      <c r="V8" s="256"/>
      <c r="W8" s="256"/>
      <c r="X8" s="256"/>
      <c r="Y8" s="256"/>
      <c r="Z8" s="256"/>
      <c r="AA8" s="256"/>
      <c r="AB8" s="256">
        <f>SUM(DE_AT[[#This Row],[27M01]:[27M03]])</f>
        <v>0</v>
      </c>
      <c r="AC8" s="256">
        <f>SUM(DE_AT[[#This Row],[27M04]:[27M06]])</f>
        <v>0</v>
      </c>
      <c r="AD8" s="256" t="str">
        <f>IF(SUM(DE_AT[[#This Row],[26Q2]:[26Q4]])+SUM(DE_AT[[#This Row],[27Q1]:[27Q2]])=0,"No FSCT",IF(AND(SUM(DE_AT[[#This Row],[26Q2]:[26Q4]])&gt;0,SUM(DE_AT[[#This Row],[27Q1]:[27Q2]])=0),"YES","NO"))</f>
        <v>YES</v>
      </c>
      <c r="AE8" s="85" t="str">
        <f>VLOOKUP(DE_AT[[#This Row],[Product Line]],Prod_T6[],4,0)</f>
        <v>PV</v>
      </c>
      <c r="AH8" s="2" t="str">
        <v>3 - Negotiation</v>
      </c>
    </row>
    <row r="9" spans="1:34" ht="14.5">
      <c r="A9" s="14" t="s">
        <v>32</v>
      </c>
      <c r="B9" s="1" t="s">
        <v>333</v>
      </c>
      <c r="C9" s="3" t="s">
        <v>321</v>
      </c>
      <c r="D9" s="2" t="str">
        <f>VLOOKUP(DE_AT[[#This Row],[Product Line]],Prod_T6[],5,0)</f>
        <v>Sunpower</v>
      </c>
      <c r="E9" s="2" t="s">
        <v>323</v>
      </c>
      <c r="F9" s="2" t="s">
        <v>324</v>
      </c>
      <c r="G9" s="2" t="s">
        <v>136</v>
      </c>
      <c r="H9" s="62"/>
      <c r="I9" s="40" t="s">
        <v>117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32">
        <f>SUM(DE_AT[[#This Row],[26M04]:[26M06]])</f>
        <v>0</v>
      </c>
      <c r="T9" s="69">
        <f>SUM(DE_AT[[#This Row],[26M07]:[26M09]])</f>
        <v>0</v>
      </c>
      <c r="U9" s="69">
        <f>SUM(DE_AT[[#This Row],[26M10]:[26M12]])</f>
        <v>0</v>
      </c>
      <c r="V9" s="256"/>
      <c r="W9" s="256"/>
      <c r="X9" s="256"/>
      <c r="Y9" s="256"/>
      <c r="Z9" s="256"/>
      <c r="AA9" s="256"/>
      <c r="AB9" s="256">
        <f>SUM(DE_AT[[#This Row],[27M01]:[27M03]])</f>
        <v>0</v>
      </c>
      <c r="AC9" s="256">
        <f>SUM(DE_AT[[#This Row],[27M04]:[27M06]])</f>
        <v>0</v>
      </c>
      <c r="AD9" s="256" t="str">
        <f>IF(SUM(DE_AT[[#This Row],[26Q2]:[26Q4]])+SUM(DE_AT[[#This Row],[27Q1]:[27Q2]])=0,"No FSCT",IF(AND(SUM(DE_AT[[#This Row],[26Q2]:[26Q4]])&gt;0,SUM(DE_AT[[#This Row],[27Q1]:[27Q2]])=0),"YES","NO"))</f>
        <v>No FSCT</v>
      </c>
      <c r="AE9" s="85" t="str">
        <f>VLOOKUP(DE_AT[[#This Row],[Product Line]],Prod_T6[],4,0)</f>
        <v>PV</v>
      </c>
      <c r="AH9" s="2" t="str">
        <v>3 - Negotiation</v>
      </c>
    </row>
    <row r="10" spans="1:34" ht="14.5">
      <c r="A10" s="14" t="s">
        <v>32</v>
      </c>
      <c r="B10" s="1" t="s">
        <v>334</v>
      </c>
      <c r="C10" s="3" t="s">
        <v>321</v>
      </c>
      <c r="D10" s="2" t="str">
        <f>VLOOKUP(DE_AT[[#This Row],[Product Line]],Prod_T6[],5,0)</f>
        <v>Sunpower</v>
      </c>
      <c r="E10" s="2" t="s">
        <v>118</v>
      </c>
      <c r="F10" s="2" t="s">
        <v>255</v>
      </c>
      <c r="G10" s="2" t="s">
        <v>120</v>
      </c>
      <c r="H10" s="62"/>
      <c r="I10" s="40" t="s">
        <v>117</v>
      </c>
      <c r="J10" s="13">
        <v>0</v>
      </c>
      <c r="K10" s="13">
        <v>0</v>
      </c>
      <c r="L10" s="13">
        <v>0.4</v>
      </c>
      <c r="M10" s="13">
        <v>0</v>
      </c>
      <c r="N10" s="13">
        <v>0.3</v>
      </c>
      <c r="O10" s="13">
        <v>0</v>
      </c>
      <c r="P10" s="13">
        <v>0</v>
      </c>
      <c r="Q10" s="13">
        <v>0.3</v>
      </c>
      <c r="R10" s="13">
        <v>0</v>
      </c>
      <c r="S10" s="32">
        <f>SUM(DE_AT[[#This Row],[26M04]:[26M06]])</f>
        <v>0.4</v>
      </c>
      <c r="T10" s="69">
        <f>SUM(DE_AT[[#This Row],[26M07]:[26M09]])</f>
        <v>0.3</v>
      </c>
      <c r="U10" s="69">
        <f>SUM(DE_AT[[#This Row],[26M10]:[26M12]])</f>
        <v>0.3</v>
      </c>
      <c r="V10" s="256"/>
      <c r="W10" s="256"/>
      <c r="X10" s="256"/>
      <c r="Y10" s="256"/>
      <c r="Z10" s="256"/>
      <c r="AA10" s="256"/>
      <c r="AB10" s="256">
        <f>SUM(DE_AT[[#This Row],[27M01]:[27M03]])</f>
        <v>0</v>
      </c>
      <c r="AC10" s="256">
        <f>SUM(DE_AT[[#This Row],[27M04]:[27M06]])</f>
        <v>0</v>
      </c>
      <c r="AD10" s="256" t="str">
        <f>IF(SUM(DE_AT[[#This Row],[26Q2]:[26Q4]])+SUM(DE_AT[[#This Row],[27Q1]:[27Q2]])=0,"No FSCT",IF(AND(SUM(DE_AT[[#This Row],[26Q2]:[26Q4]])&gt;0,SUM(DE_AT[[#This Row],[27Q1]:[27Q2]])=0),"YES","NO"))</f>
        <v>YES</v>
      </c>
      <c r="AE10" s="85" t="str">
        <f>VLOOKUP(DE_AT[[#This Row],[Product Line]],Prod_T6[],4,0)</f>
        <v>PV</v>
      </c>
      <c r="AH10" s="2" t="str">
        <v>5 - Finalize contract</v>
      </c>
    </row>
    <row r="11" spans="1:34" ht="14.5">
      <c r="A11" s="14" t="s">
        <v>32</v>
      </c>
      <c r="B11" s="1" t="s">
        <v>334</v>
      </c>
      <c r="C11" s="3" t="s">
        <v>321</v>
      </c>
      <c r="D11" s="2" t="str">
        <f>VLOOKUP(DE_AT[[#This Row],[Product Line]],Prod_T6[],5,0)</f>
        <v>Sunpower</v>
      </c>
      <c r="E11" s="2" t="s">
        <v>276</v>
      </c>
      <c r="F11" s="2" t="s">
        <v>277</v>
      </c>
      <c r="G11" s="2" t="s">
        <v>120</v>
      </c>
      <c r="H11" s="62"/>
      <c r="I11" s="40" t="s">
        <v>117</v>
      </c>
      <c r="J11" s="13">
        <v>0.4</v>
      </c>
      <c r="K11" s="13">
        <v>0</v>
      </c>
      <c r="L11" s="13">
        <v>0</v>
      </c>
      <c r="M11" s="13">
        <v>0</v>
      </c>
      <c r="N11" s="13">
        <v>0.1</v>
      </c>
      <c r="O11" s="13">
        <v>0</v>
      </c>
      <c r="P11" s="13">
        <v>0</v>
      </c>
      <c r="Q11" s="13">
        <v>0</v>
      </c>
      <c r="R11" s="13">
        <v>0</v>
      </c>
      <c r="S11" s="32">
        <f>SUM(DE_AT[[#This Row],[26M04]:[26M06]])</f>
        <v>0.4</v>
      </c>
      <c r="T11" s="69">
        <f>SUM(DE_AT[[#This Row],[26M07]:[26M09]])</f>
        <v>0.1</v>
      </c>
      <c r="U11" s="69">
        <f>SUM(DE_AT[[#This Row],[26M10]:[26M12]])</f>
        <v>0</v>
      </c>
      <c r="V11" s="256"/>
      <c r="W11" s="256"/>
      <c r="X11" s="256"/>
      <c r="Y11" s="256"/>
      <c r="Z11" s="256"/>
      <c r="AA11" s="256"/>
      <c r="AB11" s="256">
        <f>SUM(DE_AT[[#This Row],[27M01]:[27M03]])</f>
        <v>0</v>
      </c>
      <c r="AC11" s="256">
        <f>SUM(DE_AT[[#This Row],[27M04]:[27M06]])</f>
        <v>0</v>
      </c>
      <c r="AD11" s="256" t="str">
        <f>IF(SUM(DE_AT[[#This Row],[26Q2]:[26Q4]])+SUM(DE_AT[[#This Row],[27Q1]:[27Q2]])=0,"No FSCT",IF(AND(SUM(DE_AT[[#This Row],[26Q2]:[26Q4]])&gt;0,SUM(DE_AT[[#This Row],[27Q1]:[27Q2]])=0),"YES","NO"))</f>
        <v>YES</v>
      </c>
      <c r="AE11" s="85" t="str">
        <f>VLOOKUP(DE_AT[[#This Row],[Product Line]],Prod_T6[],4,0)</f>
        <v>PV</v>
      </c>
      <c r="AH11" s="2" t="str">
        <v>5 - Finalize contract</v>
      </c>
    </row>
    <row r="12" spans="1:34" ht="14.5">
      <c r="A12" s="14" t="s">
        <v>32</v>
      </c>
      <c r="B12" s="1" t="s">
        <v>334</v>
      </c>
      <c r="C12" s="3" t="s">
        <v>321</v>
      </c>
      <c r="D12" s="2" t="str">
        <f>VLOOKUP(DE_AT[[#This Row],[Product Line]],Prod_T6[],5,0)</f>
        <v>Sunpower</v>
      </c>
      <c r="E12" s="2" t="s">
        <v>276</v>
      </c>
      <c r="F12" s="2" t="s">
        <v>322</v>
      </c>
      <c r="G12" s="2" t="s">
        <v>136</v>
      </c>
      <c r="H12" s="62"/>
      <c r="I12" s="40" t="s">
        <v>117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0.1</v>
      </c>
      <c r="Q12" s="13">
        <v>0.1</v>
      </c>
      <c r="R12" s="13">
        <v>0.1</v>
      </c>
      <c r="S12" s="32"/>
      <c r="T12" s="69">
        <f>SUM(DE_AT[[#This Row],[26M07]:[26M09]])</f>
        <v>0</v>
      </c>
      <c r="U12" s="69">
        <f>SUM(DE_AT[[#This Row],[26M10]:[26M12]])</f>
        <v>0.30000000000000004</v>
      </c>
      <c r="V12" s="256"/>
      <c r="W12" s="256"/>
      <c r="X12" s="256"/>
      <c r="Y12" s="256"/>
      <c r="Z12" s="256"/>
      <c r="AA12" s="256"/>
      <c r="AB12" s="256">
        <f>SUM(DE_AT[[#This Row],[27M01]:[27M03]])</f>
        <v>0</v>
      </c>
      <c r="AC12" s="256">
        <f>SUM(DE_AT[[#This Row],[27M04]:[27M06]])</f>
        <v>0</v>
      </c>
      <c r="AD12" s="256" t="str">
        <f>IF(SUM(DE_AT[[#This Row],[26Q2]:[26Q4]])+SUM(DE_AT[[#This Row],[27Q1]:[27Q2]])=0,"No FSCT",IF(AND(SUM(DE_AT[[#This Row],[26Q2]:[26Q4]])&gt;0,SUM(DE_AT[[#This Row],[27Q1]:[27Q2]])=0),"YES","NO"))</f>
        <v>YES</v>
      </c>
      <c r="AE12" s="85" t="str">
        <f>VLOOKUP(DE_AT[[#This Row],[Product Line]],Prod_T6[],4,0)</f>
        <v>PV</v>
      </c>
      <c r="AH12" s="2" t="str">
        <v>3 - Negotiation</v>
      </c>
    </row>
    <row r="13" spans="1:34" ht="14.5">
      <c r="A13" s="14" t="s">
        <v>32</v>
      </c>
      <c r="B13" s="1" t="s">
        <v>334</v>
      </c>
      <c r="C13" s="3" t="s">
        <v>321</v>
      </c>
      <c r="D13" s="2" t="str">
        <f>VLOOKUP(DE_AT[[#This Row],[Product Line]],Prod_T6[],5,0)</f>
        <v>Sunpower</v>
      </c>
      <c r="E13" s="2" t="s">
        <v>323</v>
      </c>
      <c r="F13" s="2" t="s">
        <v>324</v>
      </c>
      <c r="G13" s="2" t="s">
        <v>136</v>
      </c>
      <c r="H13" s="62"/>
      <c r="I13" s="40" t="s">
        <v>117</v>
      </c>
      <c r="J13" s="13">
        <v>0</v>
      </c>
      <c r="K13" s="13">
        <v>0</v>
      </c>
      <c r="L13" s="13">
        <v>0.4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32">
        <f>SUM(DE_AT[[#This Row],[26M04]:[26M06]])</f>
        <v>0.4</v>
      </c>
      <c r="T13" s="69">
        <f>SUM(DE_AT[[#This Row],[26M07]:[26M09]])</f>
        <v>0</v>
      </c>
      <c r="U13" s="69">
        <f>SUM(DE_AT[[#This Row],[26M10]:[26M12]])</f>
        <v>0</v>
      </c>
      <c r="V13" s="256"/>
      <c r="W13" s="256"/>
      <c r="X13" s="256"/>
      <c r="Y13" s="256"/>
      <c r="Z13" s="256"/>
      <c r="AA13" s="256"/>
      <c r="AB13" s="256">
        <f>SUM(DE_AT[[#This Row],[27M01]:[27M03]])</f>
        <v>0</v>
      </c>
      <c r="AC13" s="256">
        <f>SUM(DE_AT[[#This Row],[27M04]:[27M06]])</f>
        <v>0</v>
      </c>
      <c r="AD13" s="256" t="str">
        <f>IF(SUM(DE_AT[[#This Row],[26Q2]:[26Q4]])+SUM(DE_AT[[#This Row],[27Q1]:[27Q2]])=0,"No FSCT",IF(AND(SUM(DE_AT[[#This Row],[26Q2]:[26Q4]])&gt;0,SUM(DE_AT[[#This Row],[27Q1]:[27Q2]])=0),"YES","NO"))</f>
        <v>YES</v>
      </c>
      <c r="AE13" s="85" t="str">
        <f>VLOOKUP(DE_AT[[#This Row],[Product Line]],Prod_T6[],4,0)</f>
        <v>PV</v>
      </c>
      <c r="AH13" s="3" t="str">
        <v>3 - Negotiation</v>
      </c>
    </row>
    <row r="14" spans="1:34" ht="14.5">
      <c r="A14" s="14" t="s">
        <v>32</v>
      </c>
      <c r="B14" s="1" t="s">
        <v>335</v>
      </c>
      <c r="C14" s="3" t="s">
        <v>321</v>
      </c>
      <c r="D14" s="2" t="str">
        <f>VLOOKUP(DE_AT[[#This Row],[Product Line]],Prod_T6[],5,0)</f>
        <v>Sunpower</v>
      </c>
      <c r="E14" s="2" t="s">
        <v>118</v>
      </c>
      <c r="F14" s="2" t="s">
        <v>119</v>
      </c>
      <c r="G14" s="2" t="s">
        <v>120</v>
      </c>
      <c r="H14" s="62"/>
      <c r="I14" s="40" t="s">
        <v>117</v>
      </c>
      <c r="J14" s="13">
        <v>0</v>
      </c>
      <c r="K14" s="13">
        <v>0.05</v>
      </c>
      <c r="L14" s="13">
        <v>0</v>
      </c>
      <c r="M14" s="13">
        <v>0</v>
      </c>
      <c r="N14" s="13">
        <v>0</v>
      </c>
      <c r="O14" s="13">
        <v>0.1</v>
      </c>
      <c r="P14" s="13">
        <v>0</v>
      </c>
      <c r="Q14" s="13">
        <v>0</v>
      </c>
      <c r="R14" s="13">
        <v>0</v>
      </c>
      <c r="S14" s="32">
        <f>SUM(DE_AT[[#This Row],[26M04]:[26M06]])</f>
        <v>0.05</v>
      </c>
      <c r="T14" s="69">
        <f>SUM(DE_AT[[#This Row],[26M07]:[26M09]])</f>
        <v>0.1</v>
      </c>
      <c r="U14" s="69">
        <f>SUM(DE_AT[[#This Row],[26M10]:[26M12]])</f>
        <v>0</v>
      </c>
      <c r="V14" s="256"/>
      <c r="W14" s="256"/>
      <c r="X14" s="256"/>
      <c r="Y14" s="256"/>
      <c r="Z14" s="256"/>
      <c r="AA14" s="256"/>
      <c r="AB14" s="256">
        <f>SUM(DE_AT[[#This Row],[27M01]:[27M03]])</f>
        <v>0</v>
      </c>
      <c r="AC14" s="256">
        <f>SUM(DE_AT[[#This Row],[27M04]:[27M06]])</f>
        <v>0</v>
      </c>
      <c r="AD14" s="256" t="str">
        <f>IF(SUM(DE_AT[[#This Row],[26Q2]:[26Q4]])+SUM(DE_AT[[#This Row],[27Q1]:[27Q2]])=0,"No FSCT",IF(AND(SUM(DE_AT[[#This Row],[26Q2]:[26Q4]])&gt;0,SUM(DE_AT[[#This Row],[27Q1]:[27Q2]])=0),"YES","NO"))</f>
        <v>YES</v>
      </c>
      <c r="AE14" s="85" t="str">
        <f>VLOOKUP(DE_AT[[#This Row],[Product Line]],Prod_T6[],4,0)</f>
        <v>PV</v>
      </c>
      <c r="AF14" s="3"/>
      <c r="AG14" s="3"/>
      <c r="AH14" s="3" t="str">
        <v>5 - Finalize contract</v>
      </c>
    </row>
    <row r="15" spans="1:34" ht="14.5">
      <c r="A15" s="14" t="s">
        <v>32</v>
      </c>
      <c r="B15" s="1" t="s">
        <v>335</v>
      </c>
      <c r="C15" s="3" t="s">
        <v>321</v>
      </c>
      <c r="D15" s="2" t="str">
        <f>VLOOKUP(DE_AT[[#This Row],[Product Line]],Prod_T6[],5,0)</f>
        <v>Sunpower</v>
      </c>
      <c r="E15" s="2" t="s">
        <v>276</v>
      </c>
      <c r="F15" s="2" t="s">
        <v>277</v>
      </c>
      <c r="G15" s="2" t="s">
        <v>120</v>
      </c>
      <c r="H15" s="62"/>
      <c r="I15" s="40" t="s">
        <v>117</v>
      </c>
      <c r="J15" s="13">
        <v>0.02</v>
      </c>
      <c r="K15" s="13">
        <v>0</v>
      </c>
      <c r="L15" s="13">
        <v>0.02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32">
        <f>SUM(DE_AT[[#This Row],[26M04]:[26M06]])</f>
        <v>0.04</v>
      </c>
      <c r="T15" s="69">
        <f>SUM(DE_AT[[#This Row],[26M07]:[26M09]])</f>
        <v>0</v>
      </c>
      <c r="U15" s="69">
        <f>SUM(DE_AT[[#This Row],[26M10]:[26M12]])</f>
        <v>0</v>
      </c>
      <c r="V15" s="256"/>
      <c r="W15" s="256"/>
      <c r="X15" s="256"/>
      <c r="Y15" s="256"/>
      <c r="Z15" s="256"/>
      <c r="AA15" s="256"/>
      <c r="AB15" s="256">
        <f>SUM(DE_AT[[#This Row],[27M01]:[27M03]])</f>
        <v>0</v>
      </c>
      <c r="AC15" s="256">
        <f>SUM(DE_AT[[#This Row],[27M04]:[27M06]])</f>
        <v>0</v>
      </c>
      <c r="AD15" s="256" t="str">
        <f>IF(SUM(DE_AT[[#This Row],[26Q2]:[26Q4]])+SUM(DE_AT[[#This Row],[27Q1]:[27Q2]])=0,"No FSCT",IF(AND(SUM(DE_AT[[#This Row],[26Q2]:[26Q4]])&gt;0,SUM(DE_AT[[#This Row],[27Q1]:[27Q2]])=0),"YES","NO"))</f>
        <v>YES</v>
      </c>
      <c r="AE15" s="85" t="str">
        <f>VLOOKUP(DE_AT[[#This Row],[Product Line]],Prod_T6[],4,0)</f>
        <v>PV</v>
      </c>
      <c r="AF15" s="3"/>
      <c r="AG15" s="3"/>
      <c r="AH15" s="2" t="str">
        <v>5 - Finalize contract</v>
      </c>
    </row>
    <row r="16" spans="1:34" ht="14.5">
      <c r="A16" s="14" t="s">
        <v>32</v>
      </c>
      <c r="B16" s="1" t="s">
        <v>335</v>
      </c>
      <c r="C16" s="3" t="s">
        <v>321</v>
      </c>
      <c r="D16" s="2" t="str">
        <f>VLOOKUP(DE_AT[[#This Row],[Product Line]],Prod_T6[],5,0)</f>
        <v>Sunpower</v>
      </c>
      <c r="E16" s="2" t="s">
        <v>276</v>
      </c>
      <c r="F16" s="2" t="s">
        <v>322</v>
      </c>
      <c r="G16" s="2" t="s">
        <v>136</v>
      </c>
      <c r="H16" s="62"/>
      <c r="I16" s="40" t="s">
        <v>117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0.1</v>
      </c>
      <c r="Q16" s="13">
        <v>0</v>
      </c>
      <c r="R16" s="13">
        <v>0.1</v>
      </c>
      <c r="S16" s="32"/>
      <c r="T16" s="69">
        <f>SUM(DE_AT[[#This Row],[26M07]:[26M09]])</f>
        <v>0</v>
      </c>
      <c r="U16" s="69">
        <f>SUM(DE_AT[[#This Row],[26M10]:[26M12]])</f>
        <v>0.2</v>
      </c>
      <c r="V16" s="256"/>
      <c r="W16" s="256"/>
      <c r="X16" s="256"/>
      <c r="Y16" s="256"/>
      <c r="Z16" s="256"/>
      <c r="AA16" s="256"/>
      <c r="AB16" s="256">
        <f>SUM(DE_AT[[#This Row],[27M01]:[27M03]])</f>
        <v>0</v>
      </c>
      <c r="AC16" s="256">
        <f>SUM(DE_AT[[#This Row],[27M04]:[27M06]])</f>
        <v>0</v>
      </c>
      <c r="AD16" s="256" t="str">
        <f>IF(SUM(DE_AT[[#This Row],[26Q2]:[26Q4]])+SUM(DE_AT[[#This Row],[27Q1]:[27Q2]])=0,"No FSCT",IF(AND(SUM(DE_AT[[#This Row],[26Q2]:[26Q4]])&gt;0,SUM(DE_AT[[#This Row],[27Q1]:[27Q2]])=0),"YES","NO"))</f>
        <v>YES</v>
      </c>
      <c r="AE16" s="85" t="str">
        <f>VLOOKUP(DE_AT[[#This Row],[Product Line]],Prod_T6[],4,0)</f>
        <v>PV</v>
      </c>
      <c r="AH16" s="2" t="str">
        <v>3 - Negotiation</v>
      </c>
    </row>
    <row r="17" spans="1:34" ht="14.5">
      <c r="A17" s="14" t="s">
        <v>32</v>
      </c>
      <c r="B17" s="1" t="s">
        <v>335</v>
      </c>
      <c r="C17" s="3" t="s">
        <v>321</v>
      </c>
      <c r="D17" s="2" t="str">
        <f>VLOOKUP(DE_AT[[#This Row],[Product Line]],Prod_T6[],5,0)</f>
        <v>Sunpower</v>
      </c>
      <c r="E17" s="2" t="s">
        <v>323</v>
      </c>
      <c r="F17" s="2" t="s">
        <v>324</v>
      </c>
      <c r="G17" s="2" t="s">
        <v>136</v>
      </c>
      <c r="H17" s="62"/>
      <c r="I17" s="40" t="s">
        <v>117</v>
      </c>
      <c r="J17" s="13">
        <v>0</v>
      </c>
      <c r="K17" s="13">
        <v>0</v>
      </c>
      <c r="L17" s="13">
        <v>0.05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32">
        <f>SUM(DE_AT[[#This Row],[26M04]:[26M06]])</f>
        <v>0.05</v>
      </c>
      <c r="T17" s="69">
        <f>SUM(DE_AT[[#This Row],[26M07]:[26M09]])</f>
        <v>0</v>
      </c>
      <c r="U17" s="69">
        <f>SUM(DE_AT[[#This Row],[26M10]:[26M12]])</f>
        <v>0</v>
      </c>
      <c r="V17" s="256"/>
      <c r="W17" s="256"/>
      <c r="X17" s="256"/>
      <c r="Y17" s="256"/>
      <c r="Z17" s="256"/>
      <c r="AA17" s="256"/>
      <c r="AB17" s="256">
        <f>SUM(DE_AT[[#This Row],[27M01]:[27M03]])</f>
        <v>0</v>
      </c>
      <c r="AC17" s="256">
        <f>SUM(DE_AT[[#This Row],[27M04]:[27M06]])</f>
        <v>0</v>
      </c>
      <c r="AD17" s="256" t="str">
        <f>IF(SUM(DE_AT[[#This Row],[26Q2]:[26Q4]])+SUM(DE_AT[[#This Row],[27Q1]:[27Q2]])=0,"No FSCT",IF(AND(SUM(DE_AT[[#This Row],[26Q2]:[26Q4]])&gt;0,SUM(DE_AT[[#This Row],[27Q1]:[27Q2]])=0),"YES","NO"))</f>
        <v>YES</v>
      </c>
      <c r="AE17" s="85" t="str">
        <f>VLOOKUP(DE_AT[[#This Row],[Product Line]],Prod_T6[],4,0)</f>
        <v>PV</v>
      </c>
      <c r="AH17" s="2" t="str">
        <v>3 - Negotiation</v>
      </c>
    </row>
    <row r="18" spans="1:34" ht="14.5">
      <c r="A18" s="14" t="s">
        <v>32</v>
      </c>
      <c r="B18" s="1" t="s">
        <v>336</v>
      </c>
      <c r="C18" s="3" t="s">
        <v>321</v>
      </c>
      <c r="D18" s="2" t="str">
        <f>VLOOKUP(DE_AT[[#This Row],[Product Line]],Prod_T6[],5,0)</f>
        <v>TCL</v>
      </c>
      <c r="E18" s="2" t="s">
        <v>149</v>
      </c>
      <c r="F18" s="2" t="s">
        <v>289</v>
      </c>
      <c r="G18" s="2" t="s">
        <v>156</v>
      </c>
      <c r="H18" s="62"/>
      <c r="I18" s="40" t="s">
        <v>117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1</v>
      </c>
      <c r="P18" s="13">
        <v>0</v>
      </c>
      <c r="Q18" s="13">
        <v>1</v>
      </c>
      <c r="R18" s="13">
        <v>0</v>
      </c>
      <c r="S18" s="32">
        <f>SUM(DE_AT[[#This Row],[26M04]:[26M06]])</f>
        <v>0</v>
      </c>
      <c r="T18" s="69">
        <f>SUM(DE_AT[[#This Row],[26M07]:[26M09]])</f>
        <v>1</v>
      </c>
      <c r="U18" s="69">
        <f>SUM(DE_AT[[#This Row],[26M10]:[26M12]])</f>
        <v>1</v>
      </c>
      <c r="V18" s="256"/>
      <c r="W18" s="256"/>
      <c r="X18" s="256"/>
      <c r="Y18" s="256"/>
      <c r="Z18" s="256"/>
      <c r="AA18" s="256"/>
      <c r="AB18" s="256">
        <f>SUM(DE_AT[[#This Row],[27M01]:[27M03]])</f>
        <v>0</v>
      </c>
      <c r="AC18" s="256">
        <f>SUM(DE_AT[[#This Row],[27M04]:[27M06]])</f>
        <v>0</v>
      </c>
      <c r="AD18" s="256" t="str">
        <f>IF(SUM(DE_AT[[#This Row],[26Q2]:[26Q4]])+SUM(DE_AT[[#This Row],[27Q1]:[27Q2]])=0,"No FSCT",IF(AND(SUM(DE_AT[[#This Row],[26Q2]:[26Q4]])&gt;0,SUM(DE_AT[[#This Row],[27Q1]:[27Q2]])=0),"YES","NO"))</f>
        <v>YES</v>
      </c>
      <c r="AE18" s="85" t="str">
        <f>VLOOKUP(DE_AT[[#This Row],[Product Line]],Prod_T6[],4,0)</f>
        <v>PV</v>
      </c>
      <c r="AH18" s="2" t="str">
        <v>6 - Won</v>
      </c>
    </row>
    <row r="19" spans="1:34" ht="14.5">
      <c r="A19" s="14" t="s">
        <v>32</v>
      </c>
      <c r="B19" s="1" t="s">
        <v>336</v>
      </c>
      <c r="C19" s="3" t="s">
        <v>321</v>
      </c>
      <c r="D19" s="2" t="str">
        <f>VLOOKUP(DE_AT[[#This Row],[Product Line]],Prod_T6[],5,0)</f>
        <v>TCL</v>
      </c>
      <c r="E19" s="2" t="s">
        <v>314</v>
      </c>
      <c r="F19" s="2" t="s">
        <v>315</v>
      </c>
      <c r="G19" s="2" t="s">
        <v>136</v>
      </c>
      <c r="H19" s="62"/>
      <c r="I19" s="40" t="s">
        <v>117</v>
      </c>
      <c r="J19" s="13">
        <v>0</v>
      </c>
      <c r="K19" s="13">
        <v>0.4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32">
        <f>SUM(DE_AT[[#This Row],[26M04]:[26M06]])</f>
        <v>0.4</v>
      </c>
      <c r="T19" s="69">
        <f>SUM(DE_AT[[#This Row],[26M07]:[26M09]])</f>
        <v>0</v>
      </c>
      <c r="U19" s="69">
        <f>SUM(DE_AT[[#This Row],[26M10]:[26M12]])</f>
        <v>0</v>
      </c>
      <c r="V19" s="256"/>
      <c r="W19" s="256"/>
      <c r="X19" s="256"/>
      <c r="Y19" s="256"/>
      <c r="Z19" s="256"/>
      <c r="AA19" s="256"/>
      <c r="AB19" s="256">
        <f>SUM(DE_AT[[#This Row],[27M01]:[27M03]])</f>
        <v>0</v>
      </c>
      <c r="AC19" s="256">
        <f>SUM(DE_AT[[#This Row],[27M04]:[27M06]])</f>
        <v>0</v>
      </c>
      <c r="AD19" s="256" t="str">
        <f>IF(SUM(DE_AT[[#This Row],[26Q2]:[26Q4]])+SUM(DE_AT[[#This Row],[27Q1]:[27Q2]])=0,"No FSCT",IF(AND(SUM(DE_AT[[#This Row],[26Q2]:[26Q4]])&gt;0,SUM(DE_AT[[#This Row],[27Q1]:[27Q2]])=0),"YES","NO"))</f>
        <v>YES</v>
      </c>
      <c r="AE19" s="85" t="str">
        <f>VLOOKUP(DE_AT[[#This Row],[Product Line]],Prod_T6[],4,0)</f>
        <v>PV</v>
      </c>
      <c r="AH19" s="2" t="str">
        <v>3 - Negotiation</v>
      </c>
    </row>
    <row r="20" spans="1:34" ht="14.5">
      <c r="A20" s="14" t="s">
        <v>32</v>
      </c>
      <c r="B20" s="1" t="s">
        <v>337</v>
      </c>
      <c r="C20" s="3" t="s">
        <v>321</v>
      </c>
      <c r="D20" s="2" t="str">
        <f>VLOOKUP(DE_AT[[#This Row],[Product Line]],Prod_T6[],5,0)</f>
        <v>Sunpower</v>
      </c>
      <c r="E20" s="2" t="s">
        <v>276</v>
      </c>
      <c r="F20" s="2" t="s">
        <v>277</v>
      </c>
      <c r="G20" s="2" t="s">
        <v>120</v>
      </c>
      <c r="H20" s="62"/>
      <c r="I20" s="40" t="s">
        <v>117</v>
      </c>
      <c r="J20" s="13">
        <v>0.01</v>
      </c>
      <c r="K20" s="13">
        <v>0</v>
      </c>
      <c r="L20" s="13">
        <v>0.02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32">
        <f>SUM(DE_AT[[#This Row],[26M04]:[26M06]])</f>
        <v>0.03</v>
      </c>
      <c r="T20" s="69">
        <f>SUM(DE_AT[[#This Row],[26M07]:[26M09]])</f>
        <v>0</v>
      </c>
      <c r="U20" s="69">
        <f>SUM(DE_AT[[#This Row],[26M10]:[26M12]])</f>
        <v>0</v>
      </c>
      <c r="V20" s="256"/>
      <c r="W20" s="256"/>
      <c r="X20" s="256"/>
      <c r="Y20" s="256"/>
      <c r="Z20" s="256"/>
      <c r="AA20" s="256"/>
      <c r="AB20" s="256">
        <f>SUM(DE_AT[[#This Row],[27M01]:[27M03]])</f>
        <v>0</v>
      </c>
      <c r="AC20" s="256">
        <f>SUM(DE_AT[[#This Row],[27M04]:[27M06]])</f>
        <v>0</v>
      </c>
      <c r="AD20" s="256" t="str">
        <f>IF(SUM(DE_AT[[#This Row],[26Q2]:[26Q4]])+SUM(DE_AT[[#This Row],[27Q1]:[27Q2]])=0,"No FSCT",IF(AND(SUM(DE_AT[[#This Row],[26Q2]:[26Q4]])&gt;0,SUM(DE_AT[[#This Row],[27Q1]:[27Q2]])=0),"YES","NO"))</f>
        <v>YES</v>
      </c>
      <c r="AE20" s="85" t="str">
        <f>VLOOKUP(DE_AT[[#This Row],[Product Line]],Prod_T6[],4,0)</f>
        <v>PV</v>
      </c>
      <c r="AH20" s="2" t="str">
        <v>5 - Finalize contract</v>
      </c>
    </row>
    <row r="21" spans="1:34" ht="14.5">
      <c r="A21" s="14" t="s">
        <v>32</v>
      </c>
      <c r="B21" s="1" t="s">
        <v>337</v>
      </c>
      <c r="C21" s="3" t="s">
        <v>321</v>
      </c>
      <c r="D21" s="2" t="str">
        <f>VLOOKUP(DE_AT[[#This Row],[Product Line]],Prod_T6[],5,0)</f>
        <v>Sunpower</v>
      </c>
      <c r="E21" s="2" t="s">
        <v>276</v>
      </c>
      <c r="F21" s="2" t="s">
        <v>322</v>
      </c>
      <c r="G21" s="2" t="s">
        <v>136</v>
      </c>
      <c r="H21" s="62"/>
      <c r="I21" s="40" t="s">
        <v>117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0.05</v>
      </c>
      <c r="Q21" s="13">
        <v>0</v>
      </c>
      <c r="R21" s="13">
        <v>0.05</v>
      </c>
      <c r="S21" s="32">
        <f>SUM(DE_AT[[#This Row],[26M04]:[26M06]])</f>
        <v>0</v>
      </c>
      <c r="T21" s="69">
        <f>SUM(DE_AT[[#This Row],[26M07]:[26M09]])</f>
        <v>0</v>
      </c>
      <c r="U21" s="69">
        <f>SUM(DE_AT[[#This Row],[26M10]:[26M12]])</f>
        <v>0.1</v>
      </c>
      <c r="V21" s="256"/>
      <c r="W21" s="256"/>
      <c r="X21" s="256"/>
      <c r="Y21" s="256"/>
      <c r="Z21" s="256"/>
      <c r="AA21" s="256"/>
      <c r="AB21" s="256">
        <f>SUM(DE_AT[[#This Row],[27M01]:[27M03]])</f>
        <v>0</v>
      </c>
      <c r="AC21" s="256">
        <f>SUM(DE_AT[[#This Row],[27M04]:[27M06]])</f>
        <v>0</v>
      </c>
      <c r="AD21" s="256" t="str">
        <f>IF(SUM(DE_AT[[#This Row],[26Q2]:[26Q4]])+SUM(DE_AT[[#This Row],[27Q1]:[27Q2]])=0,"No FSCT",IF(AND(SUM(DE_AT[[#This Row],[26Q2]:[26Q4]])&gt;0,SUM(DE_AT[[#This Row],[27Q1]:[27Q2]])=0),"YES","NO"))</f>
        <v>YES</v>
      </c>
      <c r="AE21" s="85" t="str">
        <f>VLOOKUP(DE_AT[[#This Row],[Product Line]],Prod_T6[],4,0)</f>
        <v>PV</v>
      </c>
      <c r="AH21" s="2" t="str">
        <v>3 - Negotiation</v>
      </c>
    </row>
    <row r="22" spans="1:34" ht="14.5">
      <c r="A22" s="14" t="s">
        <v>32</v>
      </c>
      <c r="B22" s="1" t="s">
        <v>332</v>
      </c>
      <c r="C22" s="3" t="s">
        <v>321</v>
      </c>
      <c r="D22" s="2" t="str">
        <f>VLOOKUP(DE_AT[[#This Row],[Product Line]],Prod_T6[],5,0)</f>
        <v>Sunpower</v>
      </c>
      <c r="E22" s="2" t="s">
        <v>276</v>
      </c>
      <c r="F22" s="2" t="s">
        <v>322</v>
      </c>
      <c r="G22" s="2" t="s">
        <v>136</v>
      </c>
      <c r="H22" s="62"/>
      <c r="I22" s="40" t="s">
        <v>117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0.1</v>
      </c>
      <c r="Q22" s="13">
        <v>0</v>
      </c>
      <c r="R22" s="13">
        <v>0.1</v>
      </c>
      <c r="S22" s="32">
        <f>SUM(DE_AT[[#This Row],[26M04]:[26M06]])</f>
        <v>0</v>
      </c>
      <c r="T22" s="69">
        <f>SUM(DE_AT[[#This Row],[26M07]:[26M09]])</f>
        <v>0</v>
      </c>
      <c r="U22" s="69">
        <f>SUM(DE_AT[[#This Row],[26M10]:[26M12]])</f>
        <v>0.2</v>
      </c>
      <c r="V22" s="256"/>
      <c r="W22" s="256"/>
      <c r="X22" s="256"/>
      <c r="Y22" s="256"/>
      <c r="Z22" s="256"/>
      <c r="AA22" s="256"/>
      <c r="AB22" s="256">
        <f>SUM(DE_AT[[#This Row],[27M01]:[27M03]])</f>
        <v>0</v>
      </c>
      <c r="AC22" s="256">
        <f>SUM(DE_AT[[#This Row],[27M04]:[27M06]])</f>
        <v>0</v>
      </c>
      <c r="AD22" s="256" t="str">
        <f>IF(SUM(DE_AT[[#This Row],[26Q2]:[26Q4]])+SUM(DE_AT[[#This Row],[27Q1]:[27Q2]])=0,"No FSCT",IF(AND(SUM(DE_AT[[#This Row],[26Q2]:[26Q4]])&gt;0,SUM(DE_AT[[#This Row],[27Q1]:[27Q2]])=0),"YES","NO"))</f>
        <v>YES</v>
      </c>
      <c r="AE22" s="85" t="str">
        <f>VLOOKUP(DE_AT[[#This Row],[Product Line]],Prod_T6[],4,0)</f>
        <v>PV</v>
      </c>
      <c r="AH22" s="2" t="str">
        <v>3 - Negotiation</v>
      </c>
    </row>
    <row r="23" spans="1:34" ht="14.5">
      <c r="A23" s="14" t="s">
        <v>32</v>
      </c>
      <c r="B23" s="1" t="s">
        <v>332</v>
      </c>
      <c r="C23" s="3" t="s">
        <v>321</v>
      </c>
      <c r="D23" s="2" t="str">
        <f>VLOOKUP(DE_AT[[#This Row],[Product Line]],Prod_T6[],5,0)</f>
        <v>Sunpower</v>
      </c>
      <c r="E23" s="2" t="s">
        <v>323</v>
      </c>
      <c r="F23" s="2" t="s">
        <v>324</v>
      </c>
      <c r="G23" s="2" t="s">
        <v>136</v>
      </c>
      <c r="H23" s="62"/>
      <c r="I23" s="40" t="s">
        <v>117</v>
      </c>
      <c r="J23" s="13">
        <v>0</v>
      </c>
      <c r="K23" s="13">
        <v>0</v>
      </c>
      <c r="L23" s="13">
        <v>0.1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32">
        <f>SUM(DE_AT[[#This Row],[26M04]:[26M06]])</f>
        <v>0.1</v>
      </c>
      <c r="T23" s="69">
        <f>SUM(DE_AT[[#This Row],[26M07]:[26M09]])</f>
        <v>0</v>
      </c>
      <c r="U23" s="69">
        <f>SUM(DE_AT[[#This Row],[26M10]:[26M12]])</f>
        <v>0</v>
      </c>
      <c r="V23" s="256"/>
      <c r="W23" s="256"/>
      <c r="X23" s="256"/>
      <c r="Y23" s="256"/>
      <c r="Z23" s="256"/>
      <c r="AA23" s="256"/>
      <c r="AB23" s="256">
        <f>SUM(DE_AT[[#This Row],[27M01]:[27M03]])</f>
        <v>0</v>
      </c>
      <c r="AC23" s="256">
        <f>SUM(DE_AT[[#This Row],[27M04]:[27M06]])</f>
        <v>0</v>
      </c>
      <c r="AD23" s="256" t="str">
        <f>IF(SUM(DE_AT[[#This Row],[26Q2]:[26Q4]])+SUM(DE_AT[[#This Row],[27Q1]:[27Q2]])=0,"No FSCT",IF(AND(SUM(DE_AT[[#This Row],[26Q2]:[26Q4]])&gt;0,SUM(DE_AT[[#This Row],[27Q1]:[27Q2]])=0),"YES","NO"))</f>
        <v>YES</v>
      </c>
      <c r="AE23" s="85" t="str">
        <f>VLOOKUP(DE_AT[[#This Row],[Product Line]],Prod_T6[],4,0)</f>
        <v>PV</v>
      </c>
      <c r="AH23" s="2" t="str">
        <v>3 - Negotiation</v>
      </c>
    </row>
    <row r="24" spans="1:34" ht="14.5">
      <c r="A24" s="14" t="s">
        <v>32</v>
      </c>
      <c r="B24" s="1" t="s">
        <v>331</v>
      </c>
      <c r="C24" s="3" t="s">
        <v>321</v>
      </c>
      <c r="D24" s="2" t="str">
        <f>VLOOKUP(DE_AT[[#This Row],[Product Line]],Prod_T6[],5,0)</f>
        <v>Sunpower</v>
      </c>
      <c r="E24" s="2" t="s">
        <v>118</v>
      </c>
      <c r="F24" s="2" t="s">
        <v>255</v>
      </c>
      <c r="G24" s="2" t="s">
        <v>120</v>
      </c>
      <c r="H24" s="62"/>
      <c r="I24" s="40" t="s">
        <v>117</v>
      </c>
      <c r="J24" s="13">
        <v>0</v>
      </c>
      <c r="K24" s="13">
        <v>0</v>
      </c>
      <c r="L24" s="13">
        <v>0.4</v>
      </c>
      <c r="M24" s="13">
        <v>0</v>
      </c>
      <c r="N24" s="13">
        <v>0</v>
      </c>
      <c r="O24" s="13">
        <v>0.4</v>
      </c>
      <c r="P24" s="13">
        <v>0</v>
      </c>
      <c r="Q24" s="13">
        <v>0</v>
      </c>
      <c r="R24" s="13">
        <v>0</v>
      </c>
      <c r="S24" s="32">
        <f>SUM(DE_AT[[#This Row],[26M04]:[26M06]])</f>
        <v>0.4</v>
      </c>
      <c r="T24" s="69">
        <f>SUM(DE_AT[[#This Row],[26M07]:[26M09]])</f>
        <v>0.4</v>
      </c>
      <c r="U24" s="69">
        <f>SUM(DE_AT[[#This Row],[26M10]:[26M12]])</f>
        <v>0</v>
      </c>
      <c r="V24" s="256"/>
      <c r="W24" s="256"/>
      <c r="X24" s="256"/>
      <c r="Y24" s="256"/>
      <c r="Z24" s="256"/>
      <c r="AA24" s="256"/>
      <c r="AB24" s="256">
        <f>SUM(DE_AT[[#This Row],[27M01]:[27M03]])</f>
        <v>0</v>
      </c>
      <c r="AC24" s="256">
        <f>SUM(DE_AT[[#This Row],[27M04]:[27M06]])</f>
        <v>0</v>
      </c>
      <c r="AD24" s="256" t="str">
        <f>IF(SUM(DE_AT[[#This Row],[26Q2]:[26Q4]])+SUM(DE_AT[[#This Row],[27Q1]:[27Q2]])=0,"No FSCT",IF(AND(SUM(DE_AT[[#This Row],[26Q2]:[26Q4]])&gt;0,SUM(DE_AT[[#This Row],[27Q1]:[27Q2]])=0),"YES","NO"))</f>
        <v>YES</v>
      </c>
      <c r="AE24" s="85" t="str">
        <f>VLOOKUP(DE_AT[[#This Row],[Product Line]],Prod_T6[],4,0)</f>
        <v>PV</v>
      </c>
      <c r="AH24" s="2" t="str">
        <v>5 - Finalize contract</v>
      </c>
    </row>
    <row r="25" spans="1:34" ht="14.5">
      <c r="A25" s="14" t="s">
        <v>32</v>
      </c>
      <c r="B25" s="1" t="s">
        <v>320</v>
      </c>
      <c r="C25" s="3" t="s">
        <v>321</v>
      </c>
      <c r="D25" s="2" t="str">
        <f>VLOOKUP(DE_AT[[#This Row],[Product Line]],Prod_T6[],5,0)</f>
        <v>Sunpower</v>
      </c>
      <c r="E25" s="2" t="s">
        <v>118</v>
      </c>
      <c r="F25" s="2" t="s">
        <v>119</v>
      </c>
      <c r="G25" s="2" t="s">
        <v>120</v>
      </c>
      <c r="H25" s="62"/>
      <c r="I25" s="40" t="s">
        <v>117</v>
      </c>
      <c r="J25" s="13">
        <v>0.05</v>
      </c>
      <c r="K25" s="13">
        <v>0</v>
      </c>
      <c r="L25" s="13">
        <v>0</v>
      </c>
      <c r="M25" s="13">
        <v>0.1</v>
      </c>
      <c r="N25" s="13">
        <v>0</v>
      </c>
      <c r="O25" s="13">
        <v>0</v>
      </c>
      <c r="P25" s="13">
        <v>0.1</v>
      </c>
      <c r="Q25" s="13">
        <v>0</v>
      </c>
      <c r="R25" s="13">
        <v>0</v>
      </c>
      <c r="S25" s="32">
        <f>SUM(DE_AT[[#This Row],[26M04]:[26M06]])</f>
        <v>0.05</v>
      </c>
      <c r="T25" s="69">
        <f>SUM(DE_AT[[#This Row],[26M07]:[26M09]])</f>
        <v>0.1</v>
      </c>
      <c r="U25" s="69">
        <f>SUM(DE_AT[[#This Row],[26M10]:[26M12]])</f>
        <v>0.1</v>
      </c>
      <c r="V25" s="256"/>
      <c r="W25" s="256"/>
      <c r="X25" s="256"/>
      <c r="Y25" s="256"/>
      <c r="Z25" s="256"/>
      <c r="AA25" s="256"/>
      <c r="AB25" s="256">
        <f>SUM(DE_AT[[#This Row],[27M01]:[27M03]])</f>
        <v>0</v>
      </c>
      <c r="AC25" s="256">
        <f>SUM(DE_AT[[#This Row],[27M04]:[27M06]])</f>
        <v>0</v>
      </c>
      <c r="AD25" s="256" t="str">
        <f>IF(SUM(DE_AT[[#This Row],[26Q2]:[26Q4]])+SUM(DE_AT[[#This Row],[27Q1]:[27Q2]])=0,"No FSCT",IF(AND(SUM(DE_AT[[#This Row],[26Q2]:[26Q4]])&gt;0,SUM(DE_AT[[#This Row],[27Q1]:[27Q2]])=0),"YES","NO"))</f>
        <v>YES</v>
      </c>
      <c r="AE25" s="85" t="str">
        <f>VLOOKUP(DE_AT[[#This Row],[Product Line]],Prod_T6[],4,0)</f>
        <v>PV</v>
      </c>
      <c r="AH25" s="2" t="str">
        <v>5 - Finalize contract</v>
      </c>
    </row>
    <row r="26" spans="1:34" ht="14.5">
      <c r="A26" s="14" t="s">
        <v>32</v>
      </c>
      <c r="B26" s="1" t="s">
        <v>320</v>
      </c>
      <c r="C26" s="3" t="s">
        <v>321</v>
      </c>
      <c r="D26" s="2" t="str">
        <f>VLOOKUP(DE_AT[[#This Row],[Product Line]],Prod_T6[],5,0)</f>
        <v>Sunpower</v>
      </c>
      <c r="E26" s="2" t="s">
        <v>276</v>
      </c>
      <c r="F26" s="2" t="s">
        <v>277</v>
      </c>
      <c r="G26" s="2" t="s">
        <v>120</v>
      </c>
      <c r="H26" s="62"/>
      <c r="I26" s="40" t="s">
        <v>117</v>
      </c>
      <c r="J26" s="13">
        <v>0</v>
      </c>
      <c r="K26" s="13">
        <v>0</v>
      </c>
      <c r="L26" s="13">
        <v>0.02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32">
        <f>SUM(DE_AT[[#This Row],[26M04]:[26M06]])</f>
        <v>0.02</v>
      </c>
      <c r="T26" s="69">
        <f>SUM(DE_AT[[#This Row],[26M07]:[26M09]])</f>
        <v>0</v>
      </c>
      <c r="U26" s="69">
        <f>SUM(DE_AT[[#This Row],[26M10]:[26M12]])</f>
        <v>0</v>
      </c>
      <c r="V26" s="256"/>
      <c r="W26" s="256"/>
      <c r="X26" s="256"/>
      <c r="Y26" s="256"/>
      <c r="Z26" s="256"/>
      <c r="AA26" s="256"/>
      <c r="AB26" s="256">
        <f>SUM(DE_AT[[#This Row],[27M01]:[27M03]])</f>
        <v>0</v>
      </c>
      <c r="AC26" s="256">
        <f>SUM(DE_AT[[#This Row],[27M04]:[27M06]])</f>
        <v>0</v>
      </c>
      <c r="AD26" s="256" t="str">
        <f>IF(SUM(DE_AT[[#This Row],[26Q2]:[26Q4]])+SUM(DE_AT[[#This Row],[27Q1]:[27Q2]])=0,"No FSCT",IF(AND(SUM(DE_AT[[#This Row],[26Q2]:[26Q4]])&gt;0,SUM(DE_AT[[#This Row],[27Q1]:[27Q2]])=0),"YES","NO"))</f>
        <v>YES</v>
      </c>
      <c r="AE26" s="85" t="str">
        <f>VLOOKUP(DE_AT[[#This Row],[Product Line]],Prod_T6[],4,0)</f>
        <v>PV</v>
      </c>
      <c r="AH26" s="2" t="str">
        <v>5 - Finalize contract</v>
      </c>
    </row>
    <row r="27" spans="1:34" ht="14.5">
      <c r="A27" s="14" t="s">
        <v>32</v>
      </c>
      <c r="B27" s="1" t="s">
        <v>320</v>
      </c>
      <c r="C27" s="3" t="s">
        <v>321</v>
      </c>
      <c r="D27" s="2" t="str">
        <f>VLOOKUP(DE_AT[[#This Row],[Product Line]],Prod_T6[],5,0)</f>
        <v>Sunpower</v>
      </c>
      <c r="E27" s="2" t="s">
        <v>276</v>
      </c>
      <c r="F27" s="2" t="s">
        <v>322</v>
      </c>
      <c r="G27" s="2" t="s">
        <v>136</v>
      </c>
      <c r="H27" s="62"/>
      <c r="I27" s="40" t="s">
        <v>117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0.1</v>
      </c>
      <c r="R27" s="13">
        <v>0</v>
      </c>
      <c r="S27" s="32">
        <f>SUM(DE_AT[[#This Row],[26M04]:[26M06]])</f>
        <v>0</v>
      </c>
      <c r="T27" s="69">
        <f>SUM(DE_AT[[#This Row],[26M07]:[26M09]])</f>
        <v>0</v>
      </c>
      <c r="U27" s="69">
        <f>SUM(DE_AT[[#This Row],[26M10]:[26M12]])</f>
        <v>0.1</v>
      </c>
      <c r="V27" s="256"/>
      <c r="W27" s="256"/>
      <c r="X27" s="256"/>
      <c r="Y27" s="256"/>
      <c r="Z27" s="256"/>
      <c r="AA27" s="256"/>
      <c r="AB27" s="256">
        <f>SUM(DE_AT[[#This Row],[27M01]:[27M03]])</f>
        <v>0</v>
      </c>
      <c r="AC27" s="256">
        <f>SUM(DE_AT[[#This Row],[27M04]:[27M06]])</f>
        <v>0</v>
      </c>
      <c r="AD27" s="256" t="str">
        <f>IF(SUM(DE_AT[[#This Row],[26Q2]:[26Q4]])+SUM(DE_AT[[#This Row],[27Q1]:[27Q2]])=0,"No FSCT",IF(AND(SUM(DE_AT[[#This Row],[26Q2]:[26Q4]])&gt;0,SUM(DE_AT[[#This Row],[27Q1]:[27Q2]])=0),"YES","NO"))</f>
        <v>YES</v>
      </c>
      <c r="AE27" s="85" t="str">
        <f>VLOOKUP(DE_AT[[#This Row],[Product Line]],Prod_T6[],4,0)</f>
        <v>PV</v>
      </c>
      <c r="AH27" s="2" t="str">
        <v>3 - Negotiation</v>
      </c>
    </row>
    <row r="28" spans="1:34">
      <c r="A28" s="14" t="s">
        <v>32</v>
      </c>
      <c r="B28" s="1" t="s">
        <v>320</v>
      </c>
      <c r="C28" s="3" t="s">
        <v>321</v>
      </c>
      <c r="D28" s="2" t="str">
        <f>VLOOKUP(DE_AT[[#This Row],[Product Line]],Prod_T6[],5,0)</f>
        <v>Sunpower</v>
      </c>
      <c r="E28" s="2" t="s">
        <v>323</v>
      </c>
      <c r="F28" s="2" t="s">
        <v>324</v>
      </c>
      <c r="G28" s="2" t="s">
        <v>136</v>
      </c>
      <c r="H28" s="62"/>
      <c r="I28" s="40" t="s">
        <v>117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32">
        <f>SUM(DE_AT[[#This Row],[26M04]:[26M06]])</f>
        <v>0</v>
      </c>
      <c r="T28" s="69">
        <f>SUM(DE_AT[[#This Row],[26M07]:[26M09]])</f>
        <v>0</v>
      </c>
      <c r="U28" s="69">
        <f>SUM(DE_AT[[#This Row],[26M10]:[26M12]])</f>
        <v>0</v>
      </c>
      <c r="V28" s="256"/>
      <c r="W28" s="256"/>
      <c r="X28" s="256"/>
      <c r="Y28" s="256"/>
      <c r="Z28" s="256"/>
      <c r="AA28" s="256"/>
      <c r="AB28" s="256">
        <f>SUM(DE_AT[[#This Row],[27M01]:[27M03]])</f>
        <v>0</v>
      </c>
      <c r="AC28" s="256">
        <f>SUM(DE_AT[[#This Row],[27M04]:[27M06]])</f>
        <v>0</v>
      </c>
      <c r="AD28" s="256" t="str">
        <f>IF(SUM(DE_AT[[#This Row],[26Q2]:[26Q4]])+SUM(DE_AT[[#This Row],[27Q1]:[27Q2]])=0,"No FSCT",IF(AND(SUM(DE_AT[[#This Row],[26Q2]:[26Q4]])&gt;0,SUM(DE_AT[[#This Row],[27Q1]:[27Q2]])=0),"YES","NO"))</f>
        <v>No FSCT</v>
      </c>
      <c r="AE28" s="120" t="str">
        <f>VLOOKUP(DE_AT[[#This Row],[Product Line]],Prod_T6[],4,0)</f>
        <v>PV</v>
      </c>
      <c r="AH28" s="2" t="str">
        <v>3 - Negotiation</v>
      </c>
    </row>
    <row r="29" spans="1:34">
      <c r="A29" s="14" t="s">
        <v>32</v>
      </c>
      <c r="B29" s="1" t="s">
        <v>325</v>
      </c>
      <c r="C29" s="3" t="s">
        <v>321</v>
      </c>
      <c r="D29" s="2" t="str">
        <f>VLOOKUP(DE_AT[[#This Row],[Product Line]],Prod_T6[],5,0)</f>
        <v>Sunpower</v>
      </c>
      <c r="E29" s="2" t="s">
        <v>118</v>
      </c>
      <c r="F29" s="2" t="s">
        <v>145</v>
      </c>
      <c r="G29" s="2" t="s">
        <v>120</v>
      </c>
      <c r="H29" s="62"/>
      <c r="I29" s="40" t="s">
        <v>117</v>
      </c>
      <c r="J29" s="13">
        <v>4</v>
      </c>
      <c r="K29" s="13">
        <v>2</v>
      </c>
      <c r="L29" s="13">
        <v>2</v>
      </c>
      <c r="M29" s="13">
        <v>0</v>
      </c>
      <c r="N29" s="13">
        <v>0</v>
      </c>
      <c r="O29" s="13">
        <v>1.5</v>
      </c>
      <c r="P29" s="13">
        <v>0</v>
      </c>
      <c r="Q29" s="13">
        <v>1.5</v>
      </c>
      <c r="R29" s="13">
        <v>0</v>
      </c>
      <c r="S29" s="32">
        <f>SUM(DE_AT[[#This Row],[26M04]:[26M06]])</f>
        <v>8</v>
      </c>
      <c r="T29" s="69">
        <f>SUM(DE_AT[[#This Row],[26M07]:[26M09]])</f>
        <v>1.5</v>
      </c>
      <c r="U29" s="69">
        <f>SUM(DE_AT[[#This Row],[26M10]:[26M12]])</f>
        <v>1.5</v>
      </c>
      <c r="V29" s="256"/>
      <c r="W29" s="256"/>
      <c r="X29" s="256"/>
      <c r="Y29" s="256"/>
      <c r="Z29" s="256"/>
      <c r="AA29" s="256"/>
      <c r="AB29" s="256">
        <f>SUM(DE_AT[[#This Row],[27M01]:[27M03]])</f>
        <v>0</v>
      </c>
      <c r="AC29" s="256">
        <f>SUM(DE_AT[[#This Row],[27M04]:[27M06]])</f>
        <v>0</v>
      </c>
      <c r="AD29" s="256" t="str">
        <f>IF(SUM(DE_AT[[#This Row],[26Q2]:[26Q4]])+SUM(DE_AT[[#This Row],[27Q1]:[27Q2]])=0,"No FSCT",IF(AND(SUM(DE_AT[[#This Row],[26Q2]:[26Q4]])&gt;0,SUM(DE_AT[[#This Row],[27Q1]:[27Q2]])=0),"YES","NO"))</f>
        <v>YES</v>
      </c>
      <c r="AE29" s="120" t="str">
        <f>VLOOKUP(DE_AT[[#This Row],[Product Line]],Prod_T6[],4,0)</f>
        <v>PV</v>
      </c>
      <c r="AH29" s="2" t="str">
        <v>5 - Finalize contract</v>
      </c>
    </row>
    <row r="30" spans="1:34" ht="14.5">
      <c r="A30" s="14" t="s">
        <v>32</v>
      </c>
      <c r="B30" s="1" t="s">
        <v>325</v>
      </c>
      <c r="C30" s="3" t="s">
        <v>321</v>
      </c>
      <c r="D30" s="2" t="str">
        <f>VLOOKUP(DE_AT[[#This Row],[Product Line]],Prod_T6[],5,0)</f>
        <v>Sunpower</v>
      </c>
      <c r="E30" s="2" t="s">
        <v>276</v>
      </c>
      <c r="F30" s="2" t="s">
        <v>322</v>
      </c>
      <c r="G30" s="2" t="s">
        <v>136</v>
      </c>
      <c r="H30" s="62"/>
      <c r="I30" s="40" t="s">
        <v>117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1</v>
      </c>
      <c r="Q30" s="13">
        <v>1</v>
      </c>
      <c r="R30" s="13">
        <v>1</v>
      </c>
      <c r="S30" s="32">
        <f>SUM(DE_AT[[#This Row],[26M04]:[26M06]])</f>
        <v>0</v>
      </c>
      <c r="T30" s="69">
        <f>SUM(DE_AT[[#This Row],[26M07]:[26M09]])</f>
        <v>0</v>
      </c>
      <c r="U30" s="69">
        <f>SUM(DE_AT[[#This Row],[26M10]:[26M12]])</f>
        <v>3</v>
      </c>
      <c r="V30" s="256"/>
      <c r="W30" s="256"/>
      <c r="X30" s="256"/>
      <c r="Y30" s="256"/>
      <c r="Z30" s="256"/>
      <c r="AA30" s="256"/>
      <c r="AB30" s="256">
        <f>SUM(DE_AT[[#This Row],[27M01]:[27M03]])</f>
        <v>0</v>
      </c>
      <c r="AC30" s="256">
        <f>SUM(DE_AT[[#This Row],[27M04]:[27M06]])</f>
        <v>0</v>
      </c>
      <c r="AD30" s="256" t="str">
        <f>IF(SUM(DE_AT[[#This Row],[26Q2]:[26Q4]])+SUM(DE_AT[[#This Row],[27Q1]:[27Q2]])=0,"No FSCT",IF(AND(SUM(DE_AT[[#This Row],[26Q2]:[26Q4]])&gt;0,SUM(DE_AT[[#This Row],[27Q1]:[27Q2]])=0),"YES","NO"))</f>
        <v>YES</v>
      </c>
      <c r="AE30" s="85" t="str">
        <f>VLOOKUP(DE_AT[[#This Row],[Product Line]],Prod_T6[],4,0)</f>
        <v>PV</v>
      </c>
      <c r="AH30" s="2" t="str">
        <v>3 - Negotiation</v>
      </c>
    </row>
    <row r="31" spans="1:34" ht="14.5">
      <c r="A31" s="14" t="s">
        <v>32</v>
      </c>
      <c r="B31" s="1" t="s">
        <v>325</v>
      </c>
      <c r="C31" s="3" t="s">
        <v>321</v>
      </c>
      <c r="D31" s="2" t="str">
        <f>VLOOKUP(DE_AT[[#This Row],[Product Line]],Prod_T6[],5,0)</f>
        <v>Sunpower</v>
      </c>
      <c r="E31" s="2" t="s">
        <v>323</v>
      </c>
      <c r="F31" s="2" t="s">
        <v>324</v>
      </c>
      <c r="G31" s="2" t="s">
        <v>136</v>
      </c>
      <c r="H31" s="62"/>
      <c r="I31" s="40" t="s">
        <v>117</v>
      </c>
      <c r="J31" s="13">
        <v>0</v>
      </c>
      <c r="K31" s="13">
        <v>0</v>
      </c>
      <c r="L31" s="13">
        <v>0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32"/>
      <c r="T31" s="69">
        <f>SUM(DE_AT[[#This Row],[26M07]:[26M09]])</f>
        <v>0</v>
      </c>
      <c r="U31" s="69">
        <f>SUM(DE_AT[[#This Row],[26M10]:[26M12]])</f>
        <v>0</v>
      </c>
      <c r="V31" s="256"/>
      <c r="W31" s="256"/>
      <c r="X31" s="256"/>
      <c r="Y31" s="256"/>
      <c r="Z31" s="256"/>
      <c r="AA31" s="256"/>
      <c r="AB31" s="256">
        <f>SUM(DE_AT[[#This Row],[27M01]:[27M03]])</f>
        <v>0</v>
      </c>
      <c r="AC31" s="256">
        <f>SUM(DE_AT[[#This Row],[27M04]:[27M06]])</f>
        <v>0</v>
      </c>
      <c r="AD31" s="256" t="str">
        <f>IF(SUM(DE_AT[[#This Row],[26Q2]:[26Q4]])+SUM(DE_AT[[#This Row],[27Q1]:[27Q2]])=0,"No FSCT",IF(AND(SUM(DE_AT[[#This Row],[26Q2]:[26Q4]])&gt;0,SUM(DE_AT[[#This Row],[27Q1]:[27Q2]])=0),"YES","NO"))</f>
        <v>No FSCT</v>
      </c>
      <c r="AE31" s="85" t="str">
        <f>VLOOKUP(DE_AT[[#This Row],[Product Line]],Prod_T6[],4,0)</f>
        <v>PV</v>
      </c>
      <c r="AH31" s="2" t="str">
        <v>3 - Negotiation</v>
      </c>
    </row>
    <row r="32" spans="1:34" ht="14.5">
      <c r="A32" s="14" t="s">
        <v>32</v>
      </c>
      <c r="B32" s="1" t="s">
        <v>326</v>
      </c>
      <c r="C32" s="3" t="s">
        <v>321</v>
      </c>
      <c r="D32" s="2" t="str">
        <f>VLOOKUP(DE_AT[[#This Row],[Product Line]],Prod_T6[],5,0)</f>
        <v>Sunpower</v>
      </c>
      <c r="E32" s="2" t="s">
        <v>276</v>
      </c>
      <c r="F32" s="2" t="s">
        <v>322</v>
      </c>
      <c r="G32" s="2" t="s">
        <v>136</v>
      </c>
      <c r="H32" s="62"/>
      <c r="I32" s="40" t="s">
        <v>117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0.05</v>
      </c>
      <c r="Q32" s="13">
        <v>0.05</v>
      </c>
      <c r="R32" s="13">
        <v>0.1</v>
      </c>
      <c r="S32" s="32">
        <f>SUM(DE_AT[[#This Row],[26M04]:[26M06]])</f>
        <v>0</v>
      </c>
      <c r="T32" s="69">
        <f>SUM(DE_AT[[#This Row],[26M07]:[26M09]])</f>
        <v>0</v>
      </c>
      <c r="U32" s="69">
        <f>SUM(DE_AT[[#This Row],[26M10]:[26M12]])</f>
        <v>0.2</v>
      </c>
      <c r="V32" s="256"/>
      <c r="W32" s="256"/>
      <c r="X32" s="256"/>
      <c r="Y32" s="256"/>
      <c r="Z32" s="256"/>
      <c r="AA32" s="256"/>
      <c r="AB32" s="256">
        <f>SUM(DE_AT[[#This Row],[27M01]:[27M03]])</f>
        <v>0</v>
      </c>
      <c r="AC32" s="256">
        <f>SUM(DE_AT[[#This Row],[27M04]:[27M06]])</f>
        <v>0</v>
      </c>
      <c r="AD32" s="256" t="str">
        <f>IF(SUM(DE_AT[[#This Row],[26Q2]:[26Q4]])+SUM(DE_AT[[#This Row],[27Q1]:[27Q2]])=0,"No FSCT",IF(AND(SUM(DE_AT[[#This Row],[26Q2]:[26Q4]])&gt;0,SUM(DE_AT[[#This Row],[27Q1]:[27Q2]])=0),"YES","NO"))</f>
        <v>YES</v>
      </c>
      <c r="AE32" s="85" t="str">
        <f>VLOOKUP(DE_AT[[#This Row],[Product Line]],Prod_T6[],4,0)</f>
        <v>PV</v>
      </c>
      <c r="AH32" s="2" t="str">
        <v>3 - Negotiation</v>
      </c>
    </row>
    <row r="33" spans="1:34" ht="14.5">
      <c r="A33" s="14" t="s">
        <v>32</v>
      </c>
      <c r="B33" s="1" t="s">
        <v>326</v>
      </c>
      <c r="C33" s="3" t="s">
        <v>321</v>
      </c>
      <c r="D33" s="2" t="str">
        <f>VLOOKUP(DE_AT[[#This Row],[Product Line]],Prod_T6[],5,0)</f>
        <v>Sunpower</v>
      </c>
      <c r="E33" s="2" t="s">
        <v>323</v>
      </c>
      <c r="F33" s="2" t="s">
        <v>324</v>
      </c>
      <c r="G33" s="2" t="s">
        <v>136</v>
      </c>
      <c r="H33" s="62"/>
      <c r="I33" s="40" t="s">
        <v>117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32">
        <f>SUM(DE_AT[[#This Row],[26M04]:[26M06]])</f>
        <v>0</v>
      </c>
      <c r="T33" s="69">
        <f>SUM(DE_AT[[#This Row],[26M07]:[26M09]])</f>
        <v>0</v>
      </c>
      <c r="U33" s="69">
        <f>SUM(DE_AT[[#This Row],[26M10]:[26M12]])</f>
        <v>0</v>
      </c>
      <c r="V33" s="256"/>
      <c r="W33" s="256"/>
      <c r="X33" s="256"/>
      <c r="Y33" s="256"/>
      <c r="Z33" s="256"/>
      <c r="AA33" s="256"/>
      <c r="AB33" s="256">
        <f>SUM(DE_AT[[#This Row],[27M01]:[27M03]])</f>
        <v>0</v>
      </c>
      <c r="AC33" s="256">
        <f>SUM(DE_AT[[#This Row],[27M04]:[27M06]])</f>
        <v>0</v>
      </c>
      <c r="AD33" s="256" t="str">
        <f>IF(SUM(DE_AT[[#This Row],[26Q2]:[26Q4]])+SUM(DE_AT[[#This Row],[27Q1]:[27Q2]])=0,"No FSCT",IF(AND(SUM(DE_AT[[#This Row],[26Q2]:[26Q4]])&gt;0,SUM(DE_AT[[#This Row],[27Q1]:[27Q2]])=0),"YES","NO"))</f>
        <v>No FSCT</v>
      </c>
      <c r="AE33" s="85" t="str">
        <f>VLOOKUP(DE_AT[[#This Row],[Product Line]],Prod_T6[],4,0)</f>
        <v>PV</v>
      </c>
      <c r="AH33" s="2" t="str">
        <v>3 - Negotiation</v>
      </c>
    </row>
    <row r="34" spans="1:34" ht="14.5">
      <c r="A34" s="14" t="s">
        <v>32</v>
      </c>
      <c r="B34" s="1" t="s">
        <v>327</v>
      </c>
      <c r="C34" s="3" t="s">
        <v>321</v>
      </c>
      <c r="D34" s="2" t="str">
        <f>VLOOKUP(DE_AT[[#This Row],[Product Line]],Prod_T6[],5,0)</f>
        <v>Sunpower</v>
      </c>
      <c r="E34" s="2" t="s">
        <v>197</v>
      </c>
      <c r="F34" s="2" t="s">
        <v>62</v>
      </c>
      <c r="G34" s="2" t="s">
        <v>120</v>
      </c>
      <c r="H34" s="62"/>
      <c r="I34" s="40" t="s">
        <v>117</v>
      </c>
      <c r="J34" s="13">
        <v>10</v>
      </c>
      <c r="K34" s="13">
        <v>10</v>
      </c>
      <c r="L34" s="13">
        <v>10</v>
      </c>
      <c r="M34" s="13">
        <v>5</v>
      </c>
      <c r="N34" s="13">
        <v>5</v>
      </c>
      <c r="O34" s="13">
        <v>10</v>
      </c>
      <c r="P34" s="13">
        <v>5</v>
      </c>
      <c r="Q34" s="13">
        <v>10</v>
      </c>
      <c r="R34" s="13">
        <v>5</v>
      </c>
      <c r="S34" s="32">
        <f>SUM(DE_AT[[#This Row],[26M04]:[26M06]])</f>
        <v>30</v>
      </c>
      <c r="T34" s="69">
        <f>SUM(DE_AT[[#This Row],[26M07]:[26M09]])</f>
        <v>20</v>
      </c>
      <c r="U34" s="69">
        <f>SUM(DE_AT[[#This Row],[26M10]:[26M12]])</f>
        <v>20</v>
      </c>
      <c r="V34" s="256"/>
      <c r="W34" s="256"/>
      <c r="X34" s="256"/>
      <c r="Y34" s="256"/>
      <c r="Z34" s="256"/>
      <c r="AA34" s="256"/>
      <c r="AB34" s="256">
        <f>SUM(DE_AT[[#This Row],[27M01]:[27M03]])</f>
        <v>0</v>
      </c>
      <c r="AC34" s="256">
        <f>SUM(DE_AT[[#This Row],[27M04]:[27M06]])</f>
        <v>0</v>
      </c>
      <c r="AD34" s="256" t="str">
        <f>IF(SUM(DE_AT[[#This Row],[26Q2]:[26Q4]])+SUM(DE_AT[[#This Row],[27Q1]:[27Q2]])=0,"No FSCT",IF(AND(SUM(DE_AT[[#This Row],[26Q2]:[26Q4]])&gt;0,SUM(DE_AT[[#This Row],[27Q1]:[27Q2]])=0),"YES","NO"))</f>
        <v>YES</v>
      </c>
      <c r="AE34" s="85" t="str">
        <f>VLOOKUP(DE_AT[[#This Row],[Product Line]],Prod_T6[],4,0)</f>
        <v>ESS</v>
      </c>
      <c r="AH34" s="2" t="str">
        <v>5 - Finalize contract</v>
      </c>
    </row>
    <row r="35" spans="1:34" ht="14.5">
      <c r="A35" s="14" t="s">
        <v>32</v>
      </c>
      <c r="B35" s="1" t="s">
        <v>327</v>
      </c>
      <c r="C35" s="3" t="s">
        <v>321</v>
      </c>
      <c r="D35" s="2" t="str">
        <f>VLOOKUP(DE_AT[[#This Row],[Product Line]],Prod_T6[],5,0)</f>
        <v>TCL</v>
      </c>
      <c r="E35" s="2" t="s">
        <v>149</v>
      </c>
      <c r="F35" s="2" t="s">
        <v>289</v>
      </c>
      <c r="G35" s="2" t="s">
        <v>136</v>
      </c>
      <c r="H35" s="62"/>
      <c r="I35" s="40" t="s">
        <v>117</v>
      </c>
      <c r="J35" s="13">
        <v>0</v>
      </c>
      <c r="K35" s="13">
        <v>0</v>
      </c>
      <c r="L35" s="13">
        <v>0</v>
      </c>
      <c r="M35" s="13">
        <v>0</v>
      </c>
      <c r="N35" s="13">
        <v>0.45</v>
      </c>
      <c r="O35" s="13">
        <v>0</v>
      </c>
      <c r="P35" s="13">
        <v>0.45</v>
      </c>
      <c r="Q35" s="13">
        <v>0</v>
      </c>
      <c r="R35" s="13">
        <v>0.45</v>
      </c>
      <c r="S35" s="32"/>
      <c r="T35" s="69">
        <f>SUM(DE_AT[[#This Row],[26M07]:[26M09]])</f>
        <v>0.45</v>
      </c>
      <c r="U35" s="69">
        <f>SUM(DE_AT[[#This Row],[26M10]:[26M12]])</f>
        <v>0.9</v>
      </c>
      <c r="V35" s="256"/>
      <c r="W35" s="256"/>
      <c r="X35" s="256"/>
      <c r="Y35" s="256"/>
      <c r="Z35" s="256"/>
      <c r="AA35" s="256"/>
      <c r="AB35" s="256">
        <f>SUM(DE_AT[[#This Row],[27M01]:[27M03]])</f>
        <v>0</v>
      </c>
      <c r="AC35" s="256">
        <f>SUM(DE_AT[[#This Row],[27M04]:[27M06]])</f>
        <v>0</v>
      </c>
      <c r="AD35" s="256" t="str">
        <f>IF(SUM(DE_AT[[#This Row],[26Q2]:[26Q4]])+SUM(DE_AT[[#This Row],[27Q1]:[27Q2]])=0,"No FSCT",IF(AND(SUM(DE_AT[[#This Row],[26Q2]:[26Q4]])&gt;0,SUM(DE_AT[[#This Row],[27Q1]:[27Q2]])=0),"YES","NO"))</f>
        <v>YES</v>
      </c>
      <c r="AE35" s="85" t="str">
        <f>VLOOKUP(DE_AT[[#This Row],[Product Line]],Prod_T6[],4,0)</f>
        <v>PV</v>
      </c>
      <c r="AH35" s="2" t="str">
        <v>3 - Negotiation</v>
      </c>
    </row>
    <row r="36" spans="1:34" ht="14.5">
      <c r="A36" s="14" t="s">
        <v>32</v>
      </c>
      <c r="B36" s="1" t="s">
        <v>328</v>
      </c>
      <c r="C36" s="3" t="s">
        <v>321</v>
      </c>
      <c r="D36" s="2" t="str">
        <f>VLOOKUP(DE_AT[[#This Row],[Product Line]],Prod_T6[],5,0)</f>
        <v>Sunpower</v>
      </c>
      <c r="E36" s="2" t="s">
        <v>118</v>
      </c>
      <c r="F36" s="2" t="s">
        <v>119</v>
      </c>
      <c r="G36" s="2" t="s">
        <v>136</v>
      </c>
      <c r="H36" s="62"/>
      <c r="I36" s="40" t="s">
        <v>117</v>
      </c>
      <c r="J36" s="13">
        <v>0</v>
      </c>
      <c r="K36" s="13">
        <v>0.45</v>
      </c>
      <c r="L36" s="13">
        <v>0</v>
      </c>
      <c r="M36" s="13">
        <v>0</v>
      </c>
      <c r="N36" s="13">
        <v>0.45</v>
      </c>
      <c r="O36" s="13">
        <v>0</v>
      </c>
      <c r="P36" s="13">
        <v>0</v>
      </c>
      <c r="Q36" s="13">
        <v>0.45</v>
      </c>
      <c r="R36" s="13">
        <v>0</v>
      </c>
      <c r="S36" s="32">
        <f>SUM(DE_AT[[#This Row],[26M04]:[26M06]])</f>
        <v>0.45</v>
      </c>
      <c r="T36" s="69">
        <f>SUM(DE_AT[[#This Row],[26M07]:[26M09]])</f>
        <v>0.45</v>
      </c>
      <c r="U36" s="69">
        <f>SUM(DE_AT[[#This Row],[26M10]:[26M12]])</f>
        <v>0.45</v>
      </c>
      <c r="V36" s="256"/>
      <c r="W36" s="256"/>
      <c r="X36" s="256"/>
      <c r="Y36" s="256"/>
      <c r="Z36" s="256"/>
      <c r="AA36" s="256"/>
      <c r="AB36" s="256">
        <f>SUM(DE_AT[[#This Row],[27M01]:[27M03]])</f>
        <v>0</v>
      </c>
      <c r="AC36" s="256">
        <f>SUM(DE_AT[[#This Row],[27M04]:[27M06]])</f>
        <v>0</v>
      </c>
      <c r="AD36" s="256" t="str">
        <f>IF(SUM(DE_AT[[#This Row],[26Q2]:[26Q4]])+SUM(DE_AT[[#This Row],[27Q1]:[27Q2]])=0,"No FSCT",IF(AND(SUM(DE_AT[[#This Row],[26Q2]:[26Q4]])&gt;0,SUM(DE_AT[[#This Row],[27Q1]:[27Q2]])=0),"YES","NO"))</f>
        <v>YES</v>
      </c>
      <c r="AE36" s="85" t="str">
        <f>VLOOKUP(DE_AT[[#This Row],[Product Line]],Prod_T6[],4,0)</f>
        <v>PV</v>
      </c>
      <c r="AH36" s="2" t="str">
        <v>3 - Negotiation</v>
      </c>
    </row>
    <row r="37" spans="1:34" ht="14.5">
      <c r="A37" s="14" t="s">
        <v>32</v>
      </c>
      <c r="B37" s="1" t="s">
        <v>329</v>
      </c>
      <c r="C37" s="3" t="s">
        <v>321</v>
      </c>
      <c r="D37" s="2" t="str">
        <f>VLOOKUP(DE_AT[[#This Row],[Product Line]],Prod_T6[],5,0)</f>
        <v>TCL</v>
      </c>
      <c r="E37" s="2" t="s">
        <v>149</v>
      </c>
      <c r="F37" s="2" t="s">
        <v>289</v>
      </c>
      <c r="G37" s="2" t="s">
        <v>136</v>
      </c>
      <c r="H37" s="62"/>
      <c r="I37" s="40" t="s">
        <v>117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0.45</v>
      </c>
      <c r="P37" s="13">
        <v>0</v>
      </c>
      <c r="Q37" s="13">
        <v>0</v>
      </c>
      <c r="R37" s="13">
        <v>0.45</v>
      </c>
      <c r="S37" s="32">
        <f>SUM(DE_AT[[#This Row],[26M04]:[26M06]])</f>
        <v>0</v>
      </c>
      <c r="T37" s="69">
        <f>SUM(DE_AT[[#This Row],[26M07]:[26M09]])</f>
        <v>0.45</v>
      </c>
      <c r="U37" s="69">
        <f>SUM(DE_AT[[#This Row],[26M10]:[26M12]])</f>
        <v>0.45</v>
      </c>
      <c r="V37" s="256"/>
      <c r="W37" s="256"/>
      <c r="X37" s="256"/>
      <c r="Y37" s="256"/>
      <c r="Z37" s="256"/>
      <c r="AA37" s="256"/>
      <c r="AB37" s="256">
        <f>SUM(DE_AT[[#This Row],[27M01]:[27M03]])</f>
        <v>0</v>
      </c>
      <c r="AC37" s="256">
        <f>SUM(DE_AT[[#This Row],[27M04]:[27M06]])</f>
        <v>0</v>
      </c>
      <c r="AD37" s="256" t="str">
        <f>IF(SUM(DE_AT[[#This Row],[26Q2]:[26Q4]])+SUM(DE_AT[[#This Row],[27Q1]:[27Q2]])=0,"No FSCT",IF(AND(SUM(DE_AT[[#This Row],[26Q2]:[26Q4]])&gt;0,SUM(DE_AT[[#This Row],[27Q1]:[27Q2]])=0),"YES","NO"))</f>
        <v>YES</v>
      </c>
      <c r="AE37" s="85" t="str">
        <f>VLOOKUP(DE_AT[[#This Row],[Product Line]],Prod_T6[],4,0)</f>
        <v>PV</v>
      </c>
      <c r="AH37" s="2" t="str">
        <v>3 - Negotiation</v>
      </c>
    </row>
    <row r="38" spans="1:34" ht="14.5">
      <c r="A38" s="14" t="s">
        <v>32</v>
      </c>
      <c r="B38" s="1" t="s">
        <v>329</v>
      </c>
      <c r="C38" s="3" t="s">
        <v>321</v>
      </c>
      <c r="D38" s="2" t="str">
        <f>VLOOKUP(DE_AT[[#This Row],[Product Line]],Prod_T6[],5,0)</f>
        <v>Sunpower</v>
      </c>
      <c r="E38" s="2" t="s">
        <v>118</v>
      </c>
      <c r="F38" s="2" t="s">
        <v>255</v>
      </c>
      <c r="G38" s="2" t="s">
        <v>136</v>
      </c>
      <c r="H38" s="62"/>
      <c r="I38" s="40" t="s">
        <v>117</v>
      </c>
      <c r="J38" s="13">
        <v>0</v>
      </c>
      <c r="K38" s="13">
        <v>0</v>
      </c>
      <c r="L38" s="13">
        <v>0</v>
      </c>
      <c r="M38" s="13">
        <v>0</v>
      </c>
      <c r="N38" s="13">
        <v>0.2</v>
      </c>
      <c r="O38" s="13">
        <v>0</v>
      </c>
      <c r="P38" s="13">
        <v>0</v>
      </c>
      <c r="Q38" s="13">
        <v>0</v>
      </c>
      <c r="R38" s="13">
        <v>0</v>
      </c>
      <c r="S38" s="32">
        <f>SUM(DE_AT[[#This Row],[26M04]:[26M06]])</f>
        <v>0</v>
      </c>
      <c r="T38" s="69">
        <f>SUM(DE_AT[[#This Row],[26M07]:[26M09]])</f>
        <v>0.2</v>
      </c>
      <c r="U38" s="69">
        <f>SUM(DE_AT[[#This Row],[26M10]:[26M12]])</f>
        <v>0</v>
      </c>
      <c r="V38" s="256"/>
      <c r="W38" s="256"/>
      <c r="X38" s="256"/>
      <c r="Y38" s="256"/>
      <c r="Z38" s="256"/>
      <c r="AA38" s="256"/>
      <c r="AB38" s="256">
        <f>SUM(DE_AT[[#This Row],[27M01]:[27M03]])</f>
        <v>0</v>
      </c>
      <c r="AC38" s="256">
        <f>SUM(DE_AT[[#This Row],[27M04]:[27M06]])</f>
        <v>0</v>
      </c>
      <c r="AD38" s="256" t="str">
        <f>IF(SUM(DE_AT[[#This Row],[26Q2]:[26Q4]])+SUM(DE_AT[[#This Row],[27Q1]:[27Q2]])=0,"No FSCT",IF(AND(SUM(DE_AT[[#This Row],[26Q2]:[26Q4]])&gt;0,SUM(DE_AT[[#This Row],[27Q1]:[27Q2]])=0),"YES","NO"))</f>
        <v>YES</v>
      </c>
      <c r="AE38" s="85" t="str">
        <f>VLOOKUP(DE_AT[[#This Row],[Product Line]],Prod_T6[],4,0)</f>
        <v>PV</v>
      </c>
      <c r="AH38" s="2" t="str">
        <v>3 - Negotiation</v>
      </c>
    </row>
    <row r="39" spans="1:34" ht="14.5">
      <c r="A39" s="14" t="s">
        <v>32</v>
      </c>
      <c r="B39" s="1" t="s">
        <v>329</v>
      </c>
      <c r="C39" s="3" t="s">
        <v>321</v>
      </c>
      <c r="D39" s="2" t="str">
        <f>VLOOKUP(DE_AT[[#This Row],[Product Line]],Prod_T6[],5,0)</f>
        <v>Sunpower</v>
      </c>
      <c r="E39" s="2" t="s">
        <v>276</v>
      </c>
      <c r="F39" s="135" t="s">
        <v>322</v>
      </c>
      <c r="G39" s="2" t="s">
        <v>136</v>
      </c>
      <c r="H39" s="62"/>
      <c r="I39" s="40" t="s">
        <v>117</v>
      </c>
      <c r="J39" s="136">
        <v>0</v>
      </c>
      <c r="K39" s="136">
        <v>0</v>
      </c>
      <c r="L39" s="136">
        <v>0</v>
      </c>
      <c r="M39" s="136">
        <v>0</v>
      </c>
      <c r="N39" s="136">
        <v>0</v>
      </c>
      <c r="O39" s="136">
        <v>0</v>
      </c>
      <c r="P39" s="136">
        <v>0.2</v>
      </c>
      <c r="Q39" s="136">
        <v>0</v>
      </c>
      <c r="R39" s="136">
        <v>0.2</v>
      </c>
      <c r="S39" s="32">
        <v>0.15</v>
      </c>
      <c r="T39" s="69">
        <f>SUM(DE_AT[[#This Row],[26M07]:[26M09]])</f>
        <v>0</v>
      </c>
      <c r="U39" s="69">
        <f>SUM(DE_AT[[#This Row],[26M10]:[26M12]])</f>
        <v>0.4</v>
      </c>
      <c r="V39" s="256"/>
      <c r="W39" s="256"/>
      <c r="X39" s="256"/>
      <c r="Y39" s="256"/>
      <c r="Z39" s="256"/>
      <c r="AA39" s="256"/>
      <c r="AB39" s="256">
        <f>SUM(DE_AT[[#This Row],[27M01]:[27M03]])</f>
        <v>0</v>
      </c>
      <c r="AC39" s="256">
        <f>SUM(DE_AT[[#This Row],[27M04]:[27M06]])</f>
        <v>0</v>
      </c>
      <c r="AD39" s="256" t="str">
        <f>IF(SUM(DE_AT[[#This Row],[26Q2]:[26Q4]])+SUM(DE_AT[[#This Row],[27Q1]:[27Q2]])=0,"No FSCT",IF(AND(SUM(DE_AT[[#This Row],[26Q2]:[26Q4]])&gt;0,SUM(DE_AT[[#This Row],[27Q1]:[27Q2]])=0),"YES","NO"))</f>
        <v>YES</v>
      </c>
      <c r="AE39" s="85" t="str">
        <f>VLOOKUP(DE_AT[[#This Row],[Product Line]],Prod_T6[],4,0)</f>
        <v>PV</v>
      </c>
      <c r="AH39" s="2" t="str">
        <v>3 - Negotiation</v>
      </c>
    </row>
    <row r="40" spans="1:34" ht="14.5">
      <c r="A40" s="14" t="s">
        <v>32</v>
      </c>
      <c r="B40" s="1" t="s">
        <v>329</v>
      </c>
      <c r="C40" s="3" t="s">
        <v>321</v>
      </c>
      <c r="D40" s="2" t="str">
        <f>VLOOKUP(DE_AT[[#This Row],[Product Line]],Prod_T6[],5,0)</f>
        <v>Sunpower</v>
      </c>
      <c r="E40" s="2" t="s">
        <v>323</v>
      </c>
      <c r="F40" s="2" t="s">
        <v>324</v>
      </c>
      <c r="G40" s="2" t="s">
        <v>136</v>
      </c>
      <c r="H40" s="62"/>
      <c r="I40" s="40" t="s">
        <v>117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32">
        <f>SUM(DE_AT[[#This Row],[26M04]:[26M06]])</f>
        <v>0</v>
      </c>
      <c r="T40" s="69">
        <f>SUM(DE_AT[[#This Row],[26M07]:[26M09]])</f>
        <v>0</v>
      </c>
      <c r="U40" s="69">
        <f>SUM(DE_AT[[#This Row],[26M10]:[26M12]])</f>
        <v>0</v>
      </c>
      <c r="V40" s="256"/>
      <c r="W40" s="256"/>
      <c r="X40" s="256"/>
      <c r="Y40" s="256"/>
      <c r="Z40" s="256"/>
      <c r="AA40" s="256"/>
      <c r="AB40" s="256">
        <f>SUM(DE_AT[[#This Row],[27M01]:[27M03]])</f>
        <v>0</v>
      </c>
      <c r="AC40" s="256">
        <f>SUM(DE_AT[[#This Row],[27M04]:[27M06]])</f>
        <v>0</v>
      </c>
      <c r="AD40" s="256" t="str">
        <f>IF(SUM(DE_AT[[#This Row],[26Q2]:[26Q4]])+SUM(DE_AT[[#This Row],[27Q1]:[27Q2]])=0,"No FSCT",IF(AND(SUM(DE_AT[[#This Row],[26Q2]:[26Q4]])&gt;0,SUM(DE_AT[[#This Row],[27Q1]:[27Q2]])=0),"YES","NO"))</f>
        <v>No FSCT</v>
      </c>
      <c r="AE40" s="85" t="str">
        <f>VLOOKUP(DE_AT[[#This Row],[Product Line]],Prod_T6[],4,0)</f>
        <v>PV</v>
      </c>
      <c r="AH40" s="2" t="str">
        <v>3 - Negotiation</v>
      </c>
    </row>
    <row r="41" spans="1:34" ht="14.5">
      <c r="A41" s="14" t="s">
        <v>32</v>
      </c>
      <c r="B41" s="1" t="s">
        <v>330</v>
      </c>
      <c r="C41" s="3" t="s">
        <v>321</v>
      </c>
      <c r="D41" s="2" t="str">
        <f>VLOOKUP(DE_AT[[#This Row],[Product Line]],Prod_T6[],5,0)</f>
        <v>TCL</v>
      </c>
      <c r="E41" s="2" t="s">
        <v>54</v>
      </c>
      <c r="F41" s="135" t="s">
        <v>159</v>
      </c>
      <c r="G41" s="2" t="s">
        <v>136</v>
      </c>
      <c r="H41" s="62"/>
      <c r="I41" s="40" t="s">
        <v>117</v>
      </c>
      <c r="J41" s="136">
        <v>0</v>
      </c>
      <c r="K41" s="136">
        <v>0</v>
      </c>
      <c r="L41" s="136">
        <v>0</v>
      </c>
      <c r="M41" s="136">
        <v>0.2</v>
      </c>
      <c r="N41" s="136">
        <v>0</v>
      </c>
      <c r="O41" s="136">
        <v>0</v>
      </c>
      <c r="P41" s="136">
        <v>0</v>
      </c>
      <c r="Q41" s="136">
        <v>0.3</v>
      </c>
      <c r="R41" s="136">
        <v>0</v>
      </c>
      <c r="S41" s="32"/>
      <c r="T41" s="69">
        <f>SUM(DE_AT[[#This Row],[26M07]:[26M09]])</f>
        <v>0.2</v>
      </c>
      <c r="U41" s="69">
        <f>SUM(DE_AT[[#This Row],[26M10]:[26M12]])</f>
        <v>0.3</v>
      </c>
      <c r="V41" s="256"/>
      <c r="W41" s="256"/>
      <c r="X41" s="256"/>
      <c r="Y41" s="256"/>
      <c r="Z41" s="256"/>
      <c r="AA41" s="256"/>
      <c r="AB41" s="256">
        <f>SUM(DE_AT[[#This Row],[27M01]:[27M03]])</f>
        <v>0</v>
      </c>
      <c r="AC41" s="256">
        <f>SUM(DE_AT[[#This Row],[27M04]:[27M06]])</f>
        <v>0</v>
      </c>
      <c r="AD41" s="256" t="str">
        <f>IF(SUM(DE_AT[[#This Row],[26Q2]:[26Q4]])+SUM(DE_AT[[#This Row],[27Q1]:[27Q2]])=0,"No FSCT",IF(AND(SUM(DE_AT[[#This Row],[26Q2]:[26Q4]])&gt;0,SUM(DE_AT[[#This Row],[27Q1]:[27Q2]])=0),"YES","NO"))</f>
        <v>YES</v>
      </c>
      <c r="AE41" s="85" t="str">
        <f>VLOOKUP(DE_AT[[#This Row],[Product Line]],Prod_T6[],4,0)</f>
        <v>PV</v>
      </c>
      <c r="AH41" s="2" t="str">
        <v>3 - Negotiation</v>
      </c>
    </row>
    <row r="42" spans="1:34" ht="14.5">
      <c r="A42" s="14" t="s">
        <v>32</v>
      </c>
      <c r="B42" s="1" t="s">
        <v>330</v>
      </c>
      <c r="C42" s="3" t="s">
        <v>321</v>
      </c>
      <c r="D42" s="2" t="str">
        <f>VLOOKUP(DE_AT[[#This Row],[Product Line]],Prod_T6[],5,0)</f>
        <v>Sunpower</v>
      </c>
      <c r="E42" s="2" t="s">
        <v>276</v>
      </c>
      <c r="F42" s="2" t="s">
        <v>322</v>
      </c>
      <c r="G42" s="2" t="s">
        <v>136</v>
      </c>
      <c r="H42" s="62"/>
      <c r="I42" s="40" t="s">
        <v>117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  <c r="P42" s="13">
        <v>0</v>
      </c>
      <c r="Q42" s="13">
        <v>0.1</v>
      </c>
      <c r="R42" s="13">
        <v>0</v>
      </c>
      <c r="S42" s="32">
        <f>SUM(DE_AT[[#This Row],[26M04]:[26M06]])</f>
        <v>0</v>
      </c>
      <c r="T42" s="69">
        <f>SUM(DE_AT[[#This Row],[26M07]:[26M09]])</f>
        <v>0</v>
      </c>
      <c r="U42" s="69">
        <f>SUM(DE_AT[[#This Row],[26M10]:[26M12]])</f>
        <v>0.1</v>
      </c>
      <c r="V42" s="256"/>
      <c r="W42" s="256"/>
      <c r="X42" s="256"/>
      <c r="Y42" s="256"/>
      <c r="Z42" s="256"/>
      <c r="AA42" s="256"/>
      <c r="AB42" s="256">
        <f>SUM(DE_AT[[#This Row],[27M01]:[27M03]])</f>
        <v>0</v>
      </c>
      <c r="AC42" s="256">
        <f>SUM(DE_AT[[#This Row],[27M04]:[27M06]])</f>
        <v>0</v>
      </c>
      <c r="AD42" s="256" t="str">
        <f>IF(SUM(DE_AT[[#This Row],[26Q2]:[26Q4]])+SUM(DE_AT[[#This Row],[27Q1]:[27Q2]])=0,"No FSCT",IF(AND(SUM(DE_AT[[#This Row],[26Q2]:[26Q4]])&gt;0,SUM(DE_AT[[#This Row],[27Q1]:[27Q2]])=0),"YES","NO"))</f>
        <v>YES</v>
      </c>
      <c r="AE42" s="85" t="str">
        <f>VLOOKUP(DE_AT[[#This Row],[Product Line]],Prod_T6[],4,0)</f>
        <v>PV</v>
      </c>
      <c r="AH42" s="2" t="str">
        <v>3 - Negotiation</v>
      </c>
    </row>
    <row r="43" spans="1:34" ht="14.5">
      <c r="A43" s="14" t="s">
        <v>32</v>
      </c>
      <c r="B43" s="1" t="s">
        <v>340</v>
      </c>
      <c r="C43" s="3" t="s">
        <v>321</v>
      </c>
      <c r="D43" s="2" t="str">
        <f>VLOOKUP(DE_AT[[#This Row],[Product Line]],Prod_T6[],5,0)</f>
        <v>TCL</v>
      </c>
      <c r="E43" s="2" t="s">
        <v>149</v>
      </c>
      <c r="F43" s="135" t="s">
        <v>289</v>
      </c>
      <c r="G43" s="2" t="s">
        <v>136</v>
      </c>
      <c r="H43" s="62"/>
      <c r="I43" s="40" t="s">
        <v>117</v>
      </c>
      <c r="J43" s="136">
        <v>0</v>
      </c>
      <c r="K43" s="136">
        <v>0</v>
      </c>
      <c r="L43" s="136">
        <v>0</v>
      </c>
      <c r="M43" s="136">
        <v>0</v>
      </c>
      <c r="N43" s="136">
        <v>0</v>
      </c>
      <c r="O43" s="136">
        <v>1</v>
      </c>
      <c r="P43" s="136">
        <v>0</v>
      </c>
      <c r="Q43" s="136">
        <v>1</v>
      </c>
      <c r="R43" s="136">
        <v>0</v>
      </c>
      <c r="S43" s="32">
        <f>SUM(DE_AT[[#This Row],[26M04]:[26M06]])</f>
        <v>0</v>
      </c>
      <c r="T43" s="69">
        <f>SUM(DE_AT[[#This Row],[26M07]:[26M09]])</f>
        <v>1</v>
      </c>
      <c r="U43" s="69">
        <f>SUM(DE_AT[[#This Row],[26M10]:[26M12]])</f>
        <v>1</v>
      </c>
      <c r="V43" s="256"/>
      <c r="W43" s="256"/>
      <c r="X43" s="256"/>
      <c r="Y43" s="256"/>
      <c r="Z43" s="256"/>
      <c r="AA43" s="256"/>
      <c r="AB43" s="256">
        <f>SUM(DE_AT[[#This Row],[27M01]:[27M03]])</f>
        <v>0</v>
      </c>
      <c r="AC43" s="256">
        <f>SUM(DE_AT[[#This Row],[27M04]:[27M06]])</f>
        <v>0</v>
      </c>
      <c r="AD43" s="256" t="str">
        <f>IF(SUM(DE_AT[[#This Row],[26Q2]:[26Q4]])+SUM(DE_AT[[#This Row],[27Q1]:[27Q2]])=0,"No FSCT",IF(AND(SUM(DE_AT[[#This Row],[26Q2]:[26Q4]])&gt;0,SUM(DE_AT[[#This Row],[27Q1]:[27Q2]])=0),"YES","NO"))</f>
        <v>YES</v>
      </c>
      <c r="AE43" s="85" t="str">
        <f>VLOOKUP(DE_AT[[#This Row],[Product Line]],Prod_T6[],4,0)</f>
        <v>PV</v>
      </c>
      <c r="AH43" s="2" t="str">
        <v>3 - Negotiation</v>
      </c>
    </row>
    <row r="44" spans="1:34">
      <c r="A44" s="14" t="s">
        <v>32</v>
      </c>
      <c r="B44" s="1" t="s">
        <v>341</v>
      </c>
      <c r="C44" s="3" t="s">
        <v>321</v>
      </c>
      <c r="D44" s="2" t="str">
        <f>VLOOKUP(DE_AT[[#This Row],[Product Line]],Prod_T6[],5,0)</f>
        <v>Sunpower</v>
      </c>
      <c r="E44" s="2" t="s">
        <v>197</v>
      </c>
      <c r="F44" s="2" t="s">
        <v>62</v>
      </c>
      <c r="G44" s="2" t="s">
        <v>136</v>
      </c>
      <c r="H44" s="62"/>
      <c r="I44" s="40" t="s">
        <v>117</v>
      </c>
      <c r="J44" s="13">
        <v>0</v>
      </c>
      <c r="K44" s="13">
        <v>1</v>
      </c>
      <c r="L44" s="13">
        <v>1</v>
      </c>
      <c r="M44" s="13">
        <v>0</v>
      </c>
      <c r="N44" s="13">
        <v>1</v>
      </c>
      <c r="O44" s="13">
        <v>0</v>
      </c>
      <c r="P44" s="13">
        <v>0</v>
      </c>
      <c r="Q44" s="13">
        <v>1</v>
      </c>
      <c r="R44" s="13">
        <v>0</v>
      </c>
      <c r="S44" s="32">
        <f>SUM(DE_AT[[#This Row],[26M04]:[26M06]])</f>
        <v>2</v>
      </c>
      <c r="T44" s="69">
        <f>SUM(DE_AT[[#This Row],[26M07]:[26M09]])</f>
        <v>1</v>
      </c>
      <c r="U44" s="69">
        <f>SUM(DE_AT[[#This Row],[26M10]:[26M12]])</f>
        <v>1</v>
      </c>
      <c r="V44" s="256"/>
      <c r="W44" s="256"/>
      <c r="X44" s="256"/>
      <c r="Y44" s="256"/>
      <c r="Z44" s="256"/>
      <c r="AA44" s="256"/>
      <c r="AB44" s="256">
        <f>SUM(DE_AT[[#This Row],[27M01]:[27M03]])</f>
        <v>0</v>
      </c>
      <c r="AC44" s="256">
        <f>SUM(DE_AT[[#This Row],[27M04]:[27M06]])</f>
        <v>0</v>
      </c>
      <c r="AD44" s="256" t="str">
        <f>IF(SUM(DE_AT[[#This Row],[26Q2]:[26Q4]])+SUM(DE_AT[[#This Row],[27Q1]:[27Q2]])=0,"No FSCT",IF(AND(SUM(DE_AT[[#This Row],[26Q2]:[26Q4]])&gt;0,SUM(DE_AT[[#This Row],[27Q1]:[27Q2]])=0),"YES","NO"))</f>
        <v>YES</v>
      </c>
      <c r="AE44" s="120" t="str">
        <f>VLOOKUP(DE_AT[[#This Row],[Product Line]],Prod_T6[],4,0)</f>
        <v>ESS</v>
      </c>
      <c r="AH44" s="2" t="str">
        <v>3 - Negotiation</v>
      </c>
    </row>
    <row r="45" spans="1:34">
      <c r="A45" s="14" t="s">
        <v>32</v>
      </c>
      <c r="B45" s="1" t="s">
        <v>341</v>
      </c>
      <c r="C45" s="3" t="s">
        <v>321</v>
      </c>
      <c r="D45" s="2" t="str">
        <f>VLOOKUP(DE_AT[[#This Row],[Product Line]],Prod_T6[],5,0)</f>
        <v>Sunpower</v>
      </c>
      <c r="E45" s="2" t="s">
        <v>276</v>
      </c>
      <c r="F45" s="2" t="s">
        <v>322</v>
      </c>
      <c r="G45" s="2" t="s">
        <v>136</v>
      </c>
      <c r="H45" s="62"/>
      <c r="I45" s="40" t="s">
        <v>117</v>
      </c>
      <c r="J45" s="13">
        <v>0</v>
      </c>
      <c r="K45" s="13">
        <v>0</v>
      </c>
      <c r="L45" s="13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0.05</v>
      </c>
      <c r="R45" s="13">
        <v>0</v>
      </c>
      <c r="S45" s="32">
        <f>SUM(DE_AT[[#This Row],[26M04]:[26M06]])</f>
        <v>0</v>
      </c>
      <c r="T45" s="69">
        <f>SUM(DE_AT[[#This Row],[26M07]:[26M09]])</f>
        <v>0</v>
      </c>
      <c r="U45" s="69">
        <f>SUM(DE_AT[[#This Row],[26M10]:[26M12]])</f>
        <v>0.05</v>
      </c>
      <c r="V45" s="256"/>
      <c r="W45" s="256"/>
      <c r="X45" s="256"/>
      <c r="Y45" s="256"/>
      <c r="Z45" s="256"/>
      <c r="AA45" s="256"/>
      <c r="AB45" s="256">
        <f>SUM(DE_AT[[#This Row],[27M01]:[27M03]])</f>
        <v>0</v>
      </c>
      <c r="AC45" s="256">
        <f>SUM(DE_AT[[#This Row],[27M04]:[27M06]])</f>
        <v>0</v>
      </c>
      <c r="AD45" s="256" t="str">
        <f>IF(SUM(DE_AT[[#This Row],[26Q2]:[26Q4]])+SUM(DE_AT[[#This Row],[27Q1]:[27Q2]])=0,"No FSCT",IF(AND(SUM(DE_AT[[#This Row],[26Q2]:[26Q4]])&gt;0,SUM(DE_AT[[#This Row],[27Q1]:[27Q2]])=0),"YES","NO"))</f>
        <v>YES</v>
      </c>
      <c r="AE45" s="120" t="str">
        <f>VLOOKUP(DE_AT[[#This Row],[Product Line]],Prod_T6[],4,0)</f>
        <v>PV</v>
      </c>
      <c r="AH45" s="2" t="str">
        <v>3 - Negotiation</v>
      </c>
    </row>
    <row r="46" spans="1:34" ht="14.5">
      <c r="A46" s="14" t="s">
        <v>32</v>
      </c>
      <c r="B46" s="1" t="s">
        <v>349</v>
      </c>
      <c r="C46" s="3" t="s">
        <v>321</v>
      </c>
      <c r="D46" s="2" t="str">
        <f>VLOOKUP(DE_AT[[#This Row],[Product Line]],Prod_T6[],5,0)</f>
        <v>TCL</v>
      </c>
      <c r="E46" s="2" t="s">
        <v>149</v>
      </c>
      <c r="F46" s="135" t="s">
        <v>289</v>
      </c>
      <c r="G46" s="2" t="s">
        <v>136</v>
      </c>
      <c r="H46" s="62"/>
      <c r="I46" s="40" t="s">
        <v>117</v>
      </c>
      <c r="J46" s="136">
        <v>0</v>
      </c>
      <c r="K46" s="136">
        <v>0</v>
      </c>
      <c r="L46" s="136">
        <v>0</v>
      </c>
      <c r="M46" s="136">
        <v>0</v>
      </c>
      <c r="N46" s="136">
        <v>0.45</v>
      </c>
      <c r="O46" s="136">
        <v>0</v>
      </c>
      <c r="P46" s="136">
        <v>0</v>
      </c>
      <c r="Q46" s="136">
        <v>0.45</v>
      </c>
      <c r="R46" s="136">
        <v>0</v>
      </c>
      <c r="S46" s="32">
        <f>SUM(DE_AT[[#This Row],[26M04]:[26M06]])</f>
        <v>0</v>
      </c>
      <c r="T46" s="69">
        <f>SUM(DE_AT[[#This Row],[26M07]:[26M09]])</f>
        <v>0.45</v>
      </c>
      <c r="U46" s="69">
        <f>SUM(DE_AT[[#This Row],[26M10]:[26M12]])</f>
        <v>0.45</v>
      </c>
      <c r="V46" s="256"/>
      <c r="W46" s="256"/>
      <c r="X46" s="256"/>
      <c r="Y46" s="256"/>
      <c r="Z46" s="256"/>
      <c r="AA46" s="256"/>
      <c r="AB46" s="256">
        <f>SUM(DE_AT[[#This Row],[27M01]:[27M03]])</f>
        <v>0</v>
      </c>
      <c r="AC46" s="256">
        <f>SUM(DE_AT[[#This Row],[27M04]:[27M06]])</f>
        <v>0</v>
      </c>
      <c r="AD46" s="256" t="str">
        <f>IF(SUM(DE_AT[[#This Row],[26Q2]:[26Q4]])+SUM(DE_AT[[#This Row],[27Q1]:[27Q2]])=0,"No FSCT",IF(AND(SUM(DE_AT[[#This Row],[26Q2]:[26Q4]])&gt;0,SUM(DE_AT[[#This Row],[27Q1]:[27Q2]])=0),"YES","NO"))</f>
        <v>YES</v>
      </c>
      <c r="AE46" s="85" t="str">
        <f>VLOOKUP(DE_AT[[#This Row],[Product Line]],Prod_T6[],4,0)</f>
        <v>PV</v>
      </c>
      <c r="AH46" s="2" t="str">
        <v>3 - Negotiation</v>
      </c>
    </row>
    <row r="47" spans="1:34" ht="14.5">
      <c r="A47" s="14" t="s">
        <v>32</v>
      </c>
      <c r="B47" s="1" t="s">
        <v>349</v>
      </c>
      <c r="C47" s="3" t="s">
        <v>321</v>
      </c>
      <c r="D47" s="2" t="str">
        <f>VLOOKUP(DE_AT[[#This Row],[Product Line]],Prod_T6[],5,0)</f>
        <v>Sunpower</v>
      </c>
      <c r="E47" s="2" t="s">
        <v>276</v>
      </c>
      <c r="F47" s="2" t="s">
        <v>322</v>
      </c>
      <c r="G47" s="2" t="s">
        <v>136</v>
      </c>
      <c r="H47" s="62"/>
      <c r="I47" s="40" t="s">
        <v>117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0.1</v>
      </c>
      <c r="Q47" s="13">
        <v>0</v>
      </c>
      <c r="R47" s="13">
        <v>0.1</v>
      </c>
      <c r="S47" s="32">
        <f>SUM(DE_AT[[#This Row],[26M04]:[26M06]])</f>
        <v>0</v>
      </c>
      <c r="T47" s="69">
        <f>SUM(DE_AT[[#This Row],[26M07]:[26M09]])</f>
        <v>0</v>
      </c>
      <c r="U47" s="69">
        <f>SUM(DE_AT[[#This Row],[26M10]:[26M12]])</f>
        <v>0.2</v>
      </c>
      <c r="V47" s="256"/>
      <c r="W47" s="256"/>
      <c r="X47" s="256"/>
      <c r="Y47" s="256"/>
      <c r="Z47" s="256"/>
      <c r="AA47" s="256"/>
      <c r="AB47" s="256">
        <f>SUM(DE_AT[[#This Row],[27M01]:[27M03]])</f>
        <v>0</v>
      </c>
      <c r="AC47" s="256">
        <f>SUM(DE_AT[[#This Row],[27M04]:[27M06]])</f>
        <v>0</v>
      </c>
      <c r="AD47" s="256" t="str">
        <f>IF(SUM(DE_AT[[#This Row],[26Q2]:[26Q4]])+SUM(DE_AT[[#This Row],[27Q1]:[27Q2]])=0,"No FSCT",IF(AND(SUM(DE_AT[[#This Row],[26Q2]:[26Q4]])&gt;0,SUM(DE_AT[[#This Row],[27Q1]:[27Q2]])=0),"YES","NO"))</f>
        <v>YES</v>
      </c>
      <c r="AE47" s="85" t="str">
        <f>VLOOKUP(DE_AT[[#This Row],[Product Line]],Prod_T6[],4,0)</f>
        <v>PV</v>
      </c>
      <c r="AH47" s="2" t="str">
        <v>3 - Negotiation</v>
      </c>
    </row>
    <row r="48" spans="1:34" ht="14.5">
      <c r="A48" s="14" t="s">
        <v>32</v>
      </c>
      <c r="B48" s="1" t="s">
        <v>350</v>
      </c>
      <c r="C48" s="3" t="s">
        <v>321</v>
      </c>
      <c r="D48" s="2" t="str">
        <f>VLOOKUP(DE_AT[[#This Row],[Product Line]],Prod_T6[],5,0)</f>
        <v>TCL</v>
      </c>
      <c r="E48" s="2" t="s">
        <v>149</v>
      </c>
      <c r="F48" s="135" t="s">
        <v>289</v>
      </c>
      <c r="G48" s="2" t="s">
        <v>136</v>
      </c>
      <c r="H48" s="62"/>
      <c r="I48" s="40" t="s">
        <v>117</v>
      </c>
      <c r="J48" s="136">
        <v>0</v>
      </c>
      <c r="K48" s="136">
        <v>0</v>
      </c>
      <c r="L48" s="136">
        <v>0</v>
      </c>
      <c r="M48" s="136">
        <v>0</v>
      </c>
      <c r="N48" s="136">
        <v>0.45</v>
      </c>
      <c r="O48" s="136">
        <v>0</v>
      </c>
      <c r="P48" s="136">
        <v>0.45</v>
      </c>
      <c r="Q48" s="136">
        <v>0</v>
      </c>
      <c r="R48" s="136">
        <v>0.45</v>
      </c>
      <c r="S48" s="32">
        <f>SUM(DE_AT[[#This Row],[26M04]:[26M06]])</f>
        <v>0</v>
      </c>
      <c r="T48" s="69">
        <f>SUM(DE_AT[[#This Row],[26M07]:[26M09]])</f>
        <v>0.45</v>
      </c>
      <c r="U48" s="69">
        <f>SUM(DE_AT[[#This Row],[26M10]:[26M12]])</f>
        <v>0.9</v>
      </c>
      <c r="V48" s="256"/>
      <c r="W48" s="256"/>
      <c r="X48" s="256"/>
      <c r="Y48" s="256"/>
      <c r="Z48" s="256"/>
      <c r="AA48" s="256"/>
      <c r="AB48" s="256">
        <f>SUM(DE_AT[[#This Row],[27M01]:[27M03]])</f>
        <v>0</v>
      </c>
      <c r="AC48" s="256">
        <f>SUM(DE_AT[[#This Row],[27M04]:[27M06]])</f>
        <v>0</v>
      </c>
      <c r="AD48" s="256" t="str">
        <f>IF(SUM(DE_AT[[#This Row],[26Q2]:[26Q4]])+SUM(DE_AT[[#This Row],[27Q1]:[27Q2]])=0,"No FSCT",IF(AND(SUM(DE_AT[[#This Row],[26Q2]:[26Q4]])&gt;0,SUM(DE_AT[[#This Row],[27Q1]:[27Q2]])=0),"YES","NO"))</f>
        <v>YES</v>
      </c>
      <c r="AE48" s="85" t="str">
        <f>VLOOKUP(DE_AT[[#This Row],[Product Line]],Prod_T6[],4,0)</f>
        <v>PV</v>
      </c>
      <c r="AH48" s="2" t="str">
        <v>3 - Negotiation</v>
      </c>
    </row>
    <row r="49" spans="1:34" ht="14.5">
      <c r="A49" s="14" t="s">
        <v>32</v>
      </c>
      <c r="B49" s="1" t="s">
        <v>351</v>
      </c>
      <c r="C49" s="3" t="s">
        <v>321</v>
      </c>
      <c r="D49" s="2" t="str">
        <f>VLOOKUP(DE_AT[[#This Row],[Product Line]],Prod_T6[],5,0)</f>
        <v>TCL</v>
      </c>
      <c r="E49" s="2" t="s">
        <v>54</v>
      </c>
      <c r="F49" s="2" t="s">
        <v>170</v>
      </c>
      <c r="G49" s="2" t="s">
        <v>136</v>
      </c>
      <c r="H49" s="62"/>
      <c r="I49" s="40" t="s">
        <v>117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0.7</v>
      </c>
      <c r="P49" s="13">
        <v>0</v>
      </c>
      <c r="Q49" s="13">
        <v>0</v>
      </c>
      <c r="R49" s="13">
        <v>0</v>
      </c>
      <c r="S49" s="32">
        <f>SUM(DE_AT[[#This Row],[26M04]:[26M06]])</f>
        <v>0</v>
      </c>
      <c r="T49" s="69">
        <f>SUM(DE_AT[[#This Row],[26M07]:[26M09]])</f>
        <v>0.7</v>
      </c>
      <c r="U49" s="69">
        <f>SUM(DE_AT[[#This Row],[26M10]:[26M12]])</f>
        <v>0</v>
      </c>
      <c r="V49" s="256"/>
      <c r="W49" s="256"/>
      <c r="X49" s="256"/>
      <c r="Y49" s="256"/>
      <c r="Z49" s="256"/>
      <c r="AA49" s="256"/>
      <c r="AB49" s="256">
        <f>SUM(DE_AT[[#This Row],[27M01]:[27M03]])</f>
        <v>0</v>
      </c>
      <c r="AC49" s="256">
        <f>SUM(DE_AT[[#This Row],[27M04]:[27M06]])</f>
        <v>0</v>
      </c>
      <c r="AD49" s="256" t="str">
        <f>IF(SUM(DE_AT[[#This Row],[26Q2]:[26Q4]])+SUM(DE_AT[[#This Row],[27Q1]:[27Q2]])=0,"No FSCT",IF(AND(SUM(DE_AT[[#This Row],[26Q2]:[26Q4]])&gt;0,SUM(DE_AT[[#This Row],[27Q1]:[27Q2]])=0),"YES","NO"))</f>
        <v>YES</v>
      </c>
      <c r="AE49" s="85" t="str">
        <f>VLOOKUP(DE_AT[[#This Row],[Product Line]],Prod_T6[],4,0)</f>
        <v>PV</v>
      </c>
      <c r="AH49" s="2" t="str">
        <v>3 - Negotiation</v>
      </c>
    </row>
    <row r="50" spans="1:34">
      <c r="A50" s="14" t="s">
        <v>32</v>
      </c>
      <c r="B50" s="1" t="s">
        <v>351</v>
      </c>
      <c r="C50" s="3" t="s">
        <v>321</v>
      </c>
      <c r="D50" s="2" t="str">
        <f>VLOOKUP(DE_AT[[#This Row],[Product Line]],Prod_T6[],5,0)</f>
        <v>Sunpower</v>
      </c>
      <c r="E50" s="2" t="s">
        <v>276</v>
      </c>
      <c r="F50" s="2" t="s">
        <v>322</v>
      </c>
      <c r="G50" s="2" t="s">
        <v>136</v>
      </c>
      <c r="H50" s="62"/>
      <c r="I50" s="40" t="s">
        <v>117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0.1</v>
      </c>
      <c r="Q50" s="13">
        <v>0</v>
      </c>
      <c r="R50" s="13">
        <v>0.1</v>
      </c>
      <c r="S50" s="32">
        <f>SUM(DE_AT[[#This Row],[26M04]:[26M06]])</f>
        <v>0</v>
      </c>
      <c r="T50" s="69">
        <f>SUM(DE_AT[[#This Row],[26M07]:[26M09]])</f>
        <v>0</v>
      </c>
      <c r="U50" s="69">
        <f>SUM(DE_AT[[#This Row],[26M10]:[26M12]])</f>
        <v>0.2</v>
      </c>
      <c r="V50" s="256"/>
      <c r="W50" s="256"/>
      <c r="X50" s="256"/>
      <c r="Y50" s="256"/>
      <c r="Z50" s="256"/>
      <c r="AA50" s="256"/>
      <c r="AB50" s="256">
        <f>SUM(DE_AT[[#This Row],[27M01]:[27M03]])</f>
        <v>0</v>
      </c>
      <c r="AC50" s="256">
        <f>SUM(DE_AT[[#This Row],[27M04]:[27M06]])</f>
        <v>0</v>
      </c>
      <c r="AD50" s="256" t="str">
        <f>IF(SUM(DE_AT[[#This Row],[26Q2]:[26Q4]])+SUM(DE_AT[[#This Row],[27Q1]:[27Q2]])=0,"No FSCT",IF(AND(SUM(DE_AT[[#This Row],[26Q2]:[26Q4]])&gt;0,SUM(DE_AT[[#This Row],[27Q1]:[27Q2]])=0),"YES","NO"))</f>
        <v>YES</v>
      </c>
      <c r="AE50" s="120" t="str">
        <f>VLOOKUP(DE_AT[[#This Row],[Product Line]],Prod_T6[],4,0)</f>
        <v>PV</v>
      </c>
      <c r="AH50" s="2" t="str">
        <v>3 - Negotiation</v>
      </c>
    </row>
    <row r="51" spans="1:34" ht="14.5">
      <c r="A51" s="14" t="s">
        <v>32</v>
      </c>
      <c r="B51" s="1" t="s">
        <v>352</v>
      </c>
      <c r="C51" s="3" t="s">
        <v>321</v>
      </c>
      <c r="D51" s="2" t="str">
        <f>VLOOKUP(DE_AT[[#This Row],[Product Line]],Prod_T6[],5,0)</f>
        <v>Sunpower</v>
      </c>
      <c r="E51" s="2" t="s">
        <v>118</v>
      </c>
      <c r="F51" s="2" t="s">
        <v>119</v>
      </c>
      <c r="G51" s="2" t="s">
        <v>136</v>
      </c>
      <c r="H51" s="62"/>
      <c r="I51" s="40" t="s">
        <v>117</v>
      </c>
      <c r="J51" s="13">
        <v>0</v>
      </c>
      <c r="K51" s="13">
        <v>0.02</v>
      </c>
      <c r="L51" s="13">
        <v>0</v>
      </c>
      <c r="M51" s="13">
        <v>0</v>
      </c>
      <c r="N51" s="13">
        <v>0</v>
      </c>
      <c r="O51" s="13">
        <v>0.03</v>
      </c>
      <c r="P51" s="13">
        <v>0</v>
      </c>
      <c r="Q51" s="13">
        <v>0</v>
      </c>
      <c r="R51" s="13">
        <v>0</v>
      </c>
      <c r="S51" s="32">
        <f>SUM(DE_AT[[#This Row],[26M04]:[26M06]])</f>
        <v>0.02</v>
      </c>
      <c r="T51" s="69">
        <f>SUM(DE_AT[[#This Row],[26M07]:[26M09]])</f>
        <v>0.03</v>
      </c>
      <c r="U51" s="69">
        <f>SUM(DE_AT[[#This Row],[26M10]:[26M12]])</f>
        <v>0</v>
      </c>
      <c r="V51" s="256"/>
      <c r="W51" s="256"/>
      <c r="X51" s="256"/>
      <c r="Y51" s="256"/>
      <c r="Z51" s="256"/>
      <c r="AA51" s="256"/>
      <c r="AB51" s="256">
        <f>SUM(DE_AT[[#This Row],[27M01]:[27M03]])</f>
        <v>0</v>
      </c>
      <c r="AC51" s="256">
        <f>SUM(DE_AT[[#This Row],[27M04]:[27M06]])</f>
        <v>0</v>
      </c>
      <c r="AD51" s="256" t="str">
        <f>IF(SUM(DE_AT[[#This Row],[26Q2]:[26Q4]])+SUM(DE_AT[[#This Row],[27Q1]:[27Q2]])=0,"No FSCT",IF(AND(SUM(DE_AT[[#This Row],[26Q2]:[26Q4]])&gt;0,SUM(DE_AT[[#This Row],[27Q1]:[27Q2]])=0),"YES","NO"))</f>
        <v>YES</v>
      </c>
      <c r="AE51" s="85" t="str">
        <f>VLOOKUP(DE_AT[[#This Row],[Product Line]],Prod_T6[],4,0)</f>
        <v>PV</v>
      </c>
      <c r="AH51" s="2" t="str">
        <v>3 - Negotiation</v>
      </c>
    </row>
    <row r="52" spans="1:34" ht="14.5">
      <c r="A52" s="14" t="s">
        <v>32</v>
      </c>
      <c r="B52" s="1" t="s">
        <v>352</v>
      </c>
      <c r="C52" s="3" t="s">
        <v>321</v>
      </c>
      <c r="D52" s="2" t="str">
        <f>VLOOKUP(DE_AT[[#This Row],[Product Line]],Prod_T6[],5,0)</f>
        <v>Sunpower</v>
      </c>
      <c r="E52" s="2" t="s">
        <v>276</v>
      </c>
      <c r="F52" s="2" t="s">
        <v>322</v>
      </c>
      <c r="G52" s="2" t="s">
        <v>136</v>
      </c>
      <c r="H52" s="62"/>
      <c r="I52" s="40" t="s">
        <v>117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  <c r="P52" s="13">
        <v>0.05</v>
      </c>
      <c r="Q52" s="13">
        <v>0</v>
      </c>
      <c r="R52" s="13">
        <v>0.05</v>
      </c>
      <c r="S52" s="32">
        <f>SUM(DE_AT[[#This Row],[26M04]:[26M06]])</f>
        <v>0</v>
      </c>
      <c r="T52" s="69">
        <f>SUM(DE_AT[[#This Row],[26M07]:[26M09]])</f>
        <v>0</v>
      </c>
      <c r="U52" s="69">
        <f>SUM(DE_AT[[#This Row],[26M10]:[26M12]])</f>
        <v>0.1</v>
      </c>
      <c r="V52" s="256"/>
      <c r="W52" s="256"/>
      <c r="X52" s="256"/>
      <c r="Y52" s="256"/>
      <c r="Z52" s="256"/>
      <c r="AA52" s="256"/>
      <c r="AB52" s="256">
        <f>SUM(DE_AT[[#This Row],[27M01]:[27M03]])</f>
        <v>0</v>
      </c>
      <c r="AC52" s="256">
        <f>SUM(DE_AT[[#This Row],[27M04]:[27M06]])</f>
        <v>0</v>
      </c>
      <c r="AD52" s="256" t="str">
        <f>IF(SUM(DE_AT[[#This Row],[26Q2]:[26Q4]])+SUM(DE_AT[[#This Row],[27Q1]:[27Q2]])=0,"No FSCT",IF(AND(SUM(DE_AT[[#This Row],[26Q2]:[26Q4]])&gt;0,SUM(DE_AT[[#This Row],[27Q1]:[27Q2]])=0),"YES","NO"))</f>
        <v>YES</v>
      </c>
      <c r="AE52" s="85" t="str">
        <f>VLOOKUP(DE_AT[[#This Row],[Product Line]],Prod_T6[],4,0)</f>
        <v>PV</v>
      </c>
      <c r="AH52" s="2" t="str">
        <v>3 - Negotiation</v>
      </c>
    </row>
    <row r="53" spans="1:34" ht="14.5">
      <c r="A53" s="14" t="s">
        <v>32</v>
      </c>
      <c r="B53" s="1" t="s">
        <v>353</v>
      </c>
      <c r="C53" s="3" t="s">
        <v>321</v>
      </c>
      <c r="D53" s="2" t="str">
        <f>VLOOKUP(DE_AT[[#This Row],[Product Line]],Prod_T6[],5,0)</f>
        <v>Sunpower</v>
      </c>
      <c r="E53" s="2" t="s">
        <v>118</v>
      </c>
      <c r="F53" s="2" t="s">
        <v>119</v>
      </c>
      <c r="G53" s="2" t="s">
        <v>136</v>
      </c>
      <c r="H53" s="62"/>
      <c r="I53" s="40" t="s">
        <v>117</v>
      </c>
      <c r="J53" s="13">
        <v>0</v>
      </c>
      <c r="K53" s="13">
        <v>0.03</v>
      </c>
      <c r="L53" s="13">
        <v>0</v>
      </c>
      <c r="M53" s="13">
        <v>0</v>
      </c>
      <c r="N53" s="13">
        <v>0.03</v>
      </c>
      <c r="O53" s="13">
        <v>0</v>
      </c>
      <c r="P53" s="13">
        <v>0</v>
      </c>
      <c r="Q53" s="13">
        <v>0</v>
      </c>
      <c r="R53" s="13">
        <v>0</v>
      </c>
      <c r="S53" s="32">
        <f>SUM(DE_AT[[#This Row],[26M04]:[26M06]])</f>
        <v>0.03</v>
      </c>
      <c r="T53" s="69">
        <f>SUM(DE_AT[[#This Row],[26M07]:[26M09]])</f>
        <v>0.03</v>
      </c>
      <c r="U53" s="69">
        <f>SUM(DE_AT[[#This Row],[26M10]:[26M12]])</f>
        <v>0</v>
      </c>
      <c r="V53" s="256"/>
      <c r="W53" s="256"/>
      <c r="X53" s="256"/>
      <c r="Y53" s="256"/>
      <c r="Z53" s="256"/>
      <c r="AA53" s="256"/>
      <c r="AB53" s="256">
        <f>SUM(DE_AT[[#This Row],[27M01]:[27M03]])</f>
        <v>0</v>
      </c>
      <c r="AC53" s="256">
        <f>SUM(DE_AT[[#This Row],[27M04]:[27M06]])</f>
        <v>0</v>
      </c>
      <c r="AD53" s="256" t="str">
        <f>IF(SUM(DE_AT[[#This Row],[26Q2]:[26Q4]])+SUM(DE_AT[[#This Row],[27Q1]:[27Q2]])=0,"No FSCT",IF(AND(SUM(DE_AT[[#This Row],[26Q2]:[26Q4]])&gt;0,SUM(DE_AT[[#This Row],[27Q1]:[27Q2]])=0),"YES","NO"))</f>
        <v>YES</v>
      </c>
      <c r="AE53" s="85" t="str">
        <f>VLOOKUP(DE_AT[[#This Row],[Product Line]],Prod_T6[],4,0)</f>
        <v>PV</v>
      </c>
      <c r="AH53" s="2" t="str">
        <v>3 - Negotiation</v>
      </c>
    </row>
    <row r="54" spans="1:34" ht="14.5">
      <c r="A54" s="14" t="s">
        <v>32</v>
      </c>
      <c r="B54" s="1" t="s">
        <v>353</v>
      </c>
      <c r="C54" s="3" t="s">
        <v>321</v>
      </c>
      <c r="D54" s="2" t="str">
        <f>VLOOKUP(DE_AT[[#This Row],[Product Line]],Prod_T6[],5,0)</f>
        <v>Sunpower</v>
      </c>
      <c r="E54" s="2" t="s">
        <v>276</v>
      </c>
      <c r="F54" s="2" t="s">
        <v>322</v>
      </c>
      <c r="G54" s="2" t="s">
        <v>136</v>
      </c>
      <c r="H54" s="62"/>
      <c r="I54" s="40" t="s">
        <v>117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0.05</v>
      </c>
      <c r="Q54" s="13">
        <v>0</v>
      </c>
      <c r="R54" s="13">
        <v>0.05</v>
      </c>
      <c r="S54" s="32">
        <f>SUM(DE_AT[[#This Row],[26M04]:[26M06]])</f>
        <v>0</v>
      </c>
      <c r="T54" s="69">
        <f>SUM(DE_AT[[#This Row],[26M07]:[26M09]])</f>
        <v>0</v>
      </c>
      <c r="U54" s="69">
        <f>SUM(DE_AT[[#This Row],[26M10]:[26M12]])</f>
        <v>0.1</v>
      </c>
      <c r="V54" s="256"/>
      <c r="W54" s="256"/>
      <c r="X54" s="256"/>
      <c r="Y54" s="256"/>
      <c r="Z54" s="256"/>
      <c r="AA54" s="256"/>
      <c r="AB54" s="256">
        <f>SUM(DE_AT[[#This Row],[27M01]:[27M03]])</f>
        <v>0</v>
      </c>
      <c r="AC54" s="256">
        <f>SUM(DE_AT[[#This Row],[27M04]:[27M06]])</f>
        <v>0</v>
      </c>
      <c r="AD54" s="256" t="str">
        <f>IF(SUM(DE_AT[[#This Row],[26Q2]:[26Q4]])+SUM(DE_AT[[#This Row],[27Q1]:[27Q2]])=0,"No FSCT",IF(AND(SUM(DE_AT[[#This Row],[26Q2]:[26Q4]])&gt;0,SUM(DE_AT[[#This Row],[27Q1]:[27Q2]])=0),"YES","NO"))</f>
        <v>YES</v>
      </c>
      <c r="AE54" s="85" t="str">
        <f>VLOOKUP(DE_AT[[#This Row],[Product Line]],Prod_T6[],4,0)</f>
        <v>PV</v>
      </c>
      <c r="AH54" s="2" t="str">
        <v>3 - Negotiation</v>
      </c>
    </row>
    <row r="55" spans="1:34" ht="14.5">
      <c r="A55" s="14" t="s">
        <v>32</v>
      </c>
      <c r="B55" s="1" t="s">
        <v>354</v>
      </c>
      <c r="C55" s="3" t="s">
        <v>321</v>
      </c>
      <c r="D55" s="2" t="str">
        <f>VLOOKUP(DE_AT[[#This Row],[Product Line]],Prod_T6[],5,0)</f>
        <v>TCL</v>
      </c>
      <c r="E55" s="2" t="s">
        <v>149</v>
      </c>
      <c r="F55" s="2" t="s">
        <v>289</v>
      </c>
      <c r="G55" s="2" t="s">
        <v>136</v>
      </c>
      <c r="H55" s="62"/>
      <c r="I55" s="40" t="s">
        <v>117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0.45</v>
      </c>
      <c r="P55" s="13">
        <v>0</v>
      </c>
      <c r="Q55" s="13">
        <v>0</v>
      </c>
      <c r="R55" s="13">
        <v>0</v>
      </c>
      <c r="S55" s="32">
        <f>SUM(DE_AT[[#This Row],[26M04]:[26M06]])</f>
        <v>0</v>
      </c>
      <c r="T55" s="69">
        <f>SUM(DE_AT[[#This Row],[26M07]:[26M09]])</f>
        <v>0.45</v>
      </c>
      <c r="U55" s="69">
        <f>SUM(DE_AT[[#This Row],[26M10]:[26M12]])</f>
        <v>0</v>
      </c>
      <c r="V55" s="256"/>
      <c r="W55" s="256"/>
      <c r="X55" s="256"/>
      <c r="Y55" s="256"/>
      <c r="Z55" s="256"/>
      <c r="AA55" s="256"/>
      <c r="AB55" s="256">
        <f>SUM(DE_AT[[#This Row],[27M01]:[27M03]])</f>
        <v>0</v>
      </c>
      <c r="AC55" s="256">
        <f>SUM(DE_AT[[#This Row],[27M04]:[27M06]])</f>
        <v>0</v>
      </c>
      <c r="AD55" s="256" t="str">
        <f>IF(SUM(DE_AT[[#This Row],[26Q2]:[26Q4]])+SUM(DE_AT[[#This Row],[27Q1]:[27Q2]])=0,"No FSCT",IF(AND(SUM(DE_AT[[#This Row],[26Q2]:[26Q4]])&gt;0,SUM(DE_AT[[#This Row],[27Q1]:[27Q2]])=0),"YES","NO"))</f>
        <v>YES</v>
      </c>
      <c r="AE55" s="85" t="str">
        <f>VLOOKUP(DE_AT[[#This Row],[Product Line]],Prod_T6[],4,0)</f>
        <v>PV</v>
      </c>
      <c r="AH55" s="2" t="str">
        <v>3 - Negotiation</v>
      </c>
    </row>
    <row r="56" spans="1:34" ht="14.5">
      <c r="A56" s="14" t="s">
        <v>32</v>
      </c>
      <c r="B56" s="1" t="s">
        <v>354</v>
      </c>
      <c r="C56" s="3" t="s">
        <v>321</v>
      </c>
      <c r="D56" s="2" t="str">
        <f>VLOOKUP(DE_AT[[#This Row],[Product Line]],Prod_T6[],5,0)</f>
        <v>Sunpower</v>
      </c>
      <c r="E56" s="2" t="s">
        <v>276</v>
      </c>
      <c r="F56" s="2" t="s">
        <v>322</v>
      </c>
      <c r="G56" s="2" t="s">
        <v>136</v>
      </c>
      <c r="H56" s="62"/>
      <c r="I56" s="40" t="s">
        <v>117</v>
      </c>
      <c r="J56" s="13">
        <v>0</v>
      </c>
      <c r="K56" s="13">
        <v>0</v>
      </c>
      <c r="L56" s="13">
        <v>0</v>
      </c>
      <c r="M56" s="13">
        <v>0</v>
      </c>
      <c r="N56" s="13">
        <v>0</v>
      </c>
      <c r="O56" s="13">
        <v>0</v>
      </c>
      <c r="P56" s="13">
        <v>0.1</v>
      </c>
      <c r="Q56" s="13">
        <v>0.1</v>
      </c>
      <c r="R56" s="13">
        <v>0.1</v>
      </c>
      <c r="S56" s="32">
        <f>SUM(DE_AT[[#This Row],[26M04]:[26M06]])</f>
        <v>0</v>
      </c>
      <c r="T56" s="69">
        <f>SUM(DE_AT[[#This Row],[26M07]:[26M09]])</f>
        <v>0</v>
      </c>
      <c r="U56" s="69">
        <f>SUM(DE_AT[[#This Row],[26M10]:[26M12]])</f>
        <v>0.30000000000000004</v>
      </c>
      <c r="V56" s="256"/>
      <c r="W56" s="256"/>
      <c r="X56" s="256"/>
      <c r="Y56" s="256"/>
      <c r="Z56" s="256"/>
      <c r="AA56" s="256"/>
      <c r="AB56" s="256">
        <f>SUM(DE_AT[[#This Row],[27M01]:[27M03]])</f>
        <v>0</v>
      </c>
      <c r="AC56" s="256">
        <f>SUM(DE_AT[[#This Row],[27M04]:[27M06]])</f>
        <v>0</v>
      </c>
      <c r="AD56" s="256" t="str">
        <f>IF(SUM(DE_AT[[#This Row],[26Q2]:[26Q4]])+SUM(DE_AT[[#This Row],[27Q1]:[27Q2]])=0,"No FSCT",IF(AND(SUM(DE_AT[[#This Row],[26Q2]:[26Q4]])&gt;0,SUM(DE_AT[[#This Row],[27Q1]:[27Q2]])=0),"YES","NO"))</f>
        <v>YES</v>
      </c>
      <c r="AE56" s="85" t="str">
        <f>VLOOKUP(DE_AT[[#This Row],[Product Line]],Prod_T6[],4,0)</f>
        <v>PV</v>
      </c>
      <c r="AH56" s="2" t="str">
        <v>3 - Negotiation</v>
      </c>
    </row>
    <row r="57" spans="1:34" ht="14.5">
      <c r="A57" s="14" t="s">
        <v>32</v>
      </c>
      <c r="B57" s="1" t="s">
        <v>355</v>
      </c>
      <c r="C57" s="3" t="s">
        <v>259</v>
      </c>
      <c r="D57" s="2" t="str">
        <f>VLOOKUP(DE_AT[[#This Row],[Product Line]],Prod_T6[],5,0)</f>
        <v>Sunpower</v>
      </c>
      <c r="E57" s="2" t="s">
        <v>118</v>
      </c>
      <c r="F57" s="2" t="s">
        <v>119</v>
      </c>
      <c r="G57" s="2" t="s">
        <v>120</v>
      </c>
      <c r="H57" s="62"/>
      <c r="I57" s="40" t="s">
        <v>117</v>
      </c>
      <c r="J57" s="13">
        <f>3*36*460/1000000</f>
        <v>4.9680000000000002E-2</v>
      </c>
      <c r="K57" s="13"/>
      <c r="L57" s="13"/>
      <c r="M57" s="133">
        <f>4*36*460/1000000</f>
        <v>6.6239999999999993E-2</v>
      </c>
      <c r="N57" s="133"/>
      <c r="O57" s="133">
        <f>4*36*460/1000000</f>
        <v>6.6239999999999993E-2</v>
      </c>
      <c r="P57" s="13"/>
      <c r="Q57" s="13">
        <f>4*36*460/1000000</f>
        <v>6.6239999999999993E-2</v>
      </c>
      <c r="R57" s="13"/>
      <c r="S57" s="32">
        <f>SUM(DE_AT[[#This Row],[26M04]:[26M06]])</f>
        <v>4.9680000000000002E-2</v>
      </c>
      <c r="T57" s="69">
        <f>SUM(DE_AT[[#This Row],[26M07]:[26M09]])</f>
        <v>0.13247999999999999</v>
      </c>
      <c r="U57" s="69">
        <f>SUM(DE_AT[[#This Row],[26M10]:[26M12]])</f>
        <v>6.6239999999999993E-2</v>
      </c>
      <c r="V57" s="256"/>
      <c r="W57" s="256"/>
      <c r="X57" s="256"/>
      <c r="Y57" s="256"/>
      <c r="Z57" s="256"/>
      <c r="AA57" s="256"/>
      <c r="AB57" s="256">
        <f>SUM(DE_AT[[#This Row],[27M01]:[27M03]])</f>
        <v>0</v>
      </c>
      <c r="AC57" s="256">
        <f>SUM(DE_AT[[#This Row],[27M04]:[27M06]])</f>
        <v>0</v>
      </c>
      <c r="AD57" s="256" t="str">
        <f>IF(SUM(DE_AT[[#This Row],[26Q2]:[26Q4]])+SUM(DE_AT[[#This Row],[27Q1]:[27Q2]])=0,"No FSCT",IF(AND(SUM(DE_AT[[#This Row],[26Q2]:[26Q4]])&gt;0,SUM(DE_AT[[#This Row],[27Q1]:[27Q2]])=0),"YES","NO"))</f>
        <v>YES</v>
      </c>
      <c r="AE57" s="85" t="str">
        <f>VLOOKUP(DE_AT[[#This Row],[Product Line]],Prod_T6[],4,0)</f>
        <v>PV</v>
      </c>
      <c r="AH57" s="2" t="str">
        <v>5 - Finalize contract</v>
      </c>
    </row>
    <row r="58" spans="1:34" ht="14.5">
      <c r="A58" s="14" t="s">
        <v>32</v>
      </c>
      <c r="B58" s="1" t="s">
        <v>355</v>
      </c>
      <c r="C58" s="3" t="s">
        <v>259</v>
      </c>
      <c r="D58" s="2" t="str">
        <f>VLOOKUP(DE_AT[[#This Row],[Product Line]],Prod_T6[],5,0)</f>
        <v>Sunpower</v>
      </c>
      <c r="E58" s="2" t="s">
        <v>118</v>
      </c>
      <c r="F58" s="2" t="s">
        <v>180</v>
      </c>
      <c r="G58" s="2" t="s">
        <v>120</v>
      </c>
      <c r="H58" s="62"/>
      <c r="I58" s="40" t="s">
        <v>117</v>
      </c>
      <c r="J58" s="13">
        <f>3*36*515/1000000</f>
        <v>5.5620000000000003E-2</v>
      </c>
      <c r="K58" s="13"/>
      <c r="L58" s="13">
        <f>3*36*515/1000000</f>
        <v>5.5620000000000003E-2</v>
      </c>
      <c r="M58" s="133">
        <f>4*36*515/1000000</f>
        <v>7.4160000000000004E-2</v>
      </c>
      <c r="N58" s="133"/>
      <c r="O58" s="133">
        <f>4*36*515/1000000</f>
        <v>7.4160000000000004E-2</v>
      </c>
      <c r="P58" s="13"/>
      <c r="Q58" s="13">
        <f>4*36*515/1000000</f>
        <v>7.4160000000000004E-2</v>
      </c>
      <c r="R58" s="13"/>
      <c r="S58" s="32">
        <f>SUM(DE_AT[[#This Row],[26M04]:[26M06]])</f>
        <v>0.11124000000000001</v>
      </c>
      <c r="T58" s="69">
        <f>SUM(DE_AT[[#This Row],[26M07]:[26M09]])</f>
        <v>0.14832000000000001</v>
      </c>
      <c r="U58" s="69">
        <f>SUM(DE_AT[[#This Row],[26M10]:[26M12]])</f>
        <v>7.4160000000000004E-2</v>
      </c>
      <c r="V58" s="256"/>
      <c r="W58" s="256"/>
      <c r="X58" s="256"/>
      <c r="Y58" s="256"/>
      <c r="Z58" s="256"/>
      <c r="AA58" s="256"/>
      <c r="AB58" s="256">
        <f>SUM(DE_AT[[#This Row],[27M01]:[27M03]])</f>
        <v>0</v>
      </c>
      <c r="AC58" s="256">
        <f>SUM(DE_AT[[#This Row],[27M04]:[27M06]])</f>
        <v>0</v>
      </c>
      <c r="AD58" s="256" t="str">
        <f>IF(SUM(DE_AT[[#This Row],[26Q2]:[26Q4]])+SUM(DE_AT[[#This Row],[27Q1]:[27Q2]])=0,"No FSCT",IF(AND(SUM(DE_AT[[#This Row],[26Q2]:[26Q4]])&gt;0,SUM(DE_AT[[#This Row],[27Q1]:[27Q2]])=0),"YES","NO"))</f>
        <v>YES</v>
      </c>
      <c r="AE58" s="85" t="str">
        <f>VLOOKUP(DE_AT[[#This Row],[Product Line]],Prod_T6[],4,0)</f>
        <v>PV</v>
      </c>
      <c r="AH58" s="3" t="str">
        <v>5 - Finalize contract</v>
      </c>
    </row>
    <row r="59" spans="1:34">
      <c r="A59" s="14" t="s">
        <v>32</v>
      </c>
      <c r="B59" s="1" t="s">
        <v>355</v>
      </c>
      <c r="C59" s="3" t="s">
        <v>259</v>
      </c>
      <c r="D59" s="2" t="str">
        <f>VLOOKUP(DE_AT[[#This Row],[Product Line]],Prod_T6[],5,0)</f>
        <v>Sunpower</v>
      </c>
      <c r="E59" s="2" t="s">
        <v>118</v>
      </c>
      <c r="F59" s="2" t="s">
        <v>255</v>
      </c>
      <c r="G59" s="2" t="s">
        <v>120</v>
      </c>
      <c r="H59" s="62"/>
      <c r="I59" s="40" t="s">
        <v>117</v>
      </c>
      <c r="J59" s="13">
        <v>0.25</v>
      </c>
      <c r="K59" s="13"/>
      <c r="L59" s="13"/>
      <c r="M59" s="133"/>
      <c r="N59" s="133">
        <f>8*33*555/1000000</f>
        <v>0.14652000000000001</v>
      </c>
      <c r="O59" s="133"/>
      <c r="P59" s="13">
        <f>8*33*555/1000000</f>
        <v>0.14652000000000001</v>
      </c>
      <c r="Q59" s="13"/>
      <c r="R59" s="13">
        <f>8*33*555/1000000</f>
        <v>0.14652000000000001</v>
      </c>
      <c r="S59" s="32">
        <f>SUM(DE_AT[[#This Row],[26M04]:[26M06]])</f>
        <v>0.25</v>
      </c>
      <c r="T59" s="69">
        <f>SUM(DE_AT[[#This Row],[26M07]:[26M09]])</f>
        <v>0.14652000000000001</v>
      </c>
      <c r="U59" s="69">
        <f>SUM(DE_AT[[#This Row],[26M10]:[26M12]])</f>
        <v>0.29304000000000002</v>
      </c>
      <c r="V59" s="256"/>
      <c r="W59" s="256"/>
      <c r="X59" s="256"/>
      <c r="Y59" s="256"/>
      <c r="Z59" s="256"/>
      <c r="AA59" s="256"/>
      <c r="AB59" s="256">
        <f>SUM(DE_AT[[#This Row],[27M01]:[27M03]])</f>
        <v>0</v>
      </c>
      <c r="AC59" s="256">
        <f>SUM(DE_AT[[#This Row],[27M04]:[27M06]])</f>
        <v>0</v>
      </c>
      <c r="AD59" s="256" t="str">
        <f>IF(SUM(DE_AT[[#This Row],[26Q2]:[26Q4]])+SUM(DE_AT[[#This Row],[27Q1]:[27Q2]])=0,"No FSCT",IF(AND(SUM(DE_AT[[#This Row],[26Q2]:[26Q4]])&gt;0,SUM(DE_AT[[#This Row],[27Q1]:[27Q2]])=0),"YES","NO"))</f>
        <v>YES</v>
      </c>
      <c r="AE59" s="120" t="str">
        <f>VLOOKUP(DE_AT[[#This Row],[Product Line]],Prod_T6[],4,0)</f>
        <v>PV</v>
      </c>
      <c r="AF59" s="3"/>
      <c r="AG59" s="3"/>
      <c r="AH59" s="3" t="str">
        <v>5 - Finalize contract</v>
      </c>
    </row>
    <row r="60" spans="1:34" ht="14.5">
      <c r="A60" s="14" t="s">
        <v>32</v>
      </c>
      <c r="B60" s="1" t="s">
        <v>355</v>
      </c>
      <c r="C60" s="3" t="s">
        <v>259</v>
      </c>
      <c r="D60" s="2" t="str">
        <f>VLOOKUP(DE_AT[[#This Row],[Product Line]],Prod_T6[],5,0)</f>
        <v>Sunpower</v>
      </c>
      <c r="E60" s="2" t="s">
        <v>134</v>
      </c>
      <c r="F60" s="2" t="s">
        <v>263</v>
      </c>
      <c r="G60" s="2" t="s">
        <v>120</v>
      </c>
      <c r="H60" s="62"/>
      <c r="I60" s="40" t="s">
        <v>117</v>
      </c>
      <c r="J60" s="13"/>
      <c r="K60" s="13"/>
      <c r="L60" s="13"/>
      <c r="M60" s="13">
        <f>4*36*495/1000000</f>
        <v>7.1279999999999996E-2</v>
      </c>
      <c r="N60" s="13"/>
      <c r="O60" s="13">
        <f>4*36*495/1000000</f>
        <v>7.1279999999999996E-2</v>
      </c>
      <c r="P60" s="13"/>
      <c r="Q60" s="13">
        <f>4*36*495/1000000</f>
        <v>7.1279999999999996E-2</v>
      </c>
      <c r="R60" s="13"/>
      <c r="S60" s="32">
        <f>SUM(DE_AT[[#This Row],[26M04]:[26M06]])</f>
        <v>0</v>
      </c>
      <c r="T60" s="69">
        <f>SUM(DE_AT[[#This Row],[26M07]:[26M09]])</f>
        <v>0.14255999999999999</v>
      </c>
      <c r="U60" s="69">
        <f>SUM(DE_AT[[#This Row],[26M10]:[26M12]])</f>
        <v>7.1279999999999996E-2</v>
      </c>
      <c r="V60" s="256"/>
      <c r="W60" s="256"/>
      <c r="X60" s="256"/>
      <c r="Y60" s="256"/>
      <c r="Z60" s="256"/>
      <c r="AA60" s="256"/>
      <c r="AB60" s="256">
        <f>SUM(DE_AT[[#This Row],[27M01]:[27M03]])</f>
        <v>0</v>
      </c>
      <c r="AC60" s="256">
        <f>SUM(DE_AT[[#This Row],[27M04]:[27M06]])</f>
        <v>0</v>
      </c>
      <c r="AD60" s="256" t="str">
        <f>IF(SUM(DE_AT[[#This Row],[26Q2]:[26Q4]])+SUM(DE_AT[[#This Row],[27Q1]:[27Q2]])=0,"No FSCT",IF(AND(SUM(DE_AT[[#This Row],[26Q2]:[26Q4]])&gt;0,SUM(DE_AT[[#This Row],[27Q1]:[27Q2]])=0),"YES","NO"))</f>
        <v>YES</v>
      </c>
      <c r="AE60" s="85" t="str">
        <f>VLOOKUP(DE_AT[[#This Row],[Product Line]],Prod_T6[],4,0)</f>
        <v>PV</v>
      </c>
      <c r="AF60" s="3"/>
      <c r="AG60" s="3"/>
      <c r="AH60" s="3" t="str">
        <v>5 - Finalize contract</v>
      </c>
    </row>
    <row r="61" spans="1:34" ht="14.5">
      <c r="A61" s="14" t="s">
        <v>32</v>
      </c>
      <c r="B61" s="1" t="s">
        <v>355</v>
      </c>
      <c r="C61" s="3" t="s">
        <v>259</v>
      </c>
      <c r="D61" s="2" t="str">
        <f>VLOOKUP(DE_AT[[#This Row],[Product Line]],Prod_T6[],5,0)</f>
        <v>Sunpower</v>
      </c>
      <c r="E61" s="2" t="s">
        <v>134</v>
      </c>
      <c r="F61" s="2" t="s">
        <v>263</v>
      </c>
      <c r="G61" s="2" t="s">
        <v>120</v>
      </c>
      <c r="H61" s="62"/>
      <c r="I61" s="40" t="s">
        <v>117</v>
      </c>
      <c r="J61" s="13"/>
      <c r="K61" s="13"/>
      <c r="L61" s="13"/>
      <c r="M61" s="13"/>
      <c r="N61" s="13"/>
      <c r="O61" s="13"/>
      <c r="P61" s="13"/>
      <c r="Q61" s="13"/>
      <c r="R61" s="13"/>
      <c r="S61" s="32">
        <f>SUM(DE_AT[[#This Row],[26M04]:[26M06]])</f>
        <v>0</v>
      </c>
      <c r="T61" s="69">
        <f>SUM(DE_AT[[#This Row],[26M07]:[26M09]])</f>
        <v>0</v>
      </c>
      <c r="U61" s="69">
        <f>SUM(DE_AT[[#This Row],[26M10]:[26M12]])</f>
        <v>0</v>
      </c>
      <c r="V61" s="256"/>
      <c r="W61" s="256"/>
      <c r="X61" s="256"/>
      <c r="Y61" s="256"/>
      <c r="Z61" s="256"/>
      <c r="AA61" s="256"/>
      <c r="AB61" s="256">
        <f>SUM(DE_AT[[#This Row],[27M01]:[27M03]])</f>
        <v>0</v>
      </c>
      <c r="AC61" s="256">
        <f>SUM(DE_AT[[#This Row],[27M04]:[27M06]])</f>
        <v>0</v>
      </c>
      <c r="AD61" s="256" t="str">
        <f>IF(SUM(DE_AT[[#This Row],[26Q2]:[26Q4]])+SUM(DE_AT[[#This Row],[27Q1]:[27Q2]])=0,"No FSCT",IF(AND(SUM(DE_AT[[#This Row],[26Q2]:[26Q4]])&gt;0,SUM(DE_AT[[#This Row],[27Q1]:[27Q2]])=0),"YES","NO"))</f>
        <v>No FSCT</v>
      </c>
      <c r="AE61" s="85" t="str">
        <f>VLOOKUP(DE_AT[[#This Row],[Product Line]],Prod_T6[],4,0)</f>
        <v>PV</v>
      </c>
      <c r="AF61" s="3"/>
      <c r="AG61" s="3"/>
      <c r="AH61" s="3" t="str">
        <v>5 - Finalize contract</v>
      </c>
    </row>
    <row r="62" spans="1:34" ht="14.5">
      <c r="A62" s="14" t="s">
        <v>32</v>
      </c>
      <c r="B62" s="1" t="s">
        <v>348</v>
      </c>
      <c r="C62" s="3" t="s">
        <v>259</v>
      </c>
      <c r="D62" s="2" t="str">
        <f>VLOOKUP(DE_AT[[#This Row],[Product Line]],Prod_T6[],5,0)</f>
        <v>Sunpower</v>
      </c>
      <c r="E62" s="2" t="s">
        <v>118</v>
      </c>
      <c r="F62" s="2" t="s">
        <v>119</v>
      </c>
      <c r="G62" s="2" t="s">
        <v>120</v>
      </c>
      <c r="H62" s="62"/>
      <c r="I62" s="40" t="s">
        <v>117</v>
      </c>
      <c r="J62" s="13"/>
      <c r="K62" s="13">
        <f>4*36*460/1000000</f>
        <v>6.6239999999999993E-2</v>
      </c>
      <c r="L62" s="13"/>
      <c r="M62" s="133"/>
      <c r="N62" s="133">
        <f>4*36*460/1000000</f>
        <v>6.6239999999999993E-2</v>
      </c>
      <c r="O62" s="133"/>
      <c r="P62" s="13"/>
      <c r="Q62" s="13">
        <f>4*36*460/1000000</f>
        <v>6.6239999999999993E-2</v>
      </c>
      <c r="R62" s="13"/>
      <c r="S62" s="32">
        <f>SUM(DE_AT[[#This Row],[26M04]:[26M06]])</f>
        <v>6.6239999999999993E-2</v>
      </c>
      <c r="T62" s="69">
        <f>SUM(DE_AT[[#This Row],[26M07]:[26M09]])</f>
        <v>6.6239999999999993E-2</v>
      </c>
      <c r="U62" s="69">
        <f>SUM(DE_AT[[#This Row],[26M10]:[26M12]])</f>
        <v>6.6239999999999993E-2</v>
      </c>
      <c r="V62" s="256"/>
      <c r="W62" s="256"/>
      <c r="X62" s="256"/>
      <c r="Y62" s="256"/>
      <c r="Z62" s="256"/>
      <c r="AA62" s="256"/>
      <c r="AB62" s="256">
        <f>SUM(DE_AT[[#This Row],[27M01]:[27M03]])</f>
        <v>0</v>
      </c>
      <c r="AC62" s="256">
        <f>SUM(DE_AT[[#This Row],[27M04]:[27M06]])</f>
        <v>0</v>
      </c>
      <c r="AD62" s="256" t="str">
        <f>IF(SUM(DE_AT[[#This Row],[26Q2]:[26Q4]])+SUM(DE_AT[[#This Row],[27Q1]:[27Q2]])=0,"No FSCT",IF(AND(SUM(DE_AT[[#This Row],[26Q2]:[26Q4]])&gt;0,SUM(DE_AT[[#This Row],[27Q1]:[27Q2]])=0),"YES","NO"))</f>
        <v>YES</v>
      </c>
      <c r="AE62" s="85" t="str">
        <f>VLOOKUP(DE_AT[[#This Row],[Product Line]],Prod_T6[],4,0)</f>
        <v>PV</v>
      </c>
      <c r="AF62" s="3"/>
      <c r="AG62" s="3"/>
      <c r="AH62" s="3" t="str">
        <v>5 - Finalize contract</v>
      </c>
    </row>
    <row r="63" spans="1:34" ht="14.5">
      <c r="A63" s="14" t="s">
        <v>32</v>
      </c>
      <c r="B63" s="1" t="s">
        <v>348</v>
      </c>
      <c r="C63" s="3" t="s">
        <v>259</v>
      </c>
      <c r="D63" s="2" t="str">
        <f>VLOOKUP(DE_AT[[#This Row],[Product Line]],Prod_T6[],5,0)</f>
        <v>Sunpower</v>
      </c>
      <c r="E63" s="2" t="s">
        <v>118</v>
      </c>
      <c r="F63" s="2" t="s">
        <v>180</v>
      </c>
      <c r="G63" s="2" t="s">
        <v>120</v>
      </c>
      <c r="H63" s="62"/>
      <c r="I63" s="40" t="s">
        <v>117</v>
      </c>
      <c r="J63" s="13"/>
      <c r="K63" s="13">
        <f>4*36*515/1000000</f>
        <v>7.4160000000000004E-2</v>
      </c>
      <c r="L63" s="13"/>
      <c r="M63" s="133"/>
      <c r="N63" s="133">
        <f>4*36*515/1000000</f>
        <v>7.4160000000000004E-2</v>
      </c>
      <c r="O63" s="133"/>
      <c r="P63" s="13"/>
      <c r="Q63" s="13">
        <f>4*36*515/1000000</f>
        <v>7.4160000000000004E-2</v>
      </c>
      <c r="R63" s="13"/>
      <c r="S63" s="32">
        <f>SUM(DE_AT[[#This Row],[26M04]:[26M06]])</f>
        <v>7.4160000000000004E-2</v>
      </c>
      <c r="T63" s="69">
        <f>SUM(DE_AT[[#This Row],[26M07]:[26M09]])</f>
        <v>7.4160000000000004E-2</v>
      </c>
      <c r="U63" s="69">
        <f>SUM(DE_AT[[#This Row],[26M10]:[26M12]])</f>
        <v>7.4160000000000004E-2</v>
      </c>
      <c r="V63" s="256"/>
      <c r="W63" s="256"/>
      <c r="X63" s="256"/>
      <c r="Y63" s="256"/>
      <c r="Z63" s="256"/>
      <c r="AA63" s="256"/>
      <c r="AB63" s="256">
        <f>SUM(DE_AT[[#This Row],[27M01]:[27M03]])</f>
        <v>0</v>
      </c>
      <c r="AC63" s="256">
        <f>SUM(DE_AT[[#This Row],[27M04]:[27M06]])</f>
        <v>0</v>
      </c>
      <c r="AD63" s="256" t="str">
        <f>IF(SUM(DE_AT[[#This Row],[26Q2]:[26Q4]])+SUM(DE_AT[[#This Row],[27Q1]:[27Q2]])=0,"No FSCT",IF(AND(SUM(DE_AT[[#This Row],[26Q2]:[26Q4]])&gt;0,SUM(DE_AT[[#This Row],[27Q1]:[27Q2]])=0),"YES","NO"))</f>
        <v>YES</v>
      </c>
      <c r="AE63" s="85" t="str">
        <f>VLOOKUP(DE_AT[[#This Row],[Product Line]],Prod_T6[],4,0)</f>
        <v>PV</v>
      </c>
      <c r="AF63" s="3"/>
      <c r="AG63" s="3"/>
      <c r="AH63" s="3" t="str">
        <v>5 - Finalize contract</v>
      </c>
    </row>
    <row r="64" spans="1:34" ht="14.5">
      <c r="A64" s="14" t="s">
        <v>32</v>
      </c>
      <c r="B64" s="1" t="s">
        <v>348</v>
      </c>
      <c r="C64" s="3" t="s">
        <v>259</v>
      </c>
      <c r="D64" s="2" t="str">
        <f>VLOOKUP(DE_AT[[#This Row],[Product Line]],Prod_T6[],5,0)</f>
        <v>Sunpower</v>
      </c>
      <c r="E64" s="2" t="s">
        <v>134</v>
      </c>
      <c r="F64" s="2" t="s">
        <v>135</v>
      </c>
      <c r="G64" s="2" t="s">
        <v>120</v>
      </c>
      <c r="H64" s="62"/>
      <c r="I64" s="40" t="s">
        <v>117</v>
      </c>
      <c r="J64" s="13"/>
      <c r="K64" s="13"/>
      <c r="L64" s="13"/>
      <c r="M64" s="13"/>
      <c r="N64" s="13">
        <f>2*36*495/1000000</f>
        <v>3.5639999999999998E-2</v>
      </c>
      <c r="O64" s="13"/>
      <c r="P64" s="13"/>
      <c r="Q64" s="13">
        <f>2*36*495/1000000</f>
        <v>3.5639999999999998E-2</v>
      </c>
      <c r="R64" s="13"/>
      <c r="S64" s="32">
        <f>SUM(DE_AT[[#This Row],[26M04]:[26M06]])</f>
        <v>0</v>
      </c>
      <c r="T64" s="69">
        <f>SUM(DE_AT[[#This Row],[26M07]:[26M09]])</f>
        <v>3.5639999999999998E-2</v>
      </c>
      <c r="U64" s="69">
        <f>SUM(DE_AT[[#This Row],[26M10]:[26M12]])</f>
        <v>3.5639999999999998E-2</v>
      </c>
      <c r="V64" s="256"/>
      <c r="W64" s="256"/>
      <c r="X64" s="256"/>
      <c r="Y64" s="256"/>
      <c r="Z64" s="256"/>
      <c r="AA64" s="256"/>
      <c r="AB64" s="256">
        <f>SUM(DE_AT[[#This Row],[27M01]:[27M03]])</f>
        <v>0</v>
      </c>
      <c r="AC64" s="256">
        <f>SUM(DE_AT[[#This Row],[27M04]:[27M06]])</f>
        <v>0</v>
      </c>
      <c r="AD64" s="256" t="str">
        <f>IF(SUM(DE_AT[[#This Row],[26Q2]:[26Q4]])+SUM(DE_AT[[#This Row],[27Q1]:[27Q2]])=0,"No FSCT",IF(AND(SUM(DE_AT[[#This Row],[26Q2]:[26Q4]])&gt;0,SUM(DE_AT[[#This Row],[27Q1]:[27Q2]])=0),"YES","NO"))</f>
        <v>YES</v>
      </c>
      <c r="AE64" s="85" t="str">
        <f>VLOOKUP(DE_AT[[#This Row],[Product Line]],Prod_T6[],4,0)</f>
        <v>PV</v>
      </c>
      <c r="AF64" s="3"/>
      <c r="AG64" s="3"/>
      <c r="AH64" s="3" t="str">
        <v>5 - Finalize contract</v>
      </c>
    </row>
    <row r="65" spans="1:34" ht="14.5">
      <c r="A65" s="14" t="s">
        <v>32</v>
      </c>
      <c r="B65" s="1" t="s">
        <v>342</v>
      </c>
      <c r="C65" s="3" t="s">
        <v>259</v>
      </c>
      <c r="D65" s="2" t="str">
        <f>VLOOKUP(DE_AT[[#This Row],[Product Line]],Prod_T6[],5,0)</f>
        <v>Sunpower</v>
      </c>
      <c r="E65" s="2" t="s">
        <v>118</v>
      </c>
      <c r="F65" s="2" t="s">
        <v>119</v>
      </c>
      <c r="G65" s="2" t="s">
        <v>120</v>
      </c>
      <c r="H65" s="62"/>
      <c r="I65" s="40" t="s">
        <v>117</v>
      </c>
      <c r="J65" s="13"/>
      <c r="K65" s="13"/>
      <c r="L65" s="13">
        <f>4*36*460/1000000</f>
        <v>6.6239999999999993E-2</v>
      </c>
      <c r="M65" s="133"/>
      <c r="N65" s="133">
        <f>4*36*460/1000000</f>
        <v>6.6239999999999993E-2</v>
      </c>
      <c r="O65" s="133"/>
      <c r="P65" s="13"/>
      <c r="Q65" s="13">
        <f>4*36*460/1000000</f>
        <v>6.6239999999999993E-2</v>
      </c>
      <c r="R65" s="13"/>
      <c r="S65" s="32">
        <f>SUM(DE_AT[[#This Row],[26M04]:[26M06]])</f>
        <v>6.6239999999999993E-2</v>
      </c>
      <c r="T65" s="69">
        <f>SUM(DE_AT[[#This Row],[26M07]:[26M09]])</f>
        <v>6.6239999999999993E-2</v>
      </c>
      <c r="U65" s="69">
        <f>SUM(DE_AT[[#This Row],[26M10]:[26M12]])</f>
        <v>6.6239999999999993E-2</v>
      </c>
      <c r="V65" s="256"/>
      <c r="W65" s="256"/>
      <c r="X65" s="256"/>
      <c r="Y65" s="256"/>
      <c r="Z65" s="256"/>
      <c r="AA65" s="256"/>
      <c r="AB65" s="256">
        <f>SUM(DE_AT[[#This Row],[27M01]:[27M03]])</f>
        <v>0</v>
      </c>
      <c r="AC65" s="256">
        <f>SUM(DE_AT[[#This Row],[27M04]:[27M06]])</f>
        <v>0</v>
      </c>
      <c r="AD65" s="256" t="str">
        <f>IF(SUM(DE_AT[[#This Row],[26Q2]:[26Q4]])+SUM(DE_AT[[#This Row],[27Q1]:[27Q2]])=0,"No FSCT",IF(AND(SUM(DE_AT[[#This Row],[26Q2]:[26Q4]])&gt;0,SUM(DE_AT[[#This Row],[27Q1]:[27Q2]])=0),"YES","NO"))</f>
        <v>YES</v>
      </c>
      <c r="AE65" s="85" t="str">
        <f>VLOOKUP(DE_AT[[#This Row],[Product Line]],Prod_T6[],4,0)</f>
        <v>PV</v>
      </c>
      <c r="AF65" s="3"/>
      <c r="AG65" s="3"/>
      <c r="AH65" s="3" t="str">
        <v>5 - Finalize contract</v>
      </c>
    </row>
    <row r="66" spans="1:34" ht="14.5">
      <c r="A66" s="14" t="s">
        <v>32</v>
      </c>
      <c r="B66" s="1" t="s">
        <v>342</v>
      </c>
      <c r="C66" s="3" t="s">
        <v>259</v>
      </c>
      <c r="D66" s="2" t="str">
        <f>VLOOKUP(DE_AT[[#This Row],[Product Line]],Prod_T6[],5,0)</f>
        <v>Sunpower</v>
      </c>
      <c r="E66" s="2" t="s">
        <v>118</v>
      </c>
      <c r="F66" s="2" t="s">
        <v>180</v>
      </c>
      <c r="G66" s="2" t="s">
        <v>120</v>
      </c>
      <c r="H66" s="62"/>
      <c r="I66" s="40" t="s">
        <v>117</v>
      </c>
      <c r="J66" s="13">
        <f>3*36*515/1000000</f>
        <v>5.5620000000000003E-2</v>
      </c>
      <c r="K66" s="13"/>
      <c r="L66" s="13">
        <f>3*36*515/1000000</f>
        <v>5.5620000000000003E-2</v>
      </c>
      <c r="M66" s="133"/>
      <c r="N66" s="133">
        <f>4*36*515/1000000</f>
        <v>7.4160000000000004E-2</v>
      </c>
      <c r="O66" s="133"/>
      <c r="P66" s="13"/>
      <c r="Q66" s="13">
        <f>4*36*515/1000000</f>
        <v>7.4160000000000004E-2</v>
      </c>
      <c r="R66" s="13"/>
      <c r="S66" s="32">
        <f>SUM(DE_AT[[#This Row],[26M04]:[26M06]])</f>
        <v>0.11124000000000001</v>
      </c>
      <c r="T66" s="69">
        <f>SUM(DE_AT[[#This Row],[26M07]:[26M09]])</f>
        <v>7.4160000000000004E-2</v>
      </c>
      <c r="U66" s="69">
        <f>SUM(DE_AT[[#This Row],[26M10]:[26M12]])</f>
        <v>7.4160000000000004E-2</v>
      </c>
      <c r="V66" s="256"/>
      <c r="W66" s="256"/>
      <c r="X66" s="256"/>
      <c r="Y66" s="256"/>
      <c r="Z66" s="256"/>
      <c r="AA66" s="256"/>
      <c r="AB66" s="256">
        <f>SUM(DE_AT[[#This Row],[27M01]:[27M03]])</f>
        <v>0</v>
      </c>
      <c r="AC66" s="256">
        <f>SUM(DE_AT[[#This Row],[27M04]:[27M06]])</f>
        <v>0</v>
      </c>
      <c r="AD66" s="256" t="str">
        <f>IF(SUM(DE_AT[[#This Row],[26Q2]:[26Q4]])+SUM(DE_AT[[#This Row],[27Q1]:[27Q2]])=0,"No FSCT",IF(AND(SUM(DE_AT[[#This Row],[26Q2]:[26Q4]])&gt;0,SUM(DE_AT[[#This Row],[27Q1]:[27Q2]])=0),"YES","NO"))</f>
        <v>YES</v>
      </c>
      <c r="AE66" s="85" t="str">
        <f>VLOOKUP(DE_AT[[#This Row],[Product Line]],Prod_T6[],4,0)</f>
        <v>PV</v>
      </c>
      <c r="AF66" s="3"/>
      <c r="AG66" s="3"/>
      <c r="AH66" s="3" t="str">
        <v>5 - Finalize contract</v>
      </c>
    </row>
    <row r="67" spans="1:34" ht="14.5">
      <c r="A67" s="14" t="s">
        <v>32</v>
      </c>
      <c r="B67" s="1" t="s">
        <v>342</v>
      </c>
      <c r="C67" s="3" t="s">
        <v>259</v>
      </c>
      <c r="D67" s="2" t="str">
        <f>VLOOKUP(DE_AT[[#This Row],[Product Line]],Prod_T6[],5,0)</f>
        <v>Sunpower</v>
      </c>
      <c r="E67" s="2" t="s">
        <v>118</v>
      </c>
      <c r="F67" s="2" t="s">
        <v>255</v>
      </c>
      <c r="G67" s="2" t="s">
        <v>120</v>
      </c>
      <c r="H67" s="62"/>
      <c r="I67" s="40" t="s">
        <v>117</v>
      </c>
      <c r="J67" s="13"/>
      <c r="K67" s="13"/>
      <c r="L67" s="13"/>
      <c r="M67" s="133">
        <f>6*33*555/1000000</f>
        <v>0.10989</v>
      </c>
      <c r="N67" s="133"/>
      <c r="O67" s="133"/>
      <c r="P67" s="13">
        <f>6*33*555/1000000</f>
        <v>0.10989</v>
      </c>
      <c r="Q67" s="13"/>
      <c r="R67" s="13"/>
      <c r="S67" s="32">
        <f>SUM(DE_AT[[#This Row],[26M04]:[26M06]])</f>
        <v>0</v>
      </c>
      <c r="T67" s="69">
        <f>SUM(DE_AT[[#This Row],[26M07]:[26M09]])</f>
        <v>0.10989</v>
      </c>
      <c r="U67" s="69">
        <f>SUM(DE_AT[[#This Row],[26M10]:[26M12]])</f>
        <v>0.10989</v>
      </c>
      <c r="V67" s="256"/>
      <c r="W67" s="256"/>
      <c r="X67" s="256"/>
      <c r="Y67" s="256"/>
      <c r="Z67" s="256"/>
      <c r="AA67" s="256"/>
      <c r="AB67" s="256">
        <f>SUM(DE_AT[[#This Row],[27M01]:[27M03]])</f>
        <v>0</v>
      </c>
      <c r="AC67" s="256">
        <f>SUM(DE_AT[[#This Row],[27M04]:[27M06]])</f>
        <v>0</v>
      </c>
      <c r="AD67" s="256" t="str">
        <f>IF(SUM(DE_AT[[#This Row],[26Q2]:[26Q4]])+SUM(DE_AT[[#This Row],[27Q1]:[27Q2]])=0,"No FSCT",IF(AND(SUM(DE_AT[[#This Row],[26Q2]:[26Q4]])&gt;0,SUM(DE_AT[[#This Row],[27Q1]:[27Q2]])=0),"YES","NO"))</f>
        <v>YES</v>
      </c>
      <c r="AE67" s="85" t="str">
        <f>VLOOKUP(DE_AT[[#This Row],[Product Line]],Prod_T6[],4,0)</f>
        <v>PV</v>
      </c>
      <c r="AF67" s="3"/>
      <c r="AG67" s="3"/>
      <c r="AH67" s="3" t="str">
        <v>5 - Finalize contract</v>
      </c>
    </row>
    <row r="68" spans="1:34" ht="14.5">
      <c r="A68" s="14" t="s">
        <v>32</v>
      </c>
      <c r="B68" s="1" t="s">
        <v>342</v>
      </c>
      <c r="C68" s="3" t="s">
        <v>259</v>
      </c>
      <c r="D68" s="2" t="str">
        <f>VLOOKUP(DE_AT[[#This Row],[Product Line]],Prod_T6[],5,0)</f>
        <v>Sunpower</v>
      </c>
      <c r="E68" s="2" t="s">
        <v>134</v>
      </c>
      <c r="F68" s="2" t="s">
        <v>135</v>
      </c>
      <c r="G68" s="2" t="s">
        <v>120</v>
      </c>
      <c r="H68" s="62"/>
      <c r="I68" s="40" t="s">
        <v>117</v>
      </c>
      <c r="J68" s="13"/>
      <c r="K68" s="13"/>
      <c r="L68" s="13"/>
      <c r="M68" s="13"/>
      <c r="N68" s="13">
        <f>2*36*495/1000000</f>
        <v>3.5639999999999998E-2</v>
      </c>
      <c r="O68" s="13"/>
      <c r="P68" s="13"/>
      <c r="Q68" s="13">
        <f>2*36*495/1000000</f>
        <v>3.5639999999999998E-2</v>
      </c>
      <c r="R68" s="13"/>
      <c r="S68" s="32">
        <f>SUM(DE_AT[[#This Row],[26M04]:[26M06]])</f>
        <v>0</v>
      </c>
      <c r="T68" s="69">
        <f>SUM(DE_AT[[#This Row],[26M07]:[26M09]])</f>
        <v>3.5639999999999998E-2</v>
      </c>
      <c r="U68" s="69">
        <f>SUM(DE_AT[[#This Row],[26M10]:[26M12]])</f>
        <v>3.5639999999999998E-2</v>
      </c>
      <c r="V68" s="256"/>
      <c r="W68" s="256"/>
      <c r="X68" s="256"/>
      <c r="Y68" s="256"/>
      <c r="Z68" s="256"/>
      <c r="AA68" s="256"/>
      <c r="AB68" s="256">
        <f>SUM(DE_AT[[#This Row],[27M01]:[27M03]])</f>
        <v>0</v>
      </c>
      <c r="AC68" s="256">
        <f>SUM(DE_AT[[#This Row],[27M04]:[27M06]])</f>
        <v>0</v>
      </c>
      <c r="AD68" s="256" t="str">
        <f>IF(SUM(DE_AT[[#This Row],[26Q2]:[26Q4]])+SUM(DE_AT[[#This Row],[27Q1]:[27Q2]])=0,"No FSCT",IF(AND(SUM(DE_AT[[#This Row],[26Q2]:[26Q4]])&gt;0,SUM(DE_AT[[#This Row],[27Q1]:[27Q2]])=0),"YES","NO"))</f>
        <v>YES</v>
      </c>
      <c r="AE68" s="85" t="str">
        <f>VLOOKUP(DE_AT[[#This Row],[Product Line]],Prod_T6[],4,0)</f>
        <v>PV</v>
      </c>
      <c r="AF68" s="3"/>
      <c r="AG68" s="3"/>
      <c r="AH68" s="3" t="str">
        <v>5 - Finalize contract</v>
      </c>
    </row>
    <row r="69" spans="1:34" ht="14.5">
      <c r="A69" s="14" t="s">
        <v>32</v>
      </c>
      <c r="B69" s="1" t="s">
        <v>342</v>
      </c>
      <c r="C69" s="3" t="s">
        <v>259</v>
      </c>
      <c r="D69" s="2" t="str">
        <f>VLOOKUP(DE_AT[[#This Row],[Product Line]],Prod_T6[],5,0)</f>
        <v>Sunpower</v>
      </c>
      <c r="E69" s="2" t="s">
        <v>134</v>
      </c>
      <c r="F69" s="2" t="s">
        <v>263</v>
      </c>
      <c r="G69" s="2" t="s">
        <v>120</v>
      </c>
      <c r="H69" s="62"/>
      <c r="I69" s="40" t="s">
        <v>117</v>
      </c>
      <c r="J69" s="13"/>
      <c r="K69" s="13"/>
      <c r="L69" s="13"/>
      <c r="M69" s="13"/>
      <c r="N69" s="13"/>
      <c r="O69" s="13"/>
      <c r="P69" s="13"/>
      <c r="Q69" s="13"/>
      <c r="R69" s="13"/>
      <c r="S69" s="32">
        <f>SUM(DE_AT[[#This Row],[26M04]:[26M06]])</f>
        <v>0</v>
      </c>
      <c r="T69" s="69">
        <f>SUM(DE_AT[[#This Row],[26M07]:[26M09]])</f>
        <v>0</v>
      </c>
      <c r="U69" s="69">
        <f>SUM(DE_AT[[#This Row],[26M10]:[26M12]])</f>
        <v>0</v>
      </c>
      <c r="V69" s="256"/>
      <c r="W69" s="256"/>
      <c r="X69" s="256"/>
      <c r="Y69" s="256"/>
      <c r="Z69" s="256"/>
      <c r="AA69" s="256"/>
      <c r="AB69" s="256">
        <f>SUM(DE_AT[[#This Row],[27M01]:[27M03]])</f>
        <v>0</v>
      </c>
      <c r="AC69" s="256">
        <f>SUM(DE_AT[[#This Row],[27M04]:[27M06]])</f>
        <v>0</v>
      </c>
      <c r="AD69" s="256" t="str">
        <f>IF(SUM(DE_AT[[#This Row],[26Q2]:[26Q4]])+SUM(DE_AT[[#This Row],[27Q1]:[27Q2]])=0,"No FSCT",IF(AND(SUM(DE_AT[[#This Row],[26Q2]:[26Q4]])&gt;0,SUM(DE_AT[[#This Row],[27Q1]:[27Q2]])=0),"YES","NO"))</f>
        <v>No FSCT</v>
      </c>
      <c r="AE69" s="85" t="str">
        <f>VLOOKUP(DE_AT[[#This Row],[Product Line]],Prod_T6[],4,0)</f>
        <v>PV</v>
      </c>
      <c r="AF69" s="3"/>
      <c r="AG69" s="3"/>
      <c r="AH69" s="3" t="str">
        <v>5 - Finalize contract</v>
      </c>
    </row>
    <row r="70" spans="1:34" ht="14.5">
      <c r="A70" s="14" t="s">
        <v>32</v>
      </c>
      <c r="B70" s="1" t="s">
        <v>343</v>
      </c>
      <c r="C70" s="3" t="s">
        <v>259</v>
      </c>
      <c r="D70" s="2" t="str">
        <f>VLOOKUP(DE_AT[[#This Row],[Product Line]],Prod_T6[],5,0)</f>
        <v>Sunpower</v>
      </c>
      <c r="E70" s="2" t="s">
        <v>323</v>
      </c>
      <c r="F70" s="2" t="s">
        <v>344</v>
      </c>
      <c r="G70" s="2" t="s">
        <v>120</v>
      </c>
      <c r="H70" s="62"/>
      <c r="I70" s="40" t="s">
        <v>117</v>
      </c>
      <c r="J70" s="13">
        <f>10*33*580/1000000</f>
        <v>0.19139999999999999</v>
      </c>
      <c r="K70" s="13"/>
      <c r="L70" s="13"/>
      <c r="M70" s="13"/>
      <c r="N70" s="13"/>
      <c r="O70" s="13"/>
      <c r="P70" s="13"/>
      <c r="Q70" s="13"/>
      <c r="R70" s="13"/>
      <c r="S70" s="32">
        <f>SUM(DE_AT[[#This Row],[26M04]:[26M06]])</f>
        <v>0.19139999999999999</v>
      </c>
      <c r="T70" s="69">
        <f>SUM(DE_AT[[#This Row],[26M07]:[26M09]])</f>
        <v>0</v>
      </c>
      <c r="U70" s="69">
        <f>SUM(DE_AT[[#This Row],[26M10]:[26M12]])</f>
        <v>0</v>
      </c>
      <c r="V70" s="256"/>
      <c r="W70" s="256"/>
      <c r="X70" s="256"/>
      <c r="Y70" s="256"/>
      <c r="Z70" s="256"/>
      <c r="AA70" s="256"/>
      <c r="AB70" s="256">
        <f>SUM(DE_AT[[#This Row],[27M01]:[27M03]])</f>
        <v>0</v>
      </c>
      <c r="AC70" s="256">
        <f>SUM(DE_AT[[#This Row],[27M04]:[27M06]])</f>
        <v>0</v>
      </c>
      <c r="AD70" s="256" t="str">
        <f>IF(SUM(DE_AT[[#This Row],[26Q2]:[26Q4]])+SUM(DE_AT[[#This Row],[27Q1]:[27Q2]])=0,"No FSCT",IF(AND(SUM(DE_AT[[#This Row],[26Q2]:[26Q4]])&gt;0,SUM(DE_AT[[#This Row],[27Q1]:[27Q2]])=0),"YES","NO"))</f>
        <v>YES</v>
      </c>
      <c r="AE70" s="85" t="str">
        <f>VLOOKUP(DE_AT[[#This Row],[Product Line]],Prod_T6[],4,0)</f>
        <v>PV</v>
      </c>
      <c r="AF70" s="3"/>
      <c r="AG70" s="3"/>
      <c r="AH70" s="3" t="str">
        <v>5 - Finalize contract</v>
      </c>
    </row>
    <row r="71" spans="1:34" ht="14.5">
      <c r="A71" s="14" t="s">
        <v>32</v>
      </c>
      <c r="B71" s="1" t="s">
        <v>345</v>
      </c>
      <c r="C71" s="3" t="s">
        <v>259</v>
      </c>
      <c r="D71" s="2" t="str">
        <f>VLOOKUP(DE_AT[[#This Row],[Product Line]],Prod_T6[],5,0)</f>
        <v>Sunpower</v>
      </c>
      <c r="E71" s="2" t="s">
        <v>118</v>
      </c>
      <c r="F71" s="2" t="s">
        <v>119</v>
      </c>
      <c r="G71" s="2" t="s">
        <v>120</v>
      </c>
      <c r="H71" s="62"/>
      <c r="I71" s="40" t="s">
        <v>117</v>
      </c>
      <c r="J71" s="13"/>
      <c r="K71" s="13">
        <f>8*36*460/1000000</f>
        <v>0.13247999999999999</v>
      </c>
      <c r="L71" s="13"/>
      <c r="M71" s="133">
        <f>8*36*460/1000000</f>
        <v>0.13247999999999999</v>
      </c>
      <c r="N71" s="133"/>
      <c r="O71" s="133"/>
      <c r="P71" s="13">
        <f>8*36*460/1000000</f>
        <v>0.13247999999999999</v>
      </c>
      <c r="Q71" s="13"/>
      <c r="R71" s="13"/>
      <c r="S71" s="32">
        <f>SUM(DE_AT[[#This Row],[26M04]:[26M06]])</f>
        <v>0.13247999999999999</v>
      </c>
      <c r="T71" s="69">
        <f>SUM(DE_AT[[#This Row],[26M07]:[26M09]])</f>
        <v>0.13247999999999999</v>
      </c>
      <c r="U71" s="69">
        <f>SUM(DE_AT[[#This Row],[26M10]:[26M12]])</f>
        <v>0.13247999999999999</v>
      </c>
      <c r="V71" s="256"/>
      <c r="W71" s="256"/>
      <c r="X71" s="256"/>
      <c r="Y71" s="256"/>
      <c r="Z71" s="256"/>
      <c r="AA71" s="256"/>
      <c r="AB71" s="256">
        <f>SUM(DE_AT[[#This Row],[27M01]:[27M03]])</f>
        <v>0</v>
      </c>
      <c r="AC71" s="256">
        <f>SUM(DE_AT[[#This Row],[27M04]:[27M06]])</f>
        <v>0</v>
      </c>
      <c r="AD71" s="256" t="str">
        <f>IF(SUM(DE_AT[[#This Row],[26Q2]:[26Q4]])+SUM(DE_AT[[#This Row],[27Q1]:[27Q2]])=0,"No FSCT",IF(AND(SUM(DE_AT[[#This Row],[26Q2]:[26Q4]])&gt;0,SUM(DE_AT[[#This Row],[27Q1]:[27Q2]])=0),"YES","NO"))</f>
        <v>YES</v>
      </c>
      <c r="AE71" s="85" t="str">
        <f>VLOOKUP(DE_AT[[#This Row],[Product Line]],Prod_T6[],4,0)</f>
        <v>PV</v>
      </c>
      <c r="AF71" s="3"/>
      <c r="AG71" s="3"/>
      <c r="AH71" s="3" t="str">
        <v>5 - Finalize contract</v>
      </c>
    </row>
    <row r="72" spans="1:34" ht="14.5">
      <c r="A72" s="14" t="s">
        <v>32</v>
      </c>
      <c r="B72" s="1" t="s">
        <v>345</v>
      </c>
      <c r="C72" s="3" t="s">
        <v>259</v>
      </c>
      <c r="D72" s="2" t="str">
        <f>VLOOKUP(DE_AT[[#This Row],[Product Line]],Prod_T6[],5,0)</f>
        <v>Sunpower</v>
      </c>
      <c r="E72" s="2" t="s">
        <v>118</v>
      </c>
      <c r="F72" s="2" t="s">
        <v>180</v>
      </c>
      <c r="G72" s="2" t="s">
        <v>120</v>
      </c>
      <c r="H72" s="62"/>
      <c r="I72" s="40" t="s">
        <v>117</v>
      </c>
      <c r="J72" s="13"/>
      <c r="K72" s="13"/>
      <c r="L72" s="13"/>
      <c r="M72" s="133">
        <f>2*36*515/1000000</f>
        <v>3.7080000000000002E-2</v>
      </c>
      <c r="N72" s="133"/>
      <c r="O72" s="133"/>
      <c r="P72" s="13">
        <f>2*36*515/1000000</f>
        <v>3.7080000000000002E-2</v>
      </c>
      <c r="Q72" s="13"/>
      <c r="R72" s="13"/>
      <c r="S72" s="32">
        <f>SUM(DE_AT[[#This Row],[26M04]:[26M06]])</f>
        <v>0</v>
      </c>
      <c r="T72" s="69">
        <f>SUM(DE_AT[[#This Row],[26M07]:[26M09]])</f>
        <v>3.7080000000000002E-2</v>
      </c>
      <c r="U72" s="69">
        <f>SUM(DE_AT[[#This Row],[26M10]:[26M12]])</f>
        <v>3.7080000000000002E-2</v>
      </c>
      <c r="V72" s="256"/>
      <c r="W72" s="256"/>
      <c r="X72" s="256"/>
      <c r="Y72" s="256"/>
      <c r="Z72" s="256"/>
      <c r="AA72" s="256"/>
      <c r="AB72" s="256">
        <f>SUM(DE_AT[[#This Row],[27M01]:[27M03]])</f>
        <v>0</v>
      </c>
      <c r="AC72" s="256">
        <f>SUM(DE_AT[[#This Row],[27M04]:[27M06]])</f>
        <v>0</v>
      </c>
      <c r="AD72" s="256" t="str">
        <f>IF(SUM(DE_AT[[#This Row],[26Q2]:[26Q4]])+SUM(DE_AT[[#This Row],[27Q1]:[27Q2]])=0,"No FSCT",IF(AND(SUM(DE_AT[[#This Row],[26Q2]:[26Q4]])&gt;0,SUM(DE_AT[[#This Row],[27Q1]:[27Q2]])=0),"YES","NO"))</f>
        <v>YES</v>
      </c>
      <c r="AE72" s="85" t="str">
        <f>VLOOKUP(DE_AT[[#This Row],[Product Line]],Prod_T6[],4,0)</f>
        <v>PV</v>
      </c>
      <c r="AF72" s="3"/>
      <c r="AG72" s="3"/>
      <c r="AH72" s="3" t="str">
        <v>5 - Finalize contract</v>
      </c>
    </row>
    <row r="73" spans="1:34" ht="14.5">
      <c r="A73" s="14" t="s">
        <v>32</v>
      </c>
      <c r="B73" s="1" t="s">
        <v>345</v>
      </c>
      <c r="C73" s="3" t="s">
        <v>259</v>
      </c>
      <c r="D73" s="2" t="str">
        <f>VLOOKUP(DE_AT[[#This Row],[Product Line]],Prod_T6[],5,0)</f>
        <v>Sunpower</v>
      </c>
      <c r="E73" s="2" t="s">
        <v>118</v>
      </c>
      <c r="F73" s="2" t="s">
        <v>255</v>
      </c>
      <c r="G73" s="2" t="s">
        <v>120</v>
      </c>
      <c r="H73" s="62"/>
      <c r="I73" s="40" t="s">
        <v>117</v>
      </c>
      <c r="J73" s="13"/>
      <c r="K73" s="13"/>
      <c r="L73" s="13">
        <f>6*33*555/1000000</f>
        <v>0.10989</v>
      </c>
      <c r="M73" s="133"/>
      <c r="N73" s="133"/>
      <c r="O73" s="13">
        <f>6*33*555/1000000</f>
        <v>0.10989</v>
      </c>
      <c r="P73" s="13"/>
      <c r="Q73" s="13"/>
      <c r="R73" s="13"/>
      <c r="S73" s="32">
        <f>SUM(DE_AT[[#This Row],[26M04]:[26M06]])</f>
        <v>0.10989</v>
      </c>
      <c r="T73" s="69">
        <f>SUM(DE_AT[[#This Row],[26M07]:[26M09]])</f>
        <v>0.10989</v>
      </c>
      <c r="U73" s="69">
        <f>SUM(DE_AT[[#This Row],[26M10]:[26M12]])</f>
        <v>0</v>
      </c>
      <c r="V73" s="256"/>
      <c r="W73" s="256"/>
      <c r="X73" s="256"/>
      <c r="Y73" s="256"/>
      <c r="Z73" s="256"/>
      <c r="AA73" s="256"/>
      <c r="AB73" s="256">
        <f>SUM(DE_AT[[#This Row],[27M01]:[27M03]])</f>
        <v>0</v>
      </c>
      <c r="AC73" s="256">
        <f>SUM(DE_AT[[#This Row],[27M04]:[27M06]])</f>
        <v>0</v>
      </c>
      <c r="AD73" s="256" t="str">
        <f>IF(SUM(DE_AT[[#This Row],[26Q2]:[26Q4]])+SUM(DE_AT[[#This Row],[27Q1]:[27Q2]])=0,"No FSCT",IF(AND(SUM(DE_AT[[#This Row],[26Q2]:[26Q4]])&gt;0,SUM(DE_AT[[#This Row],[27Q1]:[27Q2]])=0),"YES","NO"))</f>
        <v>YES</v>
      </c>
      <c r="AE73" s="85" t="str">
        <f>VLOOKUP(DE_AT[[#This Row],[Product Line]],Prod_T6[],4,0)</f>
        <v>PV</v>
      </c>
      <c r="AF73" s="3"/>
      <c r="AG73" s="3"/>
      <c r="AH73" s="3" t="str">
        <v>5 - Finalize contract</v>
      </c>
    </row>
    <row r="74" spans="1:34" ht="14.5">
      <c r="A74" s="14" t="s">
        <v>32</v>
      </c>
      <c r="B74" s="1" t="s">
        <v>345</v>
      </c>
      <c r="C74" s="3" t="s">
        <v>259</v>
      </c>
      <c r="D74" s="2" t="str">
        <f>VLOOKUP(DE_AT[[#This Row],[Product Line]],Prod_T6[],5,0)</f>
        <v>Sunpower</v>
      </c>
      <c r="E74" s="2" t="s">
        <v>134</v>
      </c>
      <c r="F74" s="2" t="s">
        <v>135</v>
      </c>
      <c r="G74" s="2" t="s">
        <v>120</v>
      </c>
      <c r="H74" s="62"/>
      <c r="I74" s="40" t="s">
        <v>117</v>
      </c>
      <c r="J74" s="13"/>
      <c r="K74" s="13"/>
      <c r="L74" s="13"/>
      <c r="M74" s="13"/>
      <c r="N74" s="13"/>
      <c r="O74" s="13"/>
      <c r="P74" s="13"/>
      <c r="Q74" s="13"/>
      <c r="R74" s="13"/>
      <c r="S74" s="32">
        <f>SUM(DE_AT[[#This Row],[26M04]:[26M06]])</f>
        <v>0</v>
      </c>
      <c r="T74" s="69">
        <f>SUM(DE_AT[[#This Row],[26M07]:[26M09]])</f>
        <v>0</v>
      </c>
      <c r="U74" s="69">
        <f>SUM(DE_AT[[#This Row],[26M10]:[26M12]])</f>
        <v>0</v>
      </c>
      <c r="V74" s="256"/>
      <c r="W74" s="256"/>
      <c r="X74" s="256"/>
      <c r="Y74" s="256"/>
      <c r="Z74" s="256"/>
      <c r="AA74" s="256"/>
      <c r="AB74" s="256">
        <f>SUM(DE_AT[[#This Row],[27M01]:[27M03]])</f>
        <v>0</v>
      </c>
      <c r="AC74" s="256">
        <f>SUM(DE_AT[[#This Row],[27M04]:[27M06]])</f>
        <v>0</v>
      </c>
      <c r="AD74" s="256" t="str">
        <f>IF(SUM(DE_AT[[#This Row],[26Q2]:[26Q4]])+SUM(DE_AT[[#This Row],[27Q1]:[27Q2]])=0,"No FSCT",IF(AND(SUM(DE_AT[[#This Row],[26Q2]:[26Q4]])&gt;0,SUM(DE_AT[[#This Row],[27Q1]:[27Q2]])=0),"YES","NO"))</f>
        <v>No FSCT</v>
      </c>
      <c r="AE74" s="85" t="str">
        <f>VLOOKUP(DE_AT[[#This Row],[Product Line]],Prod_T6[],4,0)</f>
        <v>PV</v>
      </c>
      <c r="AF74" s="3"/>
      <c r="AG74" s="3"/>
      <c r="AH74" s="3" t="str">
        <v>5 - Finalize contract</v>
      </c>
    </row>
    <row r="75" spans="1:34" ht="14.5">
      <c r="A75" s="14" t="s">
        <v>32</v>
      </c>
      <c r="B75" s="1" t="s">
        <v>346</v>
      </c>
      <c r="C75" s="3" t="s">
        <v>259</v>
      </c>
      <c r="D75" s="2" t="str">
        <f>VLOOKUP(DE_AT[[#This Row],[Product Line]],Prod_T6[],5,0)</f>
        <v>Sunpower</v>
      </c>
      <c r="E75" s="2" t="s">
        <v>118</v>
      </c>
      <c r="F75" s="2" t="s">
        <v>119</v>
      </c>
      <c r="G75" s="2" t="s">
        <v>120</v>
      </c>
      <c r="H75" s="62"/>
      <c r="I75" s="40" t="s">
        <v>117</v>
      </c>
      <c r="J75" s="13"/>
      <c r="K75" s="13"/>
      <c r="L75" s="13">
        <f>8*36*460/1000000</f>
        <v>0.13247999999999999</v>
      </c>
      <c r="M75" s="133"/>
      <c r="N75" s="13">
        <f>8*36*460/1000000</f>
        <v>0.13247999999999999</v>
      </c>
      <c r="O75" s="133"/>
      <c r="P75" s="13"/>
      <c r="Q75" s="13">
        <f>4*36*460/1000000</f>
        <v>6.6239999999999993E-2</v>
      </c>
      <c r="R75" s="13"/>
      <c r="S75" s="32">
        <f>SUM(DE_AT[[#This Row],[26M04]:[26M06]])</f>
        <v>0.13247999999999999</v>
      </c>
      <c r="T75" s="69">
        <f>SUM(DE_AT[[#This Row],[26M07]:[26M09]])</f>
        <v>0.13247999999999999</v>
      </c>
      <c r="U75" s="69">
        <f>SUM(DE_AT[[#This Row],[26M10]:[26M12]])</f>
        <v>6.6239999999999993E-2</v>
      </c>
      <c r="V75" s="256"/>
      <c r="W75" s="256"/>
      <c r="X75" s="256"/>
      <c r="Y75" s="256"/>
      <c r="Z75" s="256"/>
      <c r="AA75" s="256"/>
      <c r="AB75" s="256">
        <f>SUM(DE_AT[[#This Row],[27M01]:[27M03]])</f>
        <v>0</v>
      </c>
      <c r="AC75" s="256">
        <f>SUM(DE_AT[[#This Row],[27M04]:[27M06]])</f>
        <v>0</v>
      </c>
      <c r="AD75" s="256" t="str">
        <f>IF(SUM(DE_AT[[#This Row],[26Q2]:[26Q4]])+SUM(DE_AT[[#This Row],[27Q1]:[27Q2]])=0,"No FSCT",IF(AND(SUM(DE_AT[[#This Row],[26Q2]:[26Q4]])&gt;0,SUM(DE_AT[[#This Row],[27Q1]:[27Q2]])=0),"YES","NO"))</f>
        <v>YES</v>
      </c>
      <c r="AE75" s="85" t="str">
        <f>VLOOKUP(DE_AT[[#This Row],[Product Line]],Prod_T6[],4,0)</f>
        <v>PV</v>
      </c>
      <c r="AF75" s="3"/>
      <c r="AG75" s="3"/>
      <c r="AH75" s="3" t="str">
        <v>5 - Finalize contract</v>
      </c>
    </row>
    <row r="76" spans="1:34" ht="14.5">
      <c r="A76" s="14" t="s">
        <v>32</v>
      </c>
      <c r="B76" s="1" t="s">
        <v>346</v>
      </c>
      <c r="C76" s="3" t="s">
        <v>259</v>
      </c>
      <c r="D76" s="2" t="str">
        <f>VLOOKUP(DE_AT[[#This Row],[Product Line]],Prod_T6[],5,0)</f>
        <v>Sunpower</v>
      </c>
      <c r="E76" s="2" t="s">
        <v>118</v>
      </c>
      <c r="F76" s="2" t="s">
        <v>180</v>
      </c>
      <c r="G76" s="2" t="s">
        <v>120</v>
      </c>
      <c r="H76" s="62"/>
      <c r="I76" s="40" t="s">
        <v>117</v>
      </c>
      <c r="J76" s="13"/>
      <c r="K76" s="13"/>
      <c r="L76" s="133">
        <f>2*36*515/1000000</f>
        <v>3.7080000000000002E-2</v>
      </c>
      <c r="M76" s="133"/>
      <c r="N76" s="133">
        <f>2*36*515/1000000</f>
        <v>3.7080000000000002E-2</v>
      </c>
      <c r="O76" s="133"/>
      <c r="P76" s="13"/>
      <c r="Q76" s="133">
        <f>2*36*515/1000000</f>
        <v>3.7080000000000002E-2</v>
      </c>
      <c r="R76" s="13"/>
      <c r="S76" s="32">
        <f>SUM(DE_AT[[#This Row],[26M04]:[26M06]])</f>
        <v>3.7080000000000002E-2</v>
      </c>
      <c r="T76" s="69">
        <f>SUM(DE_AT[[#This Row],[26M07]:[26M09]])</f>
        <v>3.7080000000000002E-2</v>
      </c>
      <c r="U76" s="69">
        <f>SUM(DE_AT[[#This Row],[26M10]:[26M12]])</f>
        <v>3.7080000000000002E-2</v>
      </c>
      <c r="V76" s="256"/>
      <c r="W76" s="256"/>
      <c r="X76" s="256"/>
      <c r="Y76" s="256"/>
      <c r="Z76" s="256"/>
      <c r="AA76" s="256"/>
      <c r="AB76" s="256">
        <f>SUM(DE_AT[[#This Row],[27M01]:[27M03]])</f>
        <v>0</v>
      </c>
      <c r="AC76" s="256">
        <f>SUM(DE_AT[[#This Row],[27M04]:[27M06]])</f>
        <v>0</v>
      </c>
      <c r="AD76" s="256" t="str">
        <f>IF(SUM(DE_AT[[#This Row],[26Q2]:[26Q4]])+SUM(DE_AT[[#This Row],[27Q1]:[27Q2]])=0,"No FSCT",IF(AND(SUM(DE_AT[[#This Row],[26Q2]:[26Q4]])&gt;0,SUM(DE_AT[[#This Row],[27Q1]:[27Q2]])=0),"YES","NO"))</f>
        <v>YES</v>
      </c>
      <c r="AE76" s="85" t="str">
        <f>VLOOKUP(DE_AT[[#This Row],[Product Line]],Prod_T6[],4,0)</f>
        <v>PV</v>
      </c>
      <c r="AF76" s="3"/>
      <c r="AG76" s="3"/>
      <c r="AH76" s="3" t="str">
        <v>5 - Finalize contract</v>
      </c>
    </row>
    <row r="77" spans="1:34" ht="14.5">
      <c r="A77" s="14" t="s">
        <v>32</v>
      </c>
      <c r="B77" s="1" t="s">
        <v>346</v>
      </c>
      <c r="C77" s="3" t="s">
        <v>259</v>
      </c>
      <c r="D77" s="2" t="str">
        <f>VLOOKUP(DE_AT[[#This Row],[Product Line]],Prod_T6[],5,0)</f>
        <v>Sunpower</v>
      </c>
      <c r="E77" s="2" t="s">
        <v>118</v>
      </c>
      <c r="F77" s="2" t="s">
        <v>255</v>
      </c>
      <c r="G77" s="2" t="s">
        <v>120</v>
      </c>
      <c r="H77" s="62"/>
      <c r="I77" s="40" t="s">
        <v>117</v>
      </c>
      <c r="J77" s="13"/>
      <c r="K77" s="13"/>
      <c r="L77" s="13">
        <f>2*33*555/1000000</f>
        <v>3.6630000000000003E-2</v>
      </c>
      <c r="M77" s="133"/>
      <c r="N77" s="133">
        <f>2*33*555/1000000</f>
        <v>3.6630000000000003E-2</v>
      </c>
      <c r="O77" s="133"/>
      <c r="P77" s="13"/>
      <c r="Q77" s="13">
        <f>2*33*555/1000000</f>
        <v>3.6630000000000003E-2</v>
      </c>
      <c r="R77" s="13"/>
      <c r="S77" s="32">
        <f>SUM(DE_AT[[#This Row],[26M04]:[26M06]])</f>
        <v>3.6630000000000003E-2</v>
      </c>
      <c r="T77" s="69">
        <f>SUM(DE_AT[[#This Row],[26M07]:[26M09]])</f>
        <v>3.6630000000000003E-2</v>
      </c>
      <c r="U77" s="69">
        <f>SUM(DE_AT[[#This Row],[26M10]:[26M12]])</f>
        <v>3.6630000000000003E-2</v>
      </c>
      <c r="V77" s="256"/>
      <c r="W77" s="256"/>
      <c r="X77" s="256"/>
      <c r="Y77" s="256"/>
      <c r="Z77" s="256"/>
      <c r="AA77" s="256"/>
      <c r="AB77" s="256">
        <f>SUM(DE_AT[[#This Row],[27M01]:[27M03]])</f>
        <v>0</v>
      </c>
      <c r="AC77" s="256">
        <f>SUM(DE_AT[[#This Row],[27M04]:[27M06]])</f>
        <v>0</v>
      </c>
      <c r="AD77" s="256" t="str">
        <f>IF(SUM(DE_AT[[#This Row],[26Q2]:[26Q4]])+SUM(DE_AT[[#This Row],[27Q1]:[27Q2]])=0,"No FSCT",IF(AND(SUM(DE_AT[[#This Row],[26Q2]:[26Q4]])&gt;0,SUM(DE_AT[[#This Row],[27Q1]:[27Q2]])=0),"YES","NO"))</f>
        <v>YES</v>
      </c>
      <c r="AE77" s="85" t="str">
        <f>VLOOKUP(DE_AT[[#This Row],[Product Line]],Prod_T6[],4,0)</f>
        <v>PV</v>
      </c>
      <c r="AF77" s="3"/>
      <c r="AG77" s="3"/>
      <c r="AH77" s="3" t="str">
        <v>5 - Finalize contract</v>
      </c>
    </row>
    <row r="78" spans="1:34" ht="14.5">
      <c r="A78" s="14" t="s">
        <v>32</v>
      </c>
      <c r="B78" s="1" t="s">
        <v>346</v>
      </c>
      <c r="C78" s="3" t="s">
        <v>259</v>
      </c>
      <c r="D78" s="2" t="str">
        <f>VLOOKUP(DE_AT[[#This Row],[Product Line]],Prod_T6[],5,0)</f>
        <v>Sunpower</v>
      </c>
      <c r="E78" s="2" t="s">
        <v>134</v>
      </c>
      <c r="F78" s="2" t="s">
        <v>135</v>
      </c>
      <c r="G78" s="2" t="s">
        <v>120</v>
      </c>
      <c r="H78" s="62"/>
      <c r="I78" s="40" t="s">
        <v>117</v>
      </c>
      <c r="J78" s="13"/>
      <c r="K78" s="13"/>
      <c r="L78" s="13"/>
      <c r="M78" s="13"/>
      <c r="N78" s="13">
        <f>2*36*495/1000000</f>
        <v>3.5639999999999998E-2</v>
      </c>
      <c r="O78" s="13"/>
      <c r="P78" s="13"/>
      <c r="Q78" s="13">
        <f>2*36*495/1000000</f>
        <v>3.5639999999999998E-2</v>
      </c>
      <c r="R78" s="13"/>
      <c r="S78" s="32">
        <f>SUM(DE_AT[[#This Row],[26M04]:[26M06]])</f>
        <v>0</v>
      </c>
      <c r="T78" s="69">
        <f>SUM(DE_AT[[#This Row],[26M07]:[26M09]])</f>
        <v>3.5639999999999998E-2</v>
      </c>
      <c r="U78" s="69">
        <f>SUM(DE_AT[[#This Row],[26M10]:[26M12]])</f>
        <v>3.5639999999999998E-2</v>
      </c>
      <c r="V78" s="256"/>
      <c r="W78" s="256"/>
      <c r="X78" s="256"/>
      <c r="Y78" s="256"/>
      <c r="Z78" s="256"/>
      <c r="AA78" s="256"/>
      <c r="AB78" s="256">
        <f>SUM(DE_AT[[#This Row],[27M01]:[27M03]])</f>
        <v>0</v>
      </c>
      <c r="AC78" s="256">
        <f>SUM(DE_AT[[#This Row],[27M04]:[27M06]])</f>
        <v>0</v>
      </c>
      <c r="AD78" s="256" t="str">
        <f>IF(SUM(DE_AT[[#This Row],[26Q2]:[26Q4]])+SUM(DE_AT[[#This Row],[27Q1]:[27Q2]])=0,"No FSCT",IF(AND(SUM(DE_AT[[#This Row],[26Q2]:[26Q4]])&gt;0,SUM(DE_AT[[#This Row],[27Q1]:[27Q2]])=0),"YES","NO"))</f>
        <v>YES</v>
      </c>
      <c r="AE78" s="85" t="str">
        <f>VLOOKUP(DE_AT[[#This Row],[Product Line]],Prod_T6[],4,0)</f>
        <v>PV</v>
      </c>
      <c r="AF78" s="3"/>
      <c r="AG78" s="3"/>
      <c r="AH78" s="3" t="str">
        <v>5 - Finalize contract</v>
      </c>
    </row>
    <row r="79" spans="1:34" ht="14.5">
      <c r="A79" s="14" t="s">
        <v>32</v>
      </c>
      <c r="B79" s="1" t="s">
        <v>346</v>
      </c>
      <c r="C79" s="3" t="s">
        <v>259</v>
      </c>
      <c r="D79" s="2" t="str">
        <f>VLOOKUP(DE_AT[[#This Row],[Product Line]],Prod_T6[],5,0)</f>
        <v>Sunpower</v>
      </c>
      <c r="E79" s="2" t="s">
        <v>134</v>
      </c>
      <c r="F79" s="2" t="s">
        <v>263</v>
      </c>
      <c r="G79" s="2" t="s">
        <v>120</v>
      </c>
      <c r="H79" s="62"/>
      <c r="I79" s="40" t="s">
        <v>117</v>
      </c>
      <c r="J79" s="13"/>
      <c r="K79" s="13"/>
      <c r="L79" s="13"/>
      <c r="M79" s="13"/>
      <c r="N79" s="13">
        <f>2*36*600/1000000</f>
        <v>4.3200000000000002E-2</v>
      </c>
      <c r="O79" s="13"/>
      <c r="P79" s="13"/>
      <c r="Q79" s="13"/>
      <c r="R79" s="13"/>
      <c r="S79" s="32">
        <f>SUM(DE_AT[[#This Row],[26M04]:[26M06]])</f>
        <v>0</v>
      </c>
      <c r="T79" s="69">
        <f>SUM(DE_AT[[#This Row],[26M07]:[26M09]])</f>
        <v>4.3200000000000002E-2</v>
      </c>
      <c r="U79" s="69">
        <f>SUM(DE_AT[[#This Row],[26M10]:[26M12]])</f>
        <v>0</v>
      </c>
      <c r="V79" s="256"/>
      <c r="W79" s="256"/>
      <c r="X79" s="256"/>
      <c r="Y79" s="256"/>
      <c r="Z79" s="256"/>
      <c r="AA79" s="256"/>
      <c r="AB79" s="256">
        <f>SUM(DE_AT[[#This Row],[27M01]:[27M03]])</f>
        <v>0</v>
      </c>
      <c r="AC79" s="256">
        <f>SUM(DE_AT[[#This Row],[27M04]:[27M06]])</f>
        <v>0</v>
      </c>
      <c r="AD79" s="256" t="str">
        <f>IF(SUM(DE_AT[[#This Row],[26Q2]:[26Q4]])+SUM(DE_AT[[#This Row],[27Q1]:[27Q2]])=0,"No FSCT",IF(AND(SUM(DE_AT[[#This Row],[26Q2]:[26Q4]])&gt;0,SUM(DE_AT[[#This Row],[27Q1]:[27Q2]])=0),"YES","NO"))</f>
        <v>YES</v>
      </c>
      <c r="AE79" s="85" t="str">
        <f>VLOOKUP(DE_AT[[#This Row],[Product Line]],Prod_T6[],4,0)</f>
        <v>PV</v>
      </c>
      <c r="AF79" s="3"/>
      <c r="AG79" s="3"/>
      <c r="AH79" s="3" t="str">
        <v>5 - Finalize contract</v>
      </c>
    </row>
    <row r="80" spans="1:34" ht="14.5">
      <c r="A80" s="14" t="s">
        <v>32</v>
      </c>
      <c r="B80" s="1" t="s">
        <v>347</v>
      </c>
      <c r="C80" s="3" t="s">
        <v>259</v>
      </c>
      <c r="D80" s="2" t="str">
        <f>VLOOKUP(DE_AT[[#This Row],[Product Line]],Prod_T6[],5,0)</f>
        <v>Sunpower</v>
      </c>
      <c r="E80" s="2" t="s">
        <v>118</v>
      </c>
      <c r="F80" s="2" t="s">
        <v>119</v>
      </c>
      <c r="G80" s="2" t="s">
        <v>120</v>
      </c>
      <c r="H80" s="62"/>
      <c r="I80" s="40" t="s">
        <v>117</v>
      </c>
      <c r="J80" s="13"/>
      <c r="K80" s="13"/>
      <c r="L80" s="13"/>
      <c r="M80" s="133"/>
      <c r="N80" s="133"/>
      <c r="O80" s="133">
        <f>2*36*460/1000000</f>
        <v>3.3119999999999997E-2</v>
      </c>
      <c r="P80" s="13"/>
      <c r="Q80" s="13"/>
      <c r="R80" s="13"/>
      <c r="S80" s="32">
        <f>SUM(DE_AT[[#This Row],[26M04]:[26M06]])</f>
        <v>0</v>
      </c>
      <c r="T80" s="69">
        <f>SUM(DE_AT[[#This Row],[26M07]:[26M09]])</f>
        <v>3.3119999999999997E-2</v>
      </c>
      <c r="U80" s="69">
        <f>SUM(DE_AT[[#This Row],[26M10]:[26M12]])</f>
        <v>0</v>
      </c>
      <c r="V80" s="256"/>
      <c r="W80" s="256"/>
      <c r="X80" s="256"/>
      <c r="Y80" s="256"/>
      <c r="Z80" s="256"/>
      <c r="AA80" s="256"/>
      <c r="AB80" s="256">
        <f>SUM(DE_AT[[#This Row],[27M01]:[27M03]])</f>
        <v>0</v>
      </c>
      <c r="AC80" s="256">
        <f>SUM(DE_AT[[#This Row],[27M04]:[27M06]])</f>
        <v>0</v>
      </c>
      <c r="AD80" s="256" t="str">
        <f>IF(SUM(DE_AT[[#This Row],[26Q2]:[26Q4]])+SUM(DE_AT[[#This Row],[27Q1]:[27Q2]])=0,"No FSCT",IF(AND(SUM(DE_AT[[#This Row],[26Q2]:[26Q4]])&gt;0,SUM(DE_AT[[#This Row],[27Q1]:[27Q2]])=0),"YES","NO"))</f>
        <v>YES</v>
      </c>
      <c r="AE80" s="85" t="str">
        <f>VLOOKUP(DE_AT[[#This Row],[Product Line]],Prod_T6[],4,0)</f>
        <v>PV</v>
      </c>
      <c r="AF80" s="3"/>
      <c r="AG80" s="3"/>
      <c r="AH80" s="3" t="str">
        <v>5 - Finalize contract</v>
      </c>
    </row>
    <row r="81" spans="1:34">
      <c r="A81" s="14" t="s">
        <v>32</v>
      </c>
      <c r="B81" s="1" t="s">
        <v>319</v>
      </c>
      <c r="C81" s="3" t="s">
        <v>259</v>
      </c>
      <c r="D81" s="2" t="str">
        <f>VLOOKUP(DE_AT[[#This Row],[Product Line]],Prod_T6[],5,0)</f>
        <v>Sunpower</v>
      </c>
      <c r="E81" s="2" t="s">
        <v>118</v>
      </c>
      <c r="F81" s="2" t="s">
        <v>180</v>
      </c>
      <c r="G81" s="2" t="s">
        <v>120</v>
      </c>
      <c r="H81" s="62"/>
      <c r="I81" s="40" t="s">
        <v>117</v>
      </c>
      <c r="J81" s="13"/>
      <c r="K81" s="13"/>
      <c r="L81" s="13"/>
      <c r="M81" s="133"/>
      <c r="N81" s="133"/>
      <c r="O81" s="133"/>
      <c r="P81" s="13">
        <f>2*33*515/1000000</f>
        <v>3.3989999999999999E-2</v>
      </c>
      <c r="Q81" s="13"/>
      <c r="R81" s="13"/>
      <c r="S81" s="32">
        <f>SUM(DE_AT[[#This Row],[26M04]:[26M06]])</f>
        <v>0</v>
      </c>
      <c r="T81" s="69">
        <f>SUM(DE_AT[[#This Row],[26M07]:[26M09]])</f>
        <v>0</v>
      </c>
      <c r="U81" s="69">
        <f>SUM(DE_AT[[#This Row],[26M10]:[26M12]])</f>
        <v>3.3989999999999999E-2</v>
      </c>
      <c r="V81" s="256"/>
      <c r="W81" s="256"/>
      <c r="X81" s="256"/>
      <c r="Y81" s="256"/>
      <c r="Z81" s="256"/>
      <c r="AA81" s="256"/>
      <c r="AB81" s="256">
        <f>SUM(DE_AT[[#This Row],[27M01]:[27M03]])</f>
        <v>0</v>
      </c>
      <c r="AC81" s="256">
        <f>SUM(DE_AT[[#This Row],[27M04]:[27M06]])</f>
        <v>0</v>
      </c>
      <c r="AD81" s="256" t="str">
        <f>IF(SUM(DE_AT[[#This Row],[26Q2]:[26Q4]])+SUM(DE_AT[[#This Row],[27Q1]:[27Q2]])=0,"No FSCT",IF(AND(SUM(DE_AT[[#This Row],[26Q2]:[26Q4]])&gt;0,SUM(DE_AT[[#This Row],[27Q1]:[27Q2]])=0),"YES","NO"))</f>
        <v>YES</v>
      </c>
      <c r="AE81" s="120" t="str">
        <f>VLOOKUP(DE_AT[[#This Row],[Product Line]],Prod_T6[],4,0)</f>
        <v>PV</v>
      </c>
      <c r="AF81" s="3"/>
      <c r="AG81" s="3"/>
      <c r="AH81" s="3" t="str">
        <v>5 - Finalize contract</v>
      </c>
    </row>
    <row r="82" spans="1:34" ht="14.5">
      <c r="A82" s="14" t="s">
        <v>32</v>
      </c>
      <c r="B82" s="1" t="s">
        <v>319</v>
      </c>
      <c r="C82" s="3" t="s">
        <v>259</v>
      </c>
      <c r="D82" s="2" t="str">
        <f>VLOOKUP(DE_AT[[#This Row],[Product Line]],Prod_T6[],5,0)</f>
        <v>Sunpower</v>
      </c>
      <c r="E82" s="2" t="s">
        <v>118</v>
      </c>
      <c r="F82" s="2" t="s">
        <v>255</v>
      </c>
      <c r="G82" s="2" t="s">
        <v>120</v>
      </c>
      <c r="H82" s="62"/>
      <c r="I82" s="40" t="s">
        <v>117</v>
      </c>
      <c r="J82" s="13"/>
      <c r="K82" s="13"/>
      <c r="L82" s="13"/>
      <c r="M82" s="13"/>
      <c r="N82" s="13"/>
      <c r="O82" s="133"/>
      <c r="P82" s="13">
        <f>8*33*555/1000000</f>
        <v>0.14652000000000001</v>
      </c>
      <c r="Q82" s="13"/>
      <c r="R82" s="13"/>
      <c r="S82" s="32">
        <f>SUM(DE_AT[[#This Row],[26M04]:[26M06]])</f>
        <v>0</v>
      </c>
      <c r="T82" s="69">
        <f>SUM(DE_AT[[#This Row],[26M07]:[26M09]])</f>
        <v>0</v>
      </c>
      <c r="U82" s="69">
        <f>SUM(DE_AT[[#This Row],[26M10]:[26M12]])</f>
        <v>0.14652000000000001</v>
      </c>
      <c r="V82" s="256"/>
      <c r="W82" s="256"/>
      <c r="X82" s="256"/>
      <c r="Y82" s="256"/>
      <c r="Z82" s="256"/>
      <c r="AA82" s="256"/>
      <c r="AB82" s="256">
        <f>SUM(DE_AT[[#This Row],[27M01]:[27M03]])</f>
        <v>0</v>
      </c>
      <c r="AC82" s="256">
        <f>SUM(DE_AT[[#This Row],[27M04]:[27M06]])</f>
        <v>0</v>
      </c>
      <c r="AD82" s="256" t="str">
        <f>IF(SUM(DE_AT[[#This Row],[26Q2]:[26Q4]])+SUM(DE_AT[[#This Row],[27Q1]:[27Q2]])=0,"No FSCT",IF(AND(SUM(DE_AT[[#This Row],[26Q2]:[26Q4]])&gt;0,SUM(DE_AT[[#This Row],[27Q1]:[27Q2]])=0),"YES","NO"))</f>
        <v>YES</v>
      </c>
      <c r="AE82" s="85" t="str">
        <f>VLOOKUP(DE_AT[[#This Row],[Product Line]],Prod_T6[],4,0)</f>
        <v>PV</v>
      </c>
      <c r="AF82" s="3"/>
      <c r="AG82" s="3"/>
      <c r="AH82" s="3" t="str">
        <v>5 - Finalize contract</v>
      </c>
    </row>
    <row r="83" spans="1:34" ht="14.5">
      <c r="A83" s="14" t="s">
        <v>32</v>
      </c>
      <c r="B83" s="1" t="s">
        <v>319</v>
      </c>
      <c r="C83" s="3" t="s">
        <v>259</v>
      </c>
      <c r="D83" s="2" t="str">
        <f>VLOOKUP(DE_AT[[#This Row],[Product Line]],Prod_T6[],5,0)</f>
        <v>Sunpower</v>
      </c>
      <c r="E83" s="2" t="s">
        <v>134</v>
      </c>
      <c r="F83" s="2" t="s">
        <v>263</v>
      </c>
      <c r="G83" s="2" t="s">
        <v>120</v>
      </c>
      <c r="H83" s="62"/>
      <c r="I83" s="40" t="s">
        <v>117</v>
      </c>
      <c r="J83" s="13"/>
      <c r="K83" s="13"/>
      <c r="L83" s="13"/>
      <c r="M83" s="13"/>
      <c r="N83" s="13"/>
      <c r="O83" s="13"/>
      <c r="P83" s="13">
        <f>2*36*600/1000000</f>
        <v>4.3200000000000002E-2</v>
      </c>
      <c r="Q83" s="13"/>
      <c r="R83" s="13"/>
      <c r="S83" s="32">
        <f>SUM(DE_AT[[#This Row],[26M04]:[26M06]])</f>
        <v>0</v>
      </c>
      <c r="T83" s="69">
        <f>SUM(DE_AT[[#This Row],[26M07]:[26M09]])</f>
        <v>0</v>
      </c>
      <c r="U83" s="69">
        <f>SUM(DE_AT[[#This Row],[26M10]:[26M12]])</f>
        <v>4.3200000000000002E-2</v>
      </c>
      <c r="V83" s="256"/>
      <c r="W83" s="256"/>
      <c r="X83" s="256"/>
      <c r="Y83" s="256"/>
      <c r="Z83" s="256"/>
      <c r="AA83" s="256"/>
      <c r="AB83" s="256">
        <f>SUM(DE_AT[[#This Row],[27M01]:[27M03]])</f>
        <v>0</v>
      </c>
      <c r="AC83" s="256">
        <f>SUM(DE_AT[[#This Row],[27M04]:[27M06]])</f>
        <v>0</v>
      </c>
      <c r="AD83" s="256" t="str">
        <f>IF(SUM(DE_AT[[#This Row],[26Q2]:[26Q4]])+SUM(DE_AT[[#This Row],[27Q1]:[27Q2]])=0,"No FSCT",IF(AND(SUM(DE_AT[[#This Row],[26Q2]:[26Q4]])&gt;0,SUM(DE_AT[[#This Row],[27Q1]:[27Q2]])=0),"YES","NO"))</f>
        <v>YES</v>
      </c>
      <c r="AE83" s="85" t="str">
        <f>VLOOKUP(DE_AT[[#This Row],[Product Line]],Prod_T6[],4,0)</f>
        <v>PV</v>
      </c>
      <c r="AF83" s="3"/>
      <c r="AG83" s="3"/>
      <c r="AH83" s="3" t="str">
        <v>5 - Finalize contract</v>
      </c>
    </row>
    <row r="84" spans="1:34" ht="14.5">
      <c r="A84" s="14" t="s">
        <v>32</v>
      </c>
      <c r="B84" s="1" t="s">
        <v>272</v>
      </c>
      <c r="C84" s="3" t="s">
        <v>259</v>
      </c>
      <c r="D84" s="2" t="str">
        <f>VLOOKUP(DE_AT[[#This Row],[Product Line]],Prod_T6[],5,0)</f>
        <v>Sunpower</v>
      </c>
      <c r="E84" s="2" t="s">
        <v>118</v>
      </c>
      <c r="F84" s="2" t="s">
        <v>255</v>
      </c>
      <c r="G84" s="2" t="s">
        <v>120</v>
      </c>
      <c r="H84" s="62"/>
      <c r="I84" s="40" t="s">
        <v>117</v>
      </c>
      <c r="J84" s="13"/>
      <c r="K84" s="13">
        <v>0.2</v>
      </c>
      <c r="L84" s="13"/>
      <c r="M84" s="133"/>
      <c r="N84" s="133">
        <f>8*33*555/1000000</f>
        <v>0.14652000000000001</v>
      </c>
      <c r="O84" s="133"/>
      <c r="P84" s="13"/>
      <c r="Q84" s="13">
        <f>8*33*555/1000000</f>
        <v>0.14652000000000001</v>
      </c>
      <c r="R84" s="13"/>
      <c r="S84" s="32">
        <f>SUM(DE_AT[[#This Row],[26M04]:[26M06]])</f>
        <v>0.2</v>
      </c>
      <c r="T84" s="69">
        <f>SUM(DE_AT[[#This Row],[26M07]:[26M09]])</f>
        <v>0.14652000000000001</v>
      </c>
      <c r="U84" s="69">
        <f>SUM(DE_AT[[#This Row],[26M10]:[26M12]])</f>
        <v>0.14652000000000001</v>
      </c>
      <c r="V84" s="256"/>
      <c r="W84" s="256"/>
      <c r="X84" s="256"/>
      <c r="Y84" s="256"/>
      <c r="Z84" s="256"/>
      <c r="AA84" s="256"/>
      <c r="AB84" s="256">
        <f>SUM(DE_AT[[#This Row],[27M01]:[27M03]])</f>
        <v>0</v>
      </c>
      <c r="AC84" s="256">
        <f>SUM(DE_AT[[#This Row],[27M04]:[27M06]])</f>
        <v>0</v>
      </c>
      <c r="AD84" s="256" t="str">
        <f>IF(SUM(DE_AT[[#This Row],[26Q2]:[26Q4]])+SUM(DE_AT[[#This Row],[27Q1]:[27Q2]])=0,"No FSCT",IF(AND(SUM(DE_AT[[#This Row],[26Q2]:[26Q4]])&gt;0,SUM(DE_AT[[#This Row],[27Q1]:[27Q2]])=0),"YES","NO"))</f>
        <v>YES</v>
      </c>
      <c r="AE84" s="85" t="str">
        <f>VLOOKUP(DE_AT[[#This Row],[Product Line]],Prod_T6[],4,0)</f>
        <v>PV</v>
      </c>
      <c r="AF84" s="3"/>
      <c r="AG84" s="3"/>
      <c r="AH84" s="3" t="str">
        <v>5 - Finalize contract</v>
      </c>
    </row>
    <row r="85" spans="1:34" ht="14.5">
      <c r="A85" s="14" t="s">
        <v>32</v>
      </c>
      <c r="B85" s="1" t="s">
        <v>272</v>
      </c>
      <c r="C85" s="3" t="s">
        <v>259</v>
      </c>
      <c r="D85" s="2" t="str">
        <f>VLOOKUP(DE_AT[[#This Row],[Product Line]],Prod_T6[],5,0)</f>
        <v>Sunpower</v>
      </c>
      <c r="E85" s="2" t="s">
        <v>134</v>
      </c>
      <c r="F85" s="2" t="s">
        <v>263</v>
      </c>
      <c r="G85" s="2" t="s">
        <v>120</v>
      </c>
      <c r="H85" s="62"/>
      <c r="I85" s="40" t="s">
        <v>117</v>
      </c>
      <c r="J85" s="13"/>
      <c r="K85" s="13"/>
      <c r="L85" s="13"/>
      <c r="M85" s="13"/>
      <c r="N85" s="13">
        <f>4*36*600/1000000</f>
        <v>8.6400000000000005E-2</v>
      </c>
      <c r="O85" s="13"/>
      <c r="P85" s="13"/>
      <c r="Q85" s="13">
        <f>4*36*600/1000000</f>
        <v>8.6400000000000005E-2</v>
      </c>
      <c r="R85" s="13"/>
      <c r="S85" s="32">
        <f>SUM(DE_AT[[#This Row],[26M04]:[26M06]])</f>
        <v>0</v>
      </c>
      <c r="T85" s="69">
        <f>SUM(DE_AT[[#This Row],[26M07]:[26M09]])</f>
        <v>8.6400000000000005E-2</v>
      </c>
      <c r="U85" s="69">
        <f>SUM(DE_AT[[#This Row],[26M10]:[26M12]])</f>
        <v>8.6400000000000005E-2</v>
      </c>
      <c r="V85" s="256"/>
      <c r="W85" s="256"/>
      <c r="X85" s="256"/>
      <c r="Y85" s="256"/>
      <c r="Z85" s="256"/>
      <c r="AA85" s="256"/>
      <c r="AB85" s="256">
        <f>SUM(DE_AT[[#This Row],[27M01]:[27M03]])</f>
        <v>0</v>
      </c>
      <c r="AC85" s="256">
        <f>SUM(DE_AT[[#This Row],[27M04]:[27M06]])</f>
        <v>0</v>
      </c>
      <c r="AD85" s="256" t="str">
        <f>IF(SUM(DE_AT[[#This Row],[26Q2]:[26Q4]])+SUM(DE_AT[[#This Row],[27Q1]:[27Q2]])=0,"No FSCT",IF(AND(SUM(DE_AT[[#This Row],[26Q2]:[26Q4]])&gt;0,SUM(DE_AT[[#This Row],[27Q1]:[27Q2]])=0),"YES","NO"))</f>
        <v>YES</v>
      </c>
      <c r="AE85" s="85" t="str">
        <f>VLOOKUP(DE_AT[[#This Row],[Product Line]],Prod_T6[],4,0)</f>
        <v>PV</v>
      </c>
      <c r="AF85" s="3"/>
      <c r="AG85" s="3"/>
      <c r="AH85" s="3" t="str">
        <v>5 - Finalize contract</v>
      </c>
    </row>
    <row r="86" spans="1:34" ht="14.5">
      <c r="A86" s="14" t="s">
        <v>32</v>
      </c>
      <c r="B86" s="1" t="s">
        <v>273</v>
      </c>
      <c r="C86" s="3" t="s">
        <v>259</v>
      </c>
      <c r="D86" s="2" t="str">
        <f>VLOOKUP(DE_AT[[#This Row],[Product Line]],Prod_T6[],5,0)</f>
        <v>Sunpower</v>
      </c>
      <c r="E86" s="2" t="s">
        <v>197</v>
      </c>
      <c r="F86" s="2" t="s">
        <v>61</v>
      </c>
      <c r="G86" s="2" t="s">
        <v>120</v>
      </c>
      <c r="H86" s="62"/>
      <c r="I86" s="40" t="s">
        <v>117</v>
      </c>
      <c r="J86" s="13">
        <v>1</v>
      </c>
      <c r="K86" s="13"/>
      <c r="L86" s="13"/>
      <c r="M86" s="13"/>
      <c r="N86" s="13">
        <v>1</v>
      </c>
      <c r="O86" s="13"/>
      <c r="P86" s="13"/>
      <c r="Q86" s="13">
        <v>1</v>
      </c>
      <c r="R86" s="13"/>
      <c r="S86" s="32"/>
      <c r="T86" s="69">
        <f>SUM(DE_AT[[#This Row],[26M07]:[26M09]])</f>
        <v>1</v>
      </c>
      <c r="U86" s="69">
        <f>SUM(DE_AT[[#This Row],[26M10]:[26M12]])</f>
        <v>1</v>
      </c>
      <c r="V86" s="256"/>
      <c r="W86" s="256"/>
      <c r="X86" s="256"/>
      <c r="Y86" s="256"/>
      <c r="Z86" s="256"/>
      <c r="AA86" s="256"/>
      <c r="AB86" s="256">
        <f>SUM(DE_AT[[#This Row],[27M01]:[27M03]])</f>
        <v>0</v>
      </c>
      <c r="AC86" s="256">
        <f>SUM(DE_AT[[#This Row],[27M04]:[27M06]])</f>
        <v>0</v>
      </c>
      <c r="AD86" s="256" t="str">
        <f>IF(SUM(DE_AT[[#This Row],[26Q2]:[26Q4]])+SUM(DE_AT[[#This Row],[27Q1]:[27Q2]])=0,"No FSCT",IF(AND(SUM(DE_AT[[#This Row],[26Q2]:[26Q4]])&gt;0,SUM(DE_AT[[#This Row],[27Q1]:[27Q2]])=0),"YES","NO"))</f>
        <v>YES</v>
      </c>
      <c r="AE86" s="85" t="str">
        <f>VLOOKUP(DE_AT[[#This Row],[Product Line]],Prod_T6[],4,0)</f>
        <v>ESS</v>
      </c>
      <c r="AF86" s="3"/>
      <c r="AG86" s="3"/>
      <c r="AH86" s="3" t="str">
        <v>5 - Finalize contract</v>
      </c>
    </row>
    <row r="87" spans="1:34" ht="14.5">
      <c r="A87" s="14" t="s">
        <v>32</v>
      </c>
      <c r="B87" s="1" t="s">
        <v>273</v>
      </c>
      <c r="C87" s="3" t="s">
        <v>259</v>
      </c>
      <c r="D87" s="2" t="str">
        <f>VLOOKUP(DE_AT[[#This Row],[Product Line]],Prod_T6[],5,0)</f>
        <v>Sunpower</v>
      </c>
      <c r="E87" s="2" t="s">
        <v>118</v>
      </c>
      <c r="F87" s="2" t="s">
        <v>180</v>
      </c>
      <c r="G87" s="2" t="s">
        <v>120</v>
      </c>
      <c r="H87" s="62"/>
      <c r="I87" s="40" t="s">
        <v>117</v>
      </c>
      <c r="J87" s="13">
        <f>2*36*515/10000000</f>
        <v>3.7079999999999999E-3</v>
      </c>
      <c r="K87" s="13"/>
      <c r="L87" s="13"/>
      <c r="M87" s="133"/>
      <c r="N87" s="13">
        <f>2*36*515/10000000</f>
        <v>3.7079999999999999E-3</v>
      </c>
      <c r="O87" s="133"/>
      <c r="P87" s="13"/>
      <c r="Q87" s="13">
        <f>2*36*515/10000000</f>
        <v>3.7079999999999999E-3</v>
      </c>
      <c r="R87" s="13"/>
      <c r="S87" s="32">
        <f>SUM(DE_AT[[#This Row],[26M04]:[26M06]])</f>
        <v>3.7079999999999999E-3</v>
      </c>
      <c r="T87" s="69">
        <f>SUM(DE_AT[[#This Row],[26M07]:[26M09]])</f>
        <v>3.7079999999999999E-3</v>
      </c>
      <c r="U87" s="69">
        <f>SUM(DE_AT[[#This Row],[26M10]:[26M12]])</f>
        <v>3.7079999999999999E-3</v>
      </c>
      <c r="V87" s="256"/>
      <c r="W87" s="256"/>
      <c r="X87" s="256"/>
      <c r="Y87" s="256"/>
      <c r="Z87" s="256"/>
      <c r="AA87" s="256"/>
      <c r="AB87" s="256">
        <f>SUM(DE_AT[[#This Row],[27M01]:[27M03]])</f>
        <v>0</v>
      </c>
      <c r="AC87" s="256">
        <f>SUM(DE_AT[[#This Row],[27M04]:[27M06]])</f>
        <v>0</v>
      </c>
      <c r="AD87" s="256" t="str">
        <f>IF(SUM(DE_AT[[#This Row],[26Q2]:[26Q4]])+SUM(DE_AT[[#This Row],[27Q1]:[27Q2]])=0,"No FSCT",IF(AND(SUM(DE_AT[[#This Row],[26Q2]:[26Q4]])&gt;0,SUM(DE_AT[[#This Row],[27Q1]:[27Q2]])=0),"YES","NO"))</f>
        <v>YES</v>
      </c>
      <c r="AE87" s="85" t="str">
        <f>VLOOKUP(DE_AT[[#This Row],[Product Line]],Prod_T6[],4,0)</f>
        <v>PV</v>
      </c>
      <c r="AF87" s="3"/>
      <c r="AG87" s="3"/>
      <c r="AH87" s="3" t="str">
        <v>5 - Finalize contract</v>
      </c>
    </row>
    <row r="88" spans="1:34" ht="14.5">
      <c r="A88" s="14" t="s">
        <v>32</v>
      </c>
      <c r="B88" s="1" t="s">
        <v>274</v>
      </c>
      <c r="C88" s="3" t="s">
        <v>259</v>
      </c>
      <c r="D88" s="2" t="str">
        <f>VLOOKUP(DE_AT[[#This Row],[Product Line]],Prod_T6[],5,0)</f>
        <v>Sunpower</v>
      </c>
      <c r="E88" s="2" t="s">
        <v>118</v>
      </c>
      <c r="F88" s="2" t="s">
        <v>119</v>
      </c>
      <c r="G88" s="2" t="s">
        <v>120</v>
      </c>
      <c r="H88" s="62"/>
      <c r="I88" s="40" t="s">
        <v>117</v>
      </c>
      <c r="J88" s="13"/>
      <c r="K88" s="13">
        <f>14*36*460/1000000</f>
        <v>0.23183999999999999</v>
      </c>
      <c r="L88" s="13"/>
      <c r="M88" s="133">
        <f>14*36*460/1000000</f>
        <v>0.23183999999999999</v>
      </c>
      <c r="N88" s="133"/>
      <c r="O88" s="133">
        <f>14*36*460/1000000</f>
        <v>0.23183999999999999</v>
      </c>
      <c r="P88" s="13"/>
      <c r="Q88" s="133">
        <f>14*36*460/1000000</f>
        <v>0.23183999999999999</v>
      </c>
      <c r="R88" s="13"/>
      <c r="S88" s="32">
        <f>SUM(DE_AT[[#This Row],[26M04]:[26M06]])</f>
        <v>0.23183999999999999</v>
      </c>
      <c r="T88" s="69">
        <f>SUM(DE_AT[[#This Row],[26M07]:[26M09]])</f>
        <v>0.46367999999999998</v>
      </c>
      <c r="U88" s="69">
        <f>SUM(DE_AT[[#This Row],[26M10]:[26M12]])</f>
        <v>0.23183999999999999</v>
      </c>
      <c r="V88" s="256"/>
      <c r="W88" s="256"/>
      <c r="X88" s="256"/>
      <c r="Y88" s="256"/>
      <c r="Z88" s="256"/>
      <c r="AA88" s="256"/>
      <c r="AB88" s="256">
        <f>SUM(DE_AT[[#This Row],[27M01]:[27M03]])</f>
        <v>0</v>
      </c>
      <c r="AC88" s="256">
        <f>SUM(DE_AT[[#This Row],[27M04]:[27M06]])</f>
        <v>0</v>
      </c>
      <c r="AD88" s="256" t="str">
        <f>IF(SUM(DE_AT[[#This Row],[26Q2]:[26Q4]])+SUM(DE_AT[[#This Row],[27Q1]:[27Q2]])=0,"No FSCT",IF(AND(SUM(DE_AT[[#This Row],[26Q2]:[26Q4]])&gt;0,SUM(DE_AT[[#This Row],[27Q1]:[27Q2]])=0),"YES","NO"))</f>
        <v>YES</v>
      </c>
      <c r="AE88" s="85" t="str">
        <f>VLOOKUP(DE_AT[[#This Row],[Product Line]],Prod_T6[],4,0)</f>
        <v>PV</v>
      </c>
      <c r="AF88" s="3"/>
      <c r="AG88" s="3"/>
      <c r="AH88" s="3" t="str">
        <v>5 - Finalize contract</v>
      </c>
    </row>
    <row r="89" spans="1:34" ht="14.5">
      <c r="A89" s="14" t="s">
        <v>32</v>
      </c>
      <c r="B89" s="1" t="s">
        <v>274</v>
      </c>
      <c r="C89" s="3" t="s">
        <v>259</v>
      </c>
      <c r="D89" s="2" t="str">
        <f>VLOOKUP(DE_AT[[#This Row],[Product Line]],Prod_T6[],5,0)</f>
        <v>Sunpower</v>
      </c>
      <c r="E89" s="2" t="s">
        <v>118</v>
      </c>
      <c r="F89" s="2" t="s">
        <v>275</v>
      </c>
      <c r="G89" s="2" t="s">
        <v>120</v>
      </c>
      <c r="H89" s="62"/>
      <c r="I89" s="40" t="s">
        <v>117</v>
      </c>
      <c r="J89" s="13">
        <f>6*36*510/1000000</f>
        <v>0.11015999999999999</v>
      </c>
      <c r="K89" s="13">
        <f>6*36*510/1000000</f>
        <v>0.11015999999999999</v>
      </c>
      <c r="L89" s="13"/>
      <c r="M89" s="133"/>
      <c r="N89" s="133"/>
      <c r="O89" s="133"/>
      <c r="P89" s="13"/>
      <c r="Q89" s="13"/>
      <c r="R89" s="13"/>
      <c r="S89" s="32">
        <f>SUM(DE_AT[[#This Row],[26M04]:[26M06]])</f>
        <v>0.22031999999999999</v>
      </c>
      <c r="T89" s="69">
        <f>SUM(DE_AT[[#This Row],[26M07]:[26M09]])</f>
        <v>0</v>
      </c>
      <c r="U89" s="69">
        <f>SUM(DE_AT[[#This Row],[26M10]:[26M12]])</f>
        <v>0</v>
      </c>
      <c r="V89" s="256"/>
      <c r="W89" s="256"/>
      <c r="X89" s="256"/>
      <c r="Y89" s="256"/>
      <c r="Z89" s="256"/>
      <c r="AA89" s="256"/>
      <c r="AB89" s="256">
        <f>SUM(DE_AT[[#This Row],[27M01]:[27M03]])</f>
        <v>0</v>
      </c>
      <c r="AC89" s="256">
        <f>SUM(DE_AT[[#This Row],[27M04]:[27M06]])</f>
        <v>0</v>
      </c>
      <c r="AD89" s="256" t="str">
        <f>IF(SUM(DE_AT[[#This Row],[26Q2]:[26Q4]])+SUM(DE_AT[[#This Row],[27Q1]:[27Q2]])=0,"No FSCT",IF(AND(SUM(DE_AT[[#This Row],[26Q2]:[26Q4]])&gt;0,SUM(DE_AT[[#This Row],[27Q1]:[27Q2]])=0),"YES","NO"))</f>
        <v>YES</v>
      </c>
      <c r="AE89" s="85" t="str">
        <f>VLOOKUP(DE_AT[[#This Row],[Product Line]],Prod_T6[],4,0)</f>
        <v>PV</v>
      </c>
      <c r="AF89" s="3"/>
      <c r="AG89" s="3"/>
      <c r="AH89" s="3" t="str">
        <v>5 - Finalize contract</v>
      </c>
    </row>
    <row r="90" spans="1:34" ht="14.5">
      <c r="A90" s="14" t="s">
        <v>32</v>
      </c>
      <c r="B90" s="1" t="s">
        <v>274</v>
      </c>
      <c r="C90" s="3" t="s">
        <v>259</v>
      </c>
      <c r="D90" s="2" t="str">
        <f>VLOOKUP(DE_AT[[#This Row],[Product Line]],Prod_T6[],5,0)</f>
        <v>Sunpower</v>
      </c>
      <c r="E90" s="2" t="s">
        <v>118</v>
      </c>
      <c r="F90" s="2" t="s">
        <v>180</v>
      </c>
      <c r="G90" s="2" t="s">
        <v>120</v>
      </c>
      <c r="H90" s="62"/>
      <c r="I90" s="40" t="s">
        <v>117</v>
      </c>
      <c r="J90" s="13">
        <f t="shared" ref="J90:R90" si="0">14*36*515/1000000</f>
        <v>0.25956000000000001</v>
      </c>
      <c r="K90" s="13">
        <f t="shared" si="0"/>
        <v>0.25956000000000001</v>
      </c>
      <c r="L90" s="13">
        <f t="shared" si="0"/>
        <v>0.25956000000000001</v>
      </c>
      <c r="M90" s="13">
        <f t="shared" si="0"/>
        <v>0.25956000000000001</v>
      </c>
      <c r="N90" s="13">
        <f t="shared" si="0"/>
        <v>0.25956000000000001</v>
      </c>
      <c r="O90" s="13">
        <f t="shared" si="0"/>
        <v>0.25956000000000001</v>
      </c>
      <c r="P90" s="13">
        <f t="shared" si="0"/>
        <v>0.25956000000000001</v>
      </c>
      <c r="Q90" s="13">
        <f t="shared" si="0"/>
        <v>0.25956000000000001</v>
      </c>
      <c r="R90" s="13">
        <f t="shared" si="0"/>
        <v>0.25956000000000001</v>
      </c>
      <c r="S90" s="32">
        <f>SUM(DE_AT[[#This Row],[26M04]:[26M06]])</f>
        <v>0.77868000000000004</v>
      </c>
      <c r="T90" s="69">
        <f>SUM(DE_AT[[#This Row],[26M07]:[26M09]])</f>
        <v>0.77868000000000004</v>
      </c>
      <c r="U90" s="69">
        <f>SUM(DE_AT[[#This Row],[26M10]:[26M12]])</f>
        <v>0.77868000000000004</v>
      </c>
      <c r="V90" s="256"/>
      <c r="W90" s="256"/>
      <c r="X90" s="256"/>
      <c r="Y90" s="256"/>
      <c r="Z90" s="256"/>
      <c r="AA90" s="256"/>
      <c r="AB90" s="256">
        <f>SUM(DE_AT[[#This Row],[27M01]:[27M03]])</f>
        <v>0</v>
      </c>
      <c r="AC90" s="256">
        <f>SUM(DE_AT[[#This Row],[27M04]:[27M06]])</f>
        <v>0</v>
      </c>
      <c r="AD90" s="256" t="str">
        <f>IF(SUM(DE_AT[[#This Row],[26Q2]:[26Q4]])+SUM(DE_AT[[#This Row],[27Q1]:[27Q2]])=0,"No FSCT",IF(AND(SUM(DE_AT[[#This Row],[26Q2]:[26Q4]])&gt;0,SUM(DE_AT[[#This Row],[27Q1]:[27Q2]])=0),"YES","NO"))</f>
        <v>YES</v>
      </c>
      <c r="AE90" s="85" t="str">
        <f>VLOOKUP(DE_AT[[#This Row],[Product Line]],Prod_T6[],4,0)</f>
        <v>PV</v>
      </c>
      <c r="AF90" s="3"/>
      <c r="AG90" s="3"/>
      <c r="AH90" s="3" t="str">
        <v>5 - Finalize contract</v>
      </c>
    </row>
    <row r="91" spans="1:34" ht="14.5">
      <c r="A91" s="14" t="s">
        <v>32</v>
      </c>
      <c r="B91" s="1" t="s">
        <v>274</v>
      </c>
      <c r="C91" s="3" t="s">
        <v>259</v>
      </c>
      <c r="D91" s="2" t="str">
        <f>VLOOKUP(DE_AT[[#This Row],[Product Line]],Prod_T6[],5,0)</f>
        <v>Sunpower</v>
      </c>
      <c r="E91" s="2" t="s">
        <v>118</v>
      </c>
      <c r="F91" s="2" t="s">
        <v>255</v>
      </c>
      <c r="G91" s="2" t="s">
        <v>120</v>
      </c>
      <c r="H91" s="62"/>
      <c r="I91" s="40" t="s">
        <v>117</v>
      </c>
      <c r="J91" s="13"/>
      <c r="K91" s="13"/>
      <c r="L91" s="13"/>
      <c r="M91" s="133"/>
      <c r="N91" s="133">
        <f>8*33*555/1000000</f>
        <v>0.14652000000000001</v>
      </c>
      <c r="O91" s="133"/>
      <c r="P91" s="13"/>
      <c r="Q91" s="13"/>
      <c r="R91" s="13"/>
      <c r="S91" s="32"/>
      <c r="T91" s="69">
        <f>SUM(DE_AT[[#This Row],[26M07]:[26M09]])</f>
        <v>0.14652000000000001</v>
      </c>
      <c r="U91" s="69">
        <f>SUM(DE_AT[[#This Row],[26M10]:[26M12]])</f>
        <v>0</v>
      </c>
      <c r="V91" s="256"/>
      <c r="W91" s="256"/>
      <c r="X91" s="256"/>
      <c r="Y91" s="256"/>
      <c r="Z91" s="256"/>
      <c r="AA91" s="256"/>
      <c r="AB91" s="256">
        <f>SUM(DE_AT[[#This Row],[27M01]:[27M03]])</f>
        <v>0</v>
      </c>
      <c r="AC91" s="256">
        <f>SUM(DE_AT[[#This Row],[27M04]:[27M06]])</f>
        <v>0</v>
      </c>
      <c r="AD91" s="256" t="str">
        <f>IF(SUM(DE_AT[[#This Row],[26Q2]:[26Q4]])+SUM(DE_AT[[#This Row],[27Q1]:[27Q2]])=0,"No FSCT",IF(AND(SUM(DE_AT[[#This Row],[26Q2]:[26Q4]])&gt;0,SUM(DE_AT[[#This Row],[27Q1]:[27Q2]])=0),"YES","NO"))</f>
        <v>YES</v>
      </c>
      <c r="AE91" s="85" t="str">
        <f>VLOOKUP(DE_AT[[#This Row],[Product Line]],Prod_T6[],4,0)</f>
        <v>PV</v>
      </c>
      <c r="AF91" s="3"/>
      <c r="AG91" s="3"/>
      <c r="AH91" s="3" t="str">
        <v>5 - Finalize contract</v>
      </c>
    </row>
    <row r="92" spans="1:34" ht="14.5">
      <c r="A92" s="14" t="s">
        <v>32</v>
      </c>
      <c r="B92" s="1" t="s">
        <v>274</v>
      </c>
      <c r="C92" s="3" t="s">
        <v>259</v>
      </c>
      <c r="D92" s="2" t="str">
        <f>VLOOKUP(DE_AT[[#This Row],[Product Line]],Prod_T6[],5,0)</f>
        <v>Sunpower</v>
      </c>
      <c r="E92" s="2" t="s">
        <v>276</v>
      </c>
      <c r="F92" s="2" t="s">
        <v>277</v>
      </c>
      <c r="G92" s="2" t="s">
        <v>120</v>
      </c>
      <c r="H92" s="62"/>
      <c r="I92" s="40" t="s">
        <v>117</v>
      </c>
      <c r="J92" s="13">
        <f>2*37*490/1000000</f>
        <v>3.6260000000000001E-2</v>
      </c>
      <c r="K92" s="13">
        <f>2*37*490/1000000</f>
        <v>3.6260000000000001E-2</v>
      </c>
      <c r="L92" s="13">
        <f>2*37*490/1000000</f>
        <v>3.6260000000000001E-2</v>
      </c>
      <c r="M92" s="13">
        <f>2*37*490/1000000</f>
        <v>3.6260000000000001E-2</v>
      </c>
      <c r="N92" s="13">
        <f>2*37*490/1000000</f>
        <v>3.6260000000000001E-2</v>
      </c>
      <c r="O92" s="13"/>
      <c r="P92" s="13"/>
      <c r="Q92" s="13"/>
      <c r="R92" s="13"/>
      <c r="S92" s="32">
        <f>SUM(DE_AT[[#This Row],[26M04]:[26M06]])</f>
        <v>0.10878</v>
      </c>
      <c r="T92" s="69">
        <f>SUM(DE_AT[[#This Row],[26M07]:[26M09]])</f>
        <v>7.2520000000000001E-2</v>
      </c>
      <c r="U92" s="69">
        <f>SUM(DE_AT[[#This Row],[26M10]:[26M12]])</f>
        <v>0</v>
      </c>
      <c r="V92" s="256"/>
      <c r="W92" s="256"/>
      <c r="X92" s="256"/>
      <c r="Y92" s="256"/>
      <c r="Z92" s="256"/>
      <c r="AA92" s="256"/>
      <c r="AB92" s="256">
        <f>SUM(DE_AT[[#This Row],[27M01]:[27M03]])</f>
        <v>0</v>
      </c>
      <c r="AC92" s="256">
        <f>SUM(DE_AT[[#This Row],[27M04]:[27M06]])</f>
        <v>0</v>
      </c>
      <c r="AD92" s="256" t="str">
        <f>IF(SUM(DE_AT[[#This Row],[26Q2]:[26Q4]])+SUM(DE_AT[[#This Row],[27Q1]:[27Q2]])=0,"No FSCT",IF(AND(SUM(DE_AT[[#This Row],[26Q2]:[26Q4]])&gt;0,SUM(DE_AT[[#This Row],[27Q1]:[27Q2]])=0),"YES","NO"))</f>
        <v>YES</v>
      </c>
      <c r="AE92" s="85" t="str">
        <f>VLOOKUP(DE_AT[[#This Row],[Product Line]],Prod_T6[],4,0)</f>
        <v>PV</v>
      </c>
      <c r="AF92" s="3"/>
      <c r="AG92" s="3"/>
      <c r="AH92" s="3" t="str">
        <v>5 - Finalize contract</v>
      </c>
    </row>
    <row r="93" spans="1:34">
      <c r="A93" s="14" t="s">
        <v>32</v>
      </c>
      <c r="B93" s="1" t="s">
        <v>274</v>
      </c>
      <c r="C93" s="3" t="s">
        <v>259</v>
      </c>
      <c r="D93" s="2" t="str">
        <f>VLOOKUP(DE_AT[[#This Row],[Product Line]],Prod_T6[],5,0)</f>
        <v>Sunpower</v>
      </c>
      <c r="E93" s="2" t="s">
        <v>134</v>
      </c>
      <c r="F93" s="2" t="s">
        <v>135</v>
      </c>
      <c r="G93" s="2" t="s">
        <v>120</v>
      </c>
      <c r="H93" s="62"/>
      <c r="I93" s="40" t="s">
        <v>117</v>
      </c>
      <c r="J93" s="13"/>
      <c r="K93" s="13"/>
      <c r="L93" s="13"/>
      <c r="M93" s="13"/>
      <c r="N93" s="13"/>
      <c r="O93" s="13">
        <f>2*36*500/1000000</f>
        <v>3.5999999999999997E-2</v>
      </c>
      <c r="P93" s="13">
        <f>2*36*500/1000000</f>
        <v>3.5999999999999997E-2</v>
      </c>
      <c r="Q93" s="13">
        <f>2*36*500/1000000</f>
        <v>3.5999999999999997E-2</v>
      </c>
      <c r="R93" s="13">
        <f>2*36*500/1000000</f>
        <v>3.5999999999999997E-2</v>
      </c>
      <c r="S93" s="32">
        <f>SUM(DE_AT[[#This Row],[26M04]:[26M06]])</f>
        <v>0</v>
      </c>
      <c r="T93" s="69">
        <f>SUM(DE_AT[[#This Row],[26M07]:[26M09]])</f>
        <v>3.5999999999999997E-2</v>
      </c>
      <c r="U93" s="69">
        <f>SUM(DE_AT[[#This Row],[26M10]:[26M12]])</f>
        <v>0.10799999999999998</v>
      </c>
      <c r="V93" s="256"/>
      <c r="W93" s="256"/>
      <c r="X93" s="256"/>
      <c r="Y93" s="256"/>
      <c r="Z93" s="256"/>
      <c r="AA93" s="256"/>
      <c r="AB93" s="256">
        <f>SUM(DE_AT[[#This Row],[27M01]:[27M03]])</f>
        <v>0</v>
      </c>
      <c r="AC93" s="256">
        <f>SUM(DE_AT[[#This Row],[27M04]:[27M06]])</f>
        <v>0</v>
      </c>
      <c r="AD93" s="256" t="str">
        <f>IF(SUM(DE_AT[[#This Row],[26Q2]:[26Q4]])+SUM(DE_AT[[#This Row],[27Q1]:[27Q2]])=0,"No FSCT",IF(AND(SUM(DE_AT[[#This Row],[26Q2]:[26Q4]])&gt;0,SUM(DE_AT[[#This Row],[27Q1]:[27Q2]])=0),"YES","NO"))</f>
        <v>YES</v>
      </c>
      <c r="AE93" s="120" t="str">
        <f>VLOOKUP(DE_AT[[#This Row],[Product Line]],Prod_T6[],4,0)</f>
        <v>PV</v>
      </c>
      <c r="AF93" s="3"/>
      <c r="AG93" s="3"/>
      <c r="AH93" s="3" t="str">
        <v>5 - Finalize contract</v>
      </c>
    </row>
    <row r="94" spans="1:34">
      <c r="A94" s="14" t="s">
        <v>32</v>
      </c>
      <c r="B94" s="1" t="s">
        <v>274</v>
      </c>
      <c r="C94" s="3" t="s">
        <v>259</v>
      </c>
      <c r="D94" s="2" t="str">
        <f>VLOOKUP(DE_AT[[#This Row],[Product Line]],Prod_T6[],5,0)</f>
        <v>Sunpower</v>
      </c>
      <c r="E94" s="2" t="s">
        <v>134</v>
      </c>
      <c r="F94" s="2" t="s">
        <v>263</v>
      </c>
      <c r="G94" s="2" t="s">
        <v>120</v>
      </c>
      <c r="H94" s="62"/>
      <c r="I94" s="40" t="s">
        <v>117</v>
      </c>
      <c r="J94" s="13"/>
      <c r="K94" s="13"/>
      <c r="L94" s="13"/>
      <c r="M94" s="13"/>
      <c r="N94" s="13"/>
      <c r="O94" s="13">
        <f>2*36*600/1000000</f>
        <v>4.3200000000000002E-2</v>
      </c>
      <c r="P94" s="13">
        <f>2*36*600/1000000</f>
        <v>4.3200000000000002E-2</v>
      </c>
      <c r="Q94" s="13">
        <f>2*36*600/1000000</f>
        <v>4.3200000000000002E-2</v>
      </c>
      <c r="R94" s="13">
        <f>2*36*600/1000000</f>
        <v>4.3200000000000002E-2</v>
      </c>
      <c r="S94" s="32">
        <f>SUM(DE_AT[[#This Row],[26M04]:[26M06]])</f>
        <v>0</v>
      </c>
      <c r="T94" s="69">
        <f>SUM(DE_AT[[#This Row],[26M07]:[26M09]])</f>
        <v>4.3200000000000002E-2</v>
      </c>
      <c r="U94" s="69">
        <f>SUM(DE_AT[[#This Row],[26M10]:[26M12]])</f>
        <v>0.12959999999999999</v>
      </c>
      <c r="V94" s="256"/>
      <c r="W94" s="256"/>
      <c r="X94" s="256"/>
      <c r="Y94" s="256"/>
      <c r="Z94" s="256"/>
      <c r="AA94" s="256"/>
      <c r="AB94" s="256">
        <f>SUM(DE_AT[[#This Row],[27M01]:[27M03]])</f>
        <v>0</v>
      </c>
      <c r="AC94" s="256">
        <f>SUM(DE_AT[[#This Row],[27M04]:[27M06]])</f>
        <v>0</v>
      </c>
      <c r="AD94" s="256" t="str">
        <f>IF(SUM(DE_AT[[#This Row],[26Q2]:[26Q4]])+SUM(DE_AT[[#This Row],[27Q1]:[27Q2]])=0,"No FSCT",IF(AND(SUM(DE_AT[[#This Row],[26Q2]:[26Q4]])&gt;0,SUM(DE_AT[[#This Row],[27Q1]:[27Q2]])=0),"YES","NO"))</f>
        <v>YES</v>
      </c>
      <c r="AE94" s="120" t="str">
        <f>VLOOKUP(DE_AT[[#This Row],[Product Line]],Prod_T6[],4,0)</f>
        <v>PV</v>
      </c>
      <c r="AF94" s="3"/>
      <c r="AG94" s="3"/>
      <c r="AH94" s="3" t="str">
        <v>5 - Finalize contract</v>
      </c>
    </row>
    <row r="95" spans="1:34">
      <c r="A95" s="14" t="s">
        <v>32</v>
      </c>
      <c r="B95" s="1" t="s">
        <v>278</v>
      </c>
      <c r="C95" s="3" t="s">
        <v>259</v>
      </c>
      <c r="D95" s="2" t="str">
        <f>VLOOKUP(DE_AT[[#This Row],[Product Line]],Prod_T6[],5,0)</f>
        <v>Sunpower</v>
      </c>
      <c r="E95" s="2" t="s">
        <v>118</v>
      </c>
      <c r="F95" s="2" t="s">
        <v>180</v>
      </c>
      <c r="G95" s="2" t="s">
        <v>120</v>
      </c>
      <c r="H95" s="62"/>
      <c r="I95" s="40" t="s">
        <v>117</v>
      </c>
      <c r="J95" s="13"/>
      <c r="K95" s="13"/>
      <c r="L95" s="13"/>
      <c r="M95" s="13"/>
      <c r="N95" s="13">
        <f>2*36*515/1000000</f>
        <v>3.7080000000000002E-2</v>
      </c>
      <c r="O95" s="13"/>
      <c r="P95" s="13"/>
      <c r="Q95" s="13"/>
      <c r="R95" s="13"/>
      <c r="S95" s="32">
        <f>SUM(DE_AT[[#This Row],[26M04]:[26M06]])</f>
        <v>0</v>
      </c>
      <c r="T95" s="69">
        <f>SUM(DE_AT[[#This Row],[26M07]:[26M09]])</f>
        <v>3.7080000000000002E-2</v>
      </c>
      <c r="U95" s="69">
        <f>SUM(DE_AT[[#This Row],[26M10]:[26M12]])</f>
        <v>0</v>
      </c>
      <c r="V95" s="256"/>
      <c r="W95" s="256"/>
      <c r="X95" s="256"/>
      <c r="Y95" s="256"/>
      <c r="Z95" s="256"/>
      <c r="AA95" s="256"/>
      <c r="AB95" s="256">
        <f>SUM(DE_AT[[#This Row],[27M01]:[27M03]])</f>
        <v>0</v>
      </c>
      <c r="AC95" s="256">
        <f>SUM(DE_AT[[#This Row],[27M04]:[27M06]])</f>
        <v>0</v>
      </c>
      <c r="AD95" s="256" t="str">
        <f>IF(SUM(DE_AT[[#This Row],[26Q2]:[26Q4]])+SUM(DE_AT[[#This Row],[27Q1]:[27Q2]])=0,"No FSCT",IF(AND(SUM(DE_AT[[#This Row],[26Q2]:[26Q4]])&gt;0,SUM(DE_AT[[#This Row],[27Q1]:[27Q2]])=0),"YES","NO"))</f>
        <v>YES</v>
      </c>
      <c r="AE95" s="120" t="str">
        <f>VLOOKUP(DE_AT[[#This Row],[Product Line]],Prod_T6[],4,0)</f>
        <v>PV</v>
      </c>
      <c r="AF95" s="3"/>
      <c r="AG95" s="3"/>
      <c r="AH95" s="3" t="str">
        <v>5 - Finalize contract</v>
      </c>
    </row>
    <row r="96" spans="1:34" ht="14.5">
      <c r="A96" s="14" t="s">
        <v>32</v>
      </c>
      <c r="B96" s="1" t="s">
        <v>278</v>
      </c>
      <c r="C96" s="3" t="s">
        <v>259</v>
      </c>
      <c r="D96" s="2" t="str">
        <f>VLOOKUP(DE_AT[[#This Row],[Product Line]],Prod_T6[],5,0)</f>
        <v>Sunpower</v>
      </c>
      <c r="E96" s="2" t="s">
        <v>197</v>
      </c>
      <c r="F96" s="2" t="s">
        <v>61</v>
      </c>
      <c r="G96" s="2" t="s">
        <v>136</v>
      </c>
      <c r="H96" s="62"/>
      <c r="I96" s="40" t="s">
        <v>117</v>
      </c>
      <c r="J96" s="13"/>
      <c r="K96" s="13"/>
      <c r="L96" s="13">
        <v>1</v>
      </c>
      <c r="M96" s="13"/>
      <c r="N96" s="13"/>
      <c r="O96" s="13">
        <v>1</v>
      </c>
      <c r="P96" s="13"/>
      <c r="Q96" s="13">
        <v>1</v>
      </c>
      <c r="R96" s="13"/>
      <c r="S96" s="32">
        <f>SUM(DE_AT[[#This Row],[26M04]:[26M06]])</f>
        <v>1</v>
      </c>
      <c r="T96" s="69">
        <f>SUM(DE_AT[[#This Row],[26M07]:[26M09]])</f>
        <v>1</v>
      </c>
      <c r="U96" s="69">
        <f>SUM(DE_AT[[#This Row],[26M10]:[26M12]])</f>
        <v>1</v>
      </c>
      <c r="V96" s="256"/>
      <c r="W96" s="256"/>
      <c r="X96" s="256"/>
      <c r="Y96" s="256"/>
      <c r="Z96" s="256"/>
      <c r="AA96" s="256"/>
      <c r="AB96" s="256">
        <f>SUM(DE_AT[[#This Row],[27M01]:[27M03]])</f>
        <v>0</v>
      </c>
      <c r="AC96" s="256">
        <f>SUM(DE_AT[[#This Row],[27M04]:[27M06]])</f>
        <v>0</v>
      </c>
      <c r="AD96" s="256" t="str">
        <f>IF(SUM(DE_AT[[#This Row],[26Q2]:[26Q4]])+SUM(DE_AT[[#This Row],[27Q1]:[27Q2]])=0,"No FSCT",IF(AND(SUM(DE_AT[[#This Row],[26Q2]:[26Q4]])&gt;0,SUM(DE_AT[[#This Row],[27Q1]:[27Q2]])=0),"YES","NO"))</f>
        <v>YES</v>
      </c>
      <c r="AE96" s="85" t="str">
        <f>VLOOKUP(DE_AT[[#This Row],[Product Line]],Prod_T6[],4,0)</f>
        <v>ESS</v>
      </c>
      <c r="AF96" s="3"/>
      <c r="AG96" s="3"/>
      <c r="AH96" s="3" t="str">
        <v>3 - Negotiation</v>
      </c>
    </row>
    <row r="97" spans="1:34" ht="14.5">
      <c r="A97" s="14" t="s">
        <v>32</v>
      </c>
      <c r="B97" s="1" t="s">
        <v>279</v>
      </c>
      <c r="C97" s="3" t="s">
        <v>259</v>
      </c>
      <c r="D97" s="2" t="str">
        <f>VLOOKUP(DE_AT[[#This Row],[Product Line]],Prod_T6[],5,0)</f>
        <v>Sunpower</v>
      </c>
      <c r="E97" s="2" t="s">
        <v>118</v>
      </c>
      <c r="F97" s="2" t="s">
        <v>255</v>
      </c>
      <c r="G97" s="2" t="s">
        <v>120</v>
      </c>
      <c r="H97" s="62"/>
      <c r="I97" s="40" t="s">
        <v>117</v>
      </c>
      <c r="J97" s="13"/>
      <c r="K97" s="13"/>
      <c r="L97" s="13"/>
      <c r="M97" s="133">
        <f>4*33*555/1000000</f>
        <v>7.3260000000000006E-2</v>
      </c>
      <c r="N97" s="133"/>
      <c r="O97" s="133"/>
      <c r="P97" s="133">
        <f>4*33*555/1000000</f>
        <v>7.3260000000000006E-2</v>
      </c>
      <c r="Q97" s="13"/>
      <c r="R97" s="13"/>
      <c r="S97" s="32">
        <f>SUM(DE_AT[[#This Row],[26M04]:[26M06]])</f>
        <v>0</v>
      </c>
      <c r="T97" s="69">
        <f>SUM(DE_AT[[#This Row],[26M07]:[26M09]])</f>
        <v>7.3260000000000006E-2</v>
      </c>
      <c r="U97" s="69">
        <f>SUM(DE_AT[[#This Row],[26M10]:[26M12]])</f>
        <v>7.3260000000000006E-2</v>
      </c>
      <c r="V97" s="256"/>
      <c r="W97" s="256"/>
      <c r="X97" s="256"/>
      <c r="Y97" s="256"/>
      <c r="Z97" s="256"/>
      <c r="AA97" s="256"/>
      <c r="AB97" s="256">
        <f>SUM(DE_AT[[#This Row],[27M01]:[27M03]])</f>
        <v>0</v>
      </c>
      <c r="AC97" s="256">
        <f>SUM(DE_AT[[#This Row],[27M04]:[27M06]])</f>
        <v>0</v>
      </c>
      <c r="AD97" s="256" t="str">
        <f>IF(SUM(DE_AT[[#This Row],[26Q2]:[26Q4]])+SUM(DE_AT[[#This Row],[27Q1]:[27Q2]])=0,"No FSCT",IF(AND(SUM(DE_AT[[#This Row],[26Q2]:[26Q4]])&gt;0,SUM(DE_AT[[#This Row],[27Q1]:[27Q2]])=0),"YES","NO"))</f>
        <v>YES</v>
      </c>
      <c r="AE97" s="85" t="str">
        <f>VLOOKUP(DE_AT[[#This Row],[Product Line]],Prod_T6[],4,0)</f>
        <v>PV</v>
      </c>
      <c r="AF97" s="3"/>
      <c r="AG97" s="3"/>
      <c r="AH97" s="3" t="str">
        <v>5 - Finalize contract</v>
      </c>
    </row>
    <row r="98" spans="1:34" ht="14.5">
      <c r="A98" s="14" t="s">
        <v>32</v>
      </c>
      <c r="B98" s="1" t="s">
        <v>280</v>
      </c>
      <c r="C98" s="3" t="s">
        <v>259</v>
      </c>
      <c r="D98" s="2" t="str">
        <f>VLOOKUP(DE_AT[[#This Row],[Product Line]],Prod_T6[],5,0)</f>
        <v>Sunpower</v>
      </c>
      <c r="E98" s="2" t="s">
        <v>118</v>
      </c>
      <c r="F98" s="2" t="s">
        <v>281</v>
      </c>
      <c r="G98" s="2" t="s">
        <v>120</v>
      </c>
      <c r="H98" s="62"/>
      <c r="I98" s="40" t="s">
        <v>117</v>
      </c>
      <c r="J98" s="13">
        <f>26*36*450/1000000</f>
        <v>0.42120000000000002</v>
      </c>
      <c r="K98" s="13"/>
      <c r="L98" s="13"/>
      <c r="M98" s="133"/>
      <c r="N98" s="133"/>
      <c r="O98" s="133"/>
      <c r="P98" s="13"/>
      <c r="Q98" s="13"/>
      <c r="R98" s="13"/>
      <c r="S98" s="32">
        <f>SUM(DE_AT[[#This Row],[26M04]:[26M06]])</f>
        <v>0.42120000000000002</v>
      </c>
      <c r="T98" s="69">
        <f>SUM(DE_AT[[#This Row],[26M07]:[26M09]])</f>
        <v>0</v>
      </c>
      <c r="U98" s="69">
        <f>SUM(DE_AT[[#This Row],[26M10]:[26M12]])</f>
        <v>0</v>
      </c>
      <c r="V98" s="256"/>
      <c r="W98" s="256"/>
      <c r="X98" s="256"/>
      <c r="Y98" s="256"/>
      <c r="Z98" s="256"/>
      <c r="AA98" s="256"/>
      <c r="AB98" s="256">
        <f>SUM(DE_AT[[#This Row],[27M01]:[27M03]])</f>
        <v>0</v>
      </c>
      <c r="AC98" s="256">
        <f>SUM(DE_AT[[#This Row],[27M04]:[27M06]])</f>
        <v>0</v>
      </c>
      <c r="AD98" s="256" t="str">
        <f>IF(SUM(DE_AT[[#This Row],[26Q2]:[26Q4]])+SUM(DE_AT[[#This Row],[27Q1]:[27Q2]])=0,"No FSCT",IF(AND(SUM(DE_AT[[#This Row],[26Q2]:[26Q4]])&gt;0,SUM(DE_AT[[#This Row],[27Q1]:[27Q2]])=0),"YES","NO"))</f>
        <v>YES</v>
      </c>
      <c r="AE98" s="85" t="str">
        <f>VLOOKUP(DE_AT[[#This Row],[Product Line]],Prod_T6[],4,0)</f>
        <v>PV</v>
      </c>
      <c r="AF98" s="3"/>
      <c r="AG98" s="3"/>
      <c r="AH98" s="3" t="str">
        <v>5 - Finalize contract</v>
      </c>
    </row>
    <row r="99" spans="1:34">
      <c r="A99" s="14" t="s">
        <v>32</v>
      </c>
      <c r="B99" s="1" t="s">
        <v>280</v>
      </c>
      <c r="C99" s="3" t="s">
        <v>259</v>
      </c>
      <c r="D99" s="275" t="str">
        <f>VLOOKUP(DE_AT[[#This Row],[Product Line]],Prod_T6[],5,0)</f>
        <v>Sunpower</v>
      </c>
      <c r="E99" s="2" t="s">
        <v>134</v>
      </c>
      <c r="F99" s="2" t="s">
        <v>135</v>
      </c>
      <c r="G99" s="2" t="s">
        <v>154</v>
      </c>
      <c r="H99" s="62" t="s">
        <v>282</v>
      </c>
      <c r="I99" s="40" t="s">
        <v>117</v>
      </c>
      <c r="J99" s="13"/>
      <c r="K99" s="13"/>
      <c r="L99" s="13"/>
      <c r="M99" s="13">
        <f>12*36*500/1000000</f>
        <v>0.216</v>
      </c>
      <c r="N99" s="13"/>
      <c r="O99" s="13"/>
      <c r="P99" s="13">
        <f>12*36*500/1000000</f>
        <v>0.216</v>
      </c>
      <c r="Q99" s="13"/>
      <c r="R99" s="13"/>
      <c r="S99" s="32">
        <f>SUM(DE_AT[[#This Row],[26M04]:[26M06]])</f>
        <v>0</v>
      </c>
      <c r="T99" s="69">
        <f>SUM(DE_AT[[#This Row],[26M07]:[26M09]])</f>
        <v>0.216</v>
      </c>
      <c r="U99" s="69">
        <f>SUM(DE_AT[[#This Row],[26M10]:[26M12]])</f>
        <v>0.216</v>
      </c>
      <c r="V99" s="256"/>
      <c r="W99" s="256"/>
      <c r="X99" s="256"/>
      <c r="Y99" s="256"/>
      <c r="Z99" s="256"/>
      <c r="AA99" s="256"/>
      <c r="AB99" s="256">
        <f>SUM(DE_AT[[#This Row],[27M01]:[27M03]])</f>
        <v>0</v>
      </c>
      <c r="AC99" s="256">
        <f>SUM(DE_AT[[#This Row],[27M04]:[27M06]])</f>
        <v>0</v>
      </c>
      <c r="AD99" s="256" t="str">
        <f>IF(SUM(DE_AT[[#This Row],[26Q2]:[26Q4]])+SUM(DE_AT[[#This Row],[27Q1]:[27Q2]])=0,"No FSCT",IF(AND(SUM(DE_AT[[#This Row],[26Q2]:[26Q4]])&gt;0,SUM(DE_AT[[#This Row],[27Q1]:[27Q2]])=0),"YES","NO"))</f>
        <v>YES</v>
      </c>
      <c r="AE99" s="120" t="str">
        <f>VLOOKUP(DE_AT[[#This Row],[Product Line]],Prod_T6[],4,0)</f>
        <v>PV</v>
      </c>
      <c r="AF99" s="3"/>
      <c r="AG99" s="3"/>
      <c r="AH99" s="3" t="str">
        <v>4 - BAFO</v>
      </c>
    </row>
    <row r="100" spans="1:34">
      <c r="A100" s="14" t="s">
        <v>32</v>
      </c>
      <c r="B100" s="1" t="s">
        <v>270</v>
      </c>
      <c r="C100" s="3" t="s">
        <v>259</v>
      </c>
      <c r="D100" s="275" t="str">
        <f>VLOOKUP(DE_AT[[#This Row],[Product Line]],Prod_T6[],5,0)</f>
        <v>Sunpower</v>
      </c>
      <c r="E100" s="2" t="s">
        <v>118</v>
      </c>
      <c r="F100" s="2" t="s">
        <v>119</v>
      </c>
      <c r="G100" s="2" t="s">
        <v>120</v>
      </c>
      <c r="H100" s="62"/>
      <c r="I100" s="40" t="s">
        <v>117</v>
      </c>
      <c r="J100" s="13"/>
      <c r="K100" s="13"/>
      <c r="L100" s="13">
        <f>10*36*460/1000000</f>
        <v>0.1656</v>
      </c>
      <c r="M100" s="133"/>
      <c r="N100" s="133">
        <f>10*36*460/1000000</f>
        <v>0.1656</v>
      </c>
      <c r="O100" s="133"/>
      <c r="P100" s="13"/>
      <c r="Q100" s="13">
        <f>10*36*460/1000000</f>
        <v>0.1656</v>
      </c>
      <c r="R100" s="13"/>
      <c r="S100" s="32">
        <f>SUM(DE_AT[[#This Row],[26M04]:[26M06]])</f>
        <v>0.1656</v>
      </c>
      <c r="T100" s="69">
        <f>SUM(DE_AT[[#This Row],[26M07]:[26M09]])</f>
        <v>0.1656</v>
      </c>
      <c r="U100" s="69">
        <f>SUM(DE_AT[[#This Row],[26M10]:[26M12]])</f>
        <v>0.1656</v>
      </c>
      <c r="V100" s="256"/>
      <c r="W100" s="256"/>
      <c r="X100" s="256"/>
      <c r="Y100" s="256"/>
      <c r="Z100" s="256"/>
      <c r="AA100" s="256"/>
      <c r="AB100" s="256">
        <f>SUM(DE_AT[[#This Row],[27M01]:[27M03]])</f>
        <v>0</v>
      </c>
      <c r="AC100" s="256">
        <f>SUM(DE_AT[[#This Row],[27M04]:[27M06]])</f>
        <v>0</v>
      </c>
      <c r="AD100" s="256" t="str">
        <f>IF(SUM(DE_AT[[#This Row],[26Q2]:[26Q4]])+SUM(DE_AT[[#This Row],[27Q1]:[27Q2]])=0,"No FSCT",IF(AND(SUM(DE_AT[[#This Row],[26Q2]:[26Q4]])&gt;0,SUM(DE_AT[[#This Row],[27Q1]:[27Q2]])=0),"YES","NO"))</f>
        <v>YES</v>
      </c>
      <c r="AE100" s="120" t="str">
        <f>VLOOKUP(DE_AT[[#This Row],[Product Line]],Prod_T6[],4,0)</f>
        <v>PV</v>
      </c>
      <c r="AH100" s="2" t="str">
        <v>5 - Finalize contract</v>
      </c>
    </row>
    <row r="101" spans="1:34">
      <c r="A101" s="14" t="s">
        <v>32</v>
      </c>
      <c r="B101" s="1" t="s">
        <v>270</v>
      </c>
      <c r="C101" s="3" t="s">
        <v>259</v>
      </c>
      <c r="D101" s="275" t="str">
        <f>VLOOKUP(DE_AT[[#This Row],[Product Line]],Prod_T6[],5,0)</f>
        <v>Sunpower</v>
      </c>
      <c r="E101" s="2" t="s">
        <v>118</v>
      </c>
      <c r="F101" s="2" t="s">
        <v>180</v>
      </c>
      <c r="G101" s="2" t="s">
        <v>120</v>
      </c>
      <c r="H101" s="62"/>
      <c r="I101" s="40" t="s">
        <v>117</v>
      </c>
      <c r="J101" s="13"/>
      <c r="K101" s="13"/>
      <c r="L101" s="13">
        <f>6*36*515/1000000</f>
        <v>0.11124000000000001</v>
      </c>
      <c r="M101" s="133"/>
      <c r="N101" s="133">
        <f>6*36*515/1000000</f>
        <v>0.11124000000000001</v>
      </c>
      <c r="O101" s="133"/>
      <c r="P101" s="13"/>
      <c r="Q101" s="13">
        <f>6*36*515/1000000</f>
        <v>0.11124000000000001</v>
      </c>
      <c r="R101" s="13"/>
      <c r="S101" s="32">
        <f>SUM(DE_AT[[#This Row],[26M04]:[26M06]])</f>
        <v>0.11124000000000001</v>
      </c>
      <c r="T101" s="69">
        <f>SUM(DE_AT[[#This Row],[26M07]:[26M09]])</f>
        <v>0.11124000000000001</v>
      </c>
      <c r="U101" s="69">
        <f>SUM(DE_AT[[#This Row],[26M10]:[26M12]])</f>
        <v>0.11124000000000001</v>
      </c>
      <c r="V101" s="256"/>
      <c r="W101" s="256"/>
      <c r="X101" s="256"/>
      <c r="Y101" s="256"/>
      <c r="Z101" s="256"/>
      <c r="AA101" s="256"/>
      <c r="AB101" s="256">
        <f>SUM(DE_AT[[#This Row],[27M01]:[27M03]])</f>
        <v>0</v>
      </c>
      <c r="AC101" s="256">
        <f>SUM(DE_AT[[#This Row],[27M04]:[27M06]])</f>
        <v>0</v>
      </c>
      <c r="AD101" s="256" t="str">
        <f>IF(SUM(DE_AT[[#This Row],[26Q2]:[26Q4]])+SUM(DE_AT[[#This Row],[27Q1]:[27Q2]])=0,"No FSCT",IF(AND(SUM(DE_AT[[#This Row],[26Q2]:[26Q4]])&gt;0,SUM(DE_AT[[#This Row],[27Q1]:[27Q2]])=0),"YES","NO"))</f>
        <v>YES</v>
      </c>
      <c r="AE101" s="120" t="str">
        <f>VLOOKUP(DE_AT[[#This Row],[Product Line]],Prod_T6[],4,0)</f>
        <v>PV</v>
      </c>
      <c r="AH101" s="2" t="str">
        <v>5 - Finalize contract</v>
      </c>
    </row>
    <row r="102" spans="1:34">
      <c r="A102" s="14" t="s">
        <v>32</v>
      </c>
      <c r="B102" s="1" t="s">
        <v>270</v>
      </c>
      <c r="C102" s="3" t="s">
        <v>259</v>
      </c>
      <c r="D102" s="275" t="str">
        <f>VLOOKUP(DE_AT[[#This Row],[Product Line]],Prod_T6[],5,0)</f>
        <v>Sunpower</v>
      </c>
      <c r="E102" s="2" t="s">
        <v>118</v>
      </c>
      <c r="F102" s="2" t="s">
        <v>255</v>
      </c>
      <c r="G102" s="2" t="s">
        <v>120</v>
      </c>
      <c r="H102" s="62"/>
      <c r="I102" s="40" t="s">
        <v>117</v>
      </c>
      <c r="J102" s="13"/>
      <c r="K102" s="13"/>
      <c r="L102" s="13">
        <f>6*33*555/1000000</f>
        <v>0.10989</v>
      </c>
      <c r="M102" s="133"/>
      <c r="N102" s="133">
        <f>6*33*555/1000000</f>
        <v>0.10989</v>
      </c>
      <c r="O102" s="133"/>
      <c r="P102" s="13"/>
      <c r="Q102" s="13">
        <f>6*33*555/1000000</f>
        <v>0.10989</v>
      </c>
      <c r="R102" s="13"/>
      <c r="S102" s="32">
        <f>SUM(DE_AT[[#This Row],[26M04]:[26M06]])</f>
        <v>0.10989</v>
      </c>
      <c r="T102" s="69">
        <f>SUM(DE_AT[[#This Row],[26M07]:[26M09]])</f>
        <v>0.10989</v>
      </c>
      <c r="U102" s="69">
        <f>SUM(DE_AT[[#This Row],[26M10]:[26M12]])</f>
        <v>0.10989</v>
      </c>
      <c r="V102" s="256"/>
      <c r="W102" s="256"/>
      <c r="X102" s="256"/>
      <c r="Y102" s="256"/>
      <c r="Z102" s="256"/>
      <c r="AA102" s="256"/>
      <c r="AB102" s="256">
        <f>SUM(DE_AT[[#This Row],[27M01]:[27M03]])</f>
        <v>0</v>
      </c>
      <c r="AC102" s="256">
        <f>SUM(DE_AT[[#This Row],[27M04]:[27M06]])</f>
        <v>0</v>
      </c>
      <c r="AD102" s="256" t="str">
        <f>IF(SUM(DE_AT[[#This Row],[26Q2]:[26Q4]])+SUM(DE_AT[[#This Row],[27Q1]:[27Q2]])=0,"No FSCT",IF(AND(SUM(DE_AT[[#This Row],[26Q2]:[26Q4]])&gt;0,SUM(DE_AT[[#This Row],[27Q1]:[27Q2]])=0),"YES","NO"))</f>
        <v>YES</v>
      </c>
      <c r="AE102" s="120" t="str">
        <f>VLOOKUP(DE_AT[[#This Row],[Product Line]],Prod_T6[],4,0)</f>
        <v>PV</v>
      </c>
      <c r="AH102" s="2" t="str">
        <v>5 - Finalize contract</v>
      </c>
    </row>
    <row r="103" spans="1:34">
      <c r="A103" s="14" t="s">
        <v>32</v>
      </c>
      <c r="B103" s="1" t="s">
        <v>270</v>
      </c>
      <c r="C103" s="3" t="s">
        <v>259</v>
      </c>
      <c r="D103" s="275" t="str">
        <f>VLOOKUP(DE_AT[[#This Row],[Product Line]],Prod_T6[],5,0)</f>
        <v>Sunpower</v>
      </c>
      <c r="E103" s="2" t="s">
        <v>134</v>
      </c>
      <c r="F103" s="2" t="s">
        <v>135</v>
      </c>
      <c r="G103" s="2" t="s">
        <v>120</v>
      </c>
      <c r="H103" s="62" t="s">
        <v>271</v>
      </c>
      <c r="I103" s="40" t="s">
        <v>117</v>
      </c>
      <c r="J103" s="13"/>
      <c r="K103" s="13"/>
      <c r="L103" s="13"/>
      <c r="M103" s="13"/>
      <c r="N103" s="13"/>
      <c r="O103" s="13"/>
      <c r="P103" s="13">
        <f>8*36*500/1000000</f>
        <v>0.14399999999999999</v>
      </c>
      <c r="Q103" s="13">
        <f>8*36*500/1000000</f>
        <v>0.14399999999999999</v>
      </c>
      <c r="R103" s="13"/>
      <c r="S103" s="32">
        <f>SUM(DE_AT[[#This Row],[26M04]:[26M06]])</f>
        <v>0</v>
      </c>
      <c r="T103" s="69">
        <f>SUM(DE_AT[[#This Row],[26M07]:[26M09]])</f>
        <v>0</v>
      </c>
      <c r="U103" s="69">
        <f>SUM(DE_AT[[#This Row],[26M10]:[26M12]])</f>
        <v>0.28799999999999998</v>
      </c>
      <c r="V103" s="256"/>
      <c r="W103" s="256"/>
      <c r="X103" s="256"/>
      <c r="Y103" s="256"/>
      <c r="Z103" s="256"/>
      <c r="AA103" s="256"/>
      <c r="AB103" s="256">
        <f>SUM(DE_AT[[#This Row],[27M01]:[27M03]])</f>
        <v>0</v>
      </c>
      <c r="AC103" s="256">
        <f>SUM(DE_AT[[#This Row],[27M04]:[27M06]])</f>
        <v>0</v>
      </c>
      <c r="AD103" s="256" t="str">
        <f>IF(SUM(DE_AT[[#This Row],[26Q2]:[26Q4]])+SUM(DE_AT[[#This Row],[27Q1]:[27Q2]])=0,"No FSCT",IF(AND(SUM(DE_AT[[#This Row],[26Q2]:[26Q4]])&gt;0,SUM(DE_AT[[#This Row],[27Q1]:[27Q2]])=0),"YES","NO"))</f>
        <v>YES</v>
      </c>
      <c r="AE103" s="120" t="str">
        <f>VLOOKUP(DE_AT[[#This Row],[Product Line]],Prod_T6[],4,0)</f>
        <v>PV</v>
      </c>
      <c r="AH103" s="2" t="str">
        <v>5 - Finalize contract</v>
      </c>
    </row>
    <row r="104" spans="1:34">
      <c r="A104" s="14" t="s">
        <v>32</v>
      </c>
      <c r="B104" s="1" t="s">
        <v>258</v>
      </c>
      <c r="C104" s="3" t="s">
        <v>259</v>
      </c>
      <c r="D104" s="275" t="str">
        <f>VLOOKUP(DE_AT[[#This Row],[Product Line]],Prod_T6[],5,0)</f>
        <v>Sunpower</v>
      </c>
      <c r="E104" s="2" t="s">
        <v>118</v>
      </c>
      <c r="F104" s="2" t="s">
        <v>255</v>
      </c>
      <c r="G104" s="2" t="s">
        <v>120</v>
      </c>
      <c r="H104" s="62" t="s">
        <v>260</v>
      </c>
      <c r="I104" s="40" t="s">
        <v>117</v>
      </c>
      <c r="J104" s="13">
        <v>5.0000000000000001E-3</v>
      </c>
      <c r="K104" s="13"/>
      <c r="L104" s="13"/>
      <c r="M104" s="133"/>
      <c r="N104" s="133"/>
      <c r="O104" s="133"/>
      <c r="P104" s="13"/>
      <c r="Q104" s="13"/>
      <c r="R104" s="13">
        <f>2*22*560/1000000</f>
        <v>2.4639999999999999E-2</v>
      </c>
      <c r="S104" s="32">
        <f>SUM(DE_AT[[#This Row],[26M04]:[26M06]])</f>
        <v>5.0000000000000001E-3</v>
      </c>
      <c r="T104" s="69">
        <f>SUM(DE_AT[[#This Row],[26M07]:[26M09]])</f>
        <v>0</v>
      </c>
      <c r="U104" s="69">
        <f>SUM(DE_AT[[#This Row],[26M10]:[26M12]])</f>
        <v>2.4639999999999999E-2</v>
      </c>
      <c r="V104" s="256"/>
      <c r="W104" s="256"/>
      <c r="X104" s="256"/>
      <c r="Y104" s="256"/>
      <c r="Z104" s="256"/>
      <c r="AA104" s="256"/>
      <c r="AB104" s="256">
        <f>SUM(DE_AT[[#This Row],[27M01]:[27M03]])</f>
        <v>0</v>
      </c>
      <c r="AC104" s="256">
        <f>SUM(DE_AT[[#This Row],[27M04]:[27M06]])</f>
        <v>0</v>
      </c>
      <c r="AD104" s="256" t="str">
        <f>IF(SUM(DE_AT[[#This Row],[26Q2]:[26Q4]])+SUM(DE_AT[[#This Row],[27Q1]:[27Q2]])=0,"No FSCT",IF(AND(SUM(DE_AT[[#This Row],[26Q2]:[26Q4]])&gt;0,SUM(DE_AT[[#This Row],[27Q1]:[27Q2]])=0),"YES","NO"))</f>
        <v>YES</v>
      </c>
      <c r="AE104" s="120" t="str">
        <f>VLOOKUP(DE_AT[[#This Row],[Product Line]],Prod_T6[],4,0)</f>
        <v>PV</v>
      </c>
      <c r="AH104" s="2" t="str">
        <v>5 - Finalize contract</v>
      </c>
    </row>
    <row r="105" spans="1:34">
      <c r="A105" s="14" t="s">
        <v>32</v>
      </c>
      <c r="B105" s="1" t="s">
        <v>261</v>
      </c>
      <c r="C105" s="3" t="s">
        <v>259</v>
      </c>
      <c r="D105" s="275" t="str">
        <f>VLOOKUP(DE_AT[[#This Row],[Product Line]],Prod_T6[],5,0)</f>
        <v>Sunpower</v>
      </c>
      <c r="E105" s="2" t="s">
        <v>118</v>
      </c>
      <c r="F105" s="2" t="s">
        <v>119</v>
      </c>
      <c r="G105" s="2" t="s">
        <v>120</v>
      </c>
      <c r="H105" s="62"/>
      <c r="I105" s="40" t="s">
        <v>117</v>
      </c>
      <c r="J105" s="13">
        <f>14*36*460/1000000</f>
        <v>0.23183999999999999</v>
      </c>
      <c r="K105" s="13">
        <f>14*36*460/1000000</f>
        <v>0.23183999999999999</v>
      </c>
      <c r="L105" s="13">
        <f>14*36*460/1000000</f>
        <v>0.23183999999999999</v>
      </c>
      <c r="M105" s="133">
        <f t="shared" ref="M105:R105" si="1">12*36*460/1000000</f>
        <v>0.19872000000000001</v>
      </c>
      <c r="N105" s="133">
        <f t="shared" si="1"/>
        <v>0.19872000000000001</v>
      </c>
      <c r="O105" s="133">
        <f t="shared" si="1"/>
        <v>0.19872000000000001</v>
      </c>
      <c r="P105" s="13">
        <f t="shared" si="1"/>
        <v>0.19872000000000001</v>
      </c>
      <c r="Q105" s="13">
        <f t="shared" si="1"/>
        <v>0.19872000000000001</v>
      </c>
      <c r="R105" s="13">
        <f t="shared" si="1"/>
        <v>0.19872000000000001</v>
      </c>
      <c r="S105" s="32">
        <f>SUM(DE_AT[[#This Row],[26M04]:[26M06]])</f>
        <v>0.69551999999999992</v>
      </c>
      <c r="T105" s="69">
        <f>SUM(DE_AT[[#This Row],[26M07]:[26M09]])</f>
        <v>0.59616000000000002</v>
      </c>
      <c r="U105" s="69">
        <f>SUM(DE_AT[[#This Row],[26M10]:[26M12]])</f>
        <v>0.59616000000000002</v>
      </c>
      <c r="V105" s="256"/>
      <c r="W105" s="256"/>
      <c r="X105" s="256"/>
      <c r="Y105" s="256"/>
      <c r="Z105" s="256"/>
      <c r="AA105" s="256"/>
      <c r="AB105" s="256">
        <f>SUM(DE_AT[[#This Row],[27M01]:[27M03]])</f>
        <v>0</v>
      </c>
      <c r="AC105" s="256">
        <f>SUM(DE_AT[[#This Row],[27M04]:[27M06]])</f>
        <v>0</v>
      </c>
      <c r="AD105" s="256" t="str">
        <f>IF(SUM(DE_AT[[#This Row],[26Q2]:[26Q4]])+SUM(DE_AT[[#This Row],[27Q1]:[27Q2]])=0,"No FSCT",IF(AND(SUM(DE_AT[[#This Row],[26Q2]:[26Q4]])&gt;0,SUM(DE_AT[[#This Row],[27Q1]:[27Q2]])=0),"YES","NO"))</f>
        <v>YES</v>
      </c>
      <c r="AE105" s="120" t="str">
        <f>VLOOKUP(DE_AT[[#This Row],[Product Line]],Prod_T6[],4,0)</f>
        <v>PV</v>
      </c>
      <c r="AH105" s="2" t="str">
        <v>5 - Finalize contract</v>
      </c>
    </row>
    <row r="106" spans="1:34">
      <c r="A106" s="14" t="s">
        <v>32</v>
      </c>
      <c r="B106" s="1" t="s">
        <v>261</v>
      </c>
      <c r="C106" s="3" t="s">
        <v>259</v>
      </c>
      <c r="D106" s="275" t="str">
        <f>VLOOKUP(DE_AT[[#This Row],[Product Line]],Prod_T6[],5,0)</f>
        <v>Sunpower</v>
      </c>
      <c r="E106" s="2" t="s">
        <v>118</v>
      </c>
      <c r="F106" s="2" t="s">
        <v>180</v>
      </c>
      <c r="G106" s="2" t="s">
        <v>120</v>
      </c>
      <c r="H106" s="62"/>
      <c r="I106" s="40" t="s">
        <v>117</v>
      </c>
      <c r="J106" s="13"/>
      <c r="K106" s="13"/>
      <c r="L106" s="13">
        <f>2*36*515/1000000</f>
        <v>3.7080000000000002E-2</v>
      </c>
      <c r="M106" s="133"/>
      <c r="N106" s="133"/>
      <c r="O106" s="133"/>
      <c r="P106" s="13">
        <f>2*36*515/1000000</f>
        <v>3.7080000000000002E-2</v>
      </c>
      <c r="Q106" s="13"/>
      <c r="R106" s="13"/>
      <c r="S106" s="32">
        <f>SUM(DE_AT[[#This Row],[26M04]:[26M06]])</f>
        <v>3.7080000000000002E-2</v>
      </c>
      <c r="T106" s="69">
        <f>SUM(DE_AT[[#This Row],[26M07]:[26M09]])</f>
        <v>0</v>
      </c>
      <c r="U106" s="69">
        <f>SUM(DE_AT[[#This Row],[26M10]:[26M12]])</f>
        <v>3.7080000000000002E-2</v>
      </c>
      <c r="V106" s="256"/>
      <c r="W106" s="256"/>
      <c r="X106" s="256"/>
      <c r="Y106" s="256"/>
      <c r="Z106" s="256"/>
      <c r="AA106" s="256"/>
      <c r="AB106" s="256">
        <f>SUM(DE_AT[[#This Row],[27M01]:[27M03]])</f>
        <v>0</v>
      </c>
      <c r="AC106" s="256">
        <f>SUM(DE_AT[[#This Row],[27M04]:[27M06]])</f>
        <v>0</v>
      </c>
      <c r="AD106" s="256" t="str">
        <f>IF(SUM(DE_AT[[#This Row],[26Q2]:[26Q4]])+SUM(DE_AT[[#This Row],[27Q1]:[27Q2]])=0,"No FSCT",IF(AND(SUM(DE_AT[[#This Row],[26Q2]:[26Q4]])&gt;0,SUM(DE_AT[[#This Row],[27Q1]:[27Q2]])=0),"YES","NO"))</f>
        <v>YES</v>
      </c>
      <c r="AE106" s="120" t="str">
        <f>VLOOKUP(DE_AT[[#This Row],[Product Line]],Prod_T6[],4,0)</f>
        <v>PV</v>
      </c>
      <c r="AH106" s="2" t="str">
        <v>5 - Finalize contract</v>
      </c>
    </row>
    <row r="107" spans="1:34">
      <c r="A107" s="14" t="s">
        <v>32</v>
      </c>
      <c r="B107" s="1" t="s">
        <v>261</v>
      </c>
      <c r="C107" s="3" t="s">
        <v>259</v>
      </c>
      <c r="D107" s="275" t="str">
        <f>VLOOKUP(DE_AT[[#This Row],[Product Line]],Prod_T6[],5,0)</f>
        <v>Sunpower</v>
      </c>
      <c r="E107" s="2" t="s">
        <v>118</v>
      </c>
      <c r="F107" s="2" t="s">
        <v>255</v>
      </c>
      <c r="G107" s="2" t="s">
        <v>120</v>
      </c>
      <c r="H107" s="62"/>
      <c r="I107" s="40" t="s">
        <v>117</v>
      </c>
      <c r="J107" s="13"/>
      <c r="K107" s="13">
        <v>0.2</v>
      </c>
      <c r="L107" s="13"/>
      <c r="M107" s="133"/>
      <c r="N107" s="133">
        <f>6*33*555/1000000</f>
        <v>0.10989</v>
      </c>
      <c r="O107" s="133"/>
      <c r="P107" s="13"/>
      <c r="Q107" s="13"/>
      <c r="R107" s="13"/>
      <c r="S107" s="32">
        <f>SUM(DE_AT[[#This Row],[26M04]:[26M06]])</f>
        <v>0.2</v>
      </c>
      <c r="T107" s="69">
        <f>SUM(DE_AT[[#This Row],[26M07]:[26M09]])</f>
        <v>0.10989</v>
      </c>
      <c r="U107" s="69">
        <f>SUM(DE_AT[[#This Row],[26M10]:[26M12]])</f>
        <v>0</v>
      </c>
      <c r="V107" s="256"/>
      <c r="W107" s="256"/>
      <c r="X107" s="256"/>
      <c r="Y107" s="256"/>
      <c r="Z107" s="256"/>
      <c r="AA107" s="256"/>
      <c r="AB107" s="256">
        <f>SUM(DE_AT[[#This Row],[27M01]:[27M03]])</f>
        <v>0</v>
      </c>
      <c r="AC107" s="256">
        <f>SUM(DE_AT[[#This Row],[27M04]:[27M06]])</f>
        <v>0</v>
      </c>
      <c r="AD107" s="256" t="str">
        <f>IF(SUM(DE_AT[[#This Row],[26Q2]:[26Q4]])+SUM(DE_AT[[#This Row],[27Q1]:[27Q2]])=0,"No FSCT",IF(AND(SUM(DE_AT[[#This Row],[26Q2]:[26Q4]])&gt;0,SUM(DE_AT[[#This Row],[27Q1]:[27Q2]])=0),"YES","NO"))</f>
        <v>YES</v>
      </c>
      <c r="AE107" s="120" t="str">
        <f>VLOOKUP(DE_AT[[#This Row],[Product Line]],Prod_T6[],4,0)</f>
        <v>PV</v>
      </c>
      <c r="AH107" s="2" t="str">
        <v>5 - Finalize contract</v>
      </c>
    </row>
    <row r="108" spans="1:34">
      <c r="A108" s="14" t="s">
        <v>32</v>
      </c>
      <c r="B108" s="1" t="s">
        <v>261</v>
      </c>
      <c r="C108" s="3" t="s">
        <v>259</v>
      </c>
      <c r="D108" s="275" t="str">
        <f>VLOOKUP(DE_AT[[#This Row],[Product Line]],Prod_T6[],5,0)</f>
        <v>Sunpower</v>
      </c>
      <c r="E108" s="2" t="s">
        <v>134</v>
      </c>
      <c r="F108" s="2" t="s">
        <v>135</v>
      </c>
      <c r="G108" s="2" t="s">
        <v>120</v>
      </c>
      <c r="H108" s="62" t="s">
        <v>262</v>
      </c>
      <c r="I108" s="40" t="s">
        <v>117</v>
      </c>
      <c r="J108" s="13"/>
      <c r="K108" s="13"/>
      <c r="L108" s="13"/>
      <c r="M108" s="13">
        <f t="shared" ref="M108:R108" si="2">2*36*495/1000000</f>
        <v>3.5639999999999998E-2</v>
      </c>
      <c r="N108" s="13">
        <f t="shared" si="2"/>
        <v>3.5639999999999998E-2</v>
      </c>
      <c r="O108" s="13">
        <f t="shared" si="2"/>
        <v>3.5639999999999998E-2</v>
      </c>
      <c r="P108" s="13">
        <f t="shared" si="2"/>
        <v>3.5639999999999998E-2</v>
      </c>
      <c r="Q108" s="13">
        <f t="shared" si="2"/>
        <v>3.5639999999999998E-2</v>
      </c>
      <c r="R108" s="13">
        <f t="shared" si="2"/>
        <v>3.5639999999999998E-2</v>
      </c>
      <c r="S108" s="32">
        <f>SUM(DE_AT[[#This Row],[26M04]:[26M06]])</f>
        <v>0</v>
      </c>
      <c r="T108" s="69">
        <f>SUM(DE_AT[[#This Row],[26M07]:[26M09]])</f>
        <v>0.10691999999999999</v>
      </c>
      <c r="U108" s="69">
        <f>SUM(DE_AT[[#This Row],[26M10]:[26M12]])</f>
        <v>0.10691999999999999</v>
      </c>
      <c r="V108" s="256"/>
      <c r="W108" s="256"/>
      <c r="X108" s="256"/>
      <c r="Y108" s="256"/>
      <c r="Z108" s="256"/>
      <c r="AA108" s="256"/>
      <c r="AB108" s="256">
        <f>SUM(DE_AT[[#This Row],[27M01]:[27M03]])</f>
        <v>0</v>
      </c>
      <c r="AC108" s="256">
        <f>SUM(DE_AT[[#This Row],[27M04]:[27M06]])</f>
        <v>0</v>
      </c>
      <c r="AD108" s="256" t="str">
        <f>IF(SUM(DE_AT[[#This Row],[26Q2]:[26Q4]])+SUM(DE_AT[[#This Row],[27Q1]:[27Q2]])=0,"No FSCT",IF(AND(SUM(DE_AT[[#This Row],[26Q2]:[26Q4]])&gt;0,SUM(DE_AT[[#This Row],[27Q1]:[27Q2]])=0),"YES","NO"))</f>
        <v>YES</v>
      </c>
      <c r="AE108" s="120" t="str">
        <f>VLOOKUP(DE_AT[[#This Row],[Product Line]],Prod_T6[],4,0)</f>
        <v>PV</v>
      </c>
      <c r="AH108" s="2" t="str">
        <v>5 - Finalize contract</v>
      </c>
    </row>
    <row r="109" spans="1:34">
      <c r="A109" s="14" t="s">
        <v>32</v>
      </c>
      <c r="B109" s="1" t="s">
        <v>261</v>
      </c>
      <c r="C109" s="3" t="s">
        <v>259</v>
      </c>
      <c r="D109" s="275" t="str">
        <f>VLOOKUP(DE_AT[[#This Row],[Product Line]],Prod_T6[],5,0)</f>
        <v>Sunpower</v>
      </c>
      <c r="E109" s="2" t="s">
        <v>134</v>
      </c>
      <c r="F109" s="2" t="s">
        <v>263</v>
      </c>
      <c r="G109" s="2" t="s">
        <v>120</v>
      </c>
      <c r="H109" s="62" t="s">
        <v>264</v>
      </c>
      <c r="I109" s="40" t="s">
        <v>117</v>
      </c>
      <c r="J109" s="13"/>
      <c r="K109" s="13"/>
      <c r="L109" s="13"/>
      <c r="M109" s="13"/>
      <c r="N109" s="13">
        <f>4*36*600/1000000</f>
        <v>8.6400000000000005E-2</v>
      </c>
      <c r="O109" s="13"/>
      <c r="P109" s="13"/>
      <c r="Q109" s="13"/>
      <c r="R109" s="13"/>
      <c r="S109" s="32">
        <f>SUM(DE_AT[[#This Row],[26M04]:[26M06]])</f>
        <v>0</v>
      </c>
      <c r="T109" s="69">
        <f>SUM(DE_AT[[#This Row],[26M07]:[26M09]])</f>
        <v>8.6400000000000005E-2</v>
      </c>
      <c r="U109" s="69">
        <f>SUM(DE_AT[[#This Row],[26M10]:[26M12]])</f>
        <v>0</v>
      </c>
      <c r="V109" s="256"/>
      <c r="W109" s="256"/>
      <c r="X109" s="256"/>
      <c r="Y109" s="256"/>
      <c r="Z109" s="256"/>
      <c r="AA109" s="256"/>
      <c r="AB109" s="256">
        <f>SUM(DE_AT[[#This Row],[27M01]:[27M03]])</f>
        <v>0</v>
      </c>
      <c r="AC109" s="256">
        <f>SUM(DE_AT[[#This Row],[27M04]:[27M06]])</f>
        <v>0</v>
      </c>
      <c r="AD109" s="256" t="str">
        <f>IF(SUM(DE_AT[[#This Row],[26Q2]:[26Q4]])+SUM(DE_AT[[#This Row],[27Q1]:[27Q2]])=0,"No FSCT",IF(AND(SUM(DE_AT[[#This Row],[26Q2]:[26Q4]])&gt;0,SUM(DE_AT[[#This Row],[27Q1]:[27Q2]])=0),"YES","NO"))</f>
        <v>YES</v>
      </c>
      <c r="AE109" s="120" t="str">
        <f>VLOOKUP(DE_AT[[#This Row],[Product Line]],Prod_T6[],4,0)</f>
        <v>PV</v>
      </c>
      <c r="AH109" s="2" t="str">
        <v>5 - Finalize contract</v>
      </c>
    </row>
    <row r="110" spans="1:34">
      <c r="A110" s="14" t="s">
        <v>32</v>
      </c>
      <c r="B110" s="1" t="s">
        <v>265</v>
      </c>
      <c r="C110" s="3" t="s">
        <v>259</v>
      </c>
      <c r="D110" s="275" t="str">
        <f>VLOOKUP(DE_AT[[#This Row],[Product Line]],Prod_T6[],5,0)</f>
        <v>Sunpower</v>
      </c>
      <c r="E110" s="2" t="s">
        <v>118</v>
      </c>
      <c r="F110" s="2" t="s">
        <v>119</v>
      </c>
      <c r="G110" s="2" t="s">
        <v>120</v>
      </c>
      <c r="H110" s="62"/>
      <c r="I110" s="40" t="s">
        <v>117</v>
      </c>
      <c r="J110" s="13">
        <f>8*36*460/1000000</f>
        <v>0.13247999999999999</v>
      </c>
      <c r="K110" s="13"/>
      <c r="L110" s="13"/>
      <c r="M110" s="133">
        <f>8*36*460/1000000</f>
        <v>0.13247999999999999</v>
      </c>
      <c r="N110" s="133"/>
      <c r="O110" s="133"/>
      <c r="P110" s="13">
        <f>8*36*460/1000000</f>
        <v>0.13247999999999999</v>
      </c>
      <c r="Q110" s="13"/>
      <c r="R110" s="13"/>
      <c r="S110" s="32">
        <f>SUM(DE_AT[[#This Row],[26M04]:[26M06]])</f>
        <v>0.13247999999999999</v>
      </c>
      <c r="T110" s="69">
        <f>SUM(DE_AT[[#This Row],[26M07]:[26M09]])</f>
        <v>0.13247999999999999</v>
      </c>
      <c r="U110" s="69">
        <f>SUM(DE_AT[[#This Row],[26M10]:[26M12]])</f>
        <v>0.13247999999999999</v>
      </c>
      <c r="V110" s="256"/>
      <c r="W110" s="256"/>
      <c r="X110" s="256"/>
      <c r="Y110" s="256"/>
      <c r="Z110" s="256"/>
      <c r="AA110" s="256"/>
      <c r="AB110" s="256">
        <f>SUM(DE_AT[[#This Row],[27M01]:[27M03]])</f>
        <v>0</v>
      </c>
      <c r="AC110" s="256">
        <f>SUM(DE_AT[[#This Row],[27M04]:[27M06]])</f>
        <v>0</v>
      </c>
      <c r="AD110" s="256" t="str">
        <f>IF(SUM(DE_AT[[#This Row],[26Q2]:[26Q4]])+SUM(DE_AT[[#This Row],[27Q1]:[27Q2]])=0,"No FSCT",IF(AND(SUM(DE_AT[[#This Row],[26Q2]:[26Q4]])&gt;0,SUM(DE_AT[[#This Row],[27Q1]:[27Q2]])=0),"YES","NO"))</f>
        <v>YES</v>
      </c>
      <c r="AE110" s="120" t="str">
        <f>VLOOKUP(DE_AT[[#This Row],[Product Line]],Prod_T6[],4,0)</f>
        <v>PV</v>
      </c>
      <c r="AH110" s="2" t="str">
        <v>5 - Finalize contract</v>
      </c>
    </row>
    <row r="111" spans="1:34">
      <c r="A111" s="14" t="s">
        <v>32</v>
      </c>
      <c r="B111" s="1" t="s">
        <v>265</v>
      </c>
      <c r="C111" s="3" t="s">
        <v>259</v>
      </c>
      <c r="D111" s="275" t="str">
        <f>VLOOKUP(DE_AT[[#This Row],[Product Line]],Prod_T6[],5,0)</f>
        <v>Sunpower</v>
      </c>
      <c r="E111" s="2" t="s">
        <v>118</v>
      </c>
      <c r="F111" s="2" t="s">
        <v>180</v>
      </c>
      <c r="G111" s="2" t="s">
        <v>120</v>
      </c>
      <c r="H111" s="62"/>
      <c r="I111" s="40" t="s">
        <v>117</v>
      </c>
      <c r="J111" s="13">
        <f>8*36*515/1000000</f>
        <v>0.14832000000000001</v>
      </c>
      <c r="K111" s="13"/>
      <c r="L111" s="13"/>
      <c r="M111" s="13">
        <f>8*36*515/1000000</f>
        <v>0.14832000000000001</v>
      </c>
      <c r="N111" s="133"/>
      <c r="O111" s="133"/>
      <c r="P111" s="13">
        <f>8*36*515/1000000</f>
        <v>0.14832000000000001</v>
      </c>
      <c r="Q111" s="13"/>
      <c r="R111" s="13"/>
      <c r="S111" s="32">
        <f>SUM(DE_AT[[#This Row],[26M04]:[26M06]])</f>
        <v>0.14832000000000001</v>
      </c>
      <c r="T111" s="69">
        <f>SUM(DE_AT[[#This Row],[26M07]:[26M09]])</f>
        <v>0.14832000000000001</v>
      </c>
      <c r="U111" s="69">
        <f>SUM(DE_AT[[#This Row],[26M10]:[26M12]])</f>
        <v>0.14832000000000001</v>
      </c>
      <c r="V111" s="256"/>
      <c r="W111" s="256"/>
      <c r="X111" s="256"/>
      <c r="Y111" s="256"/>
      <c r="Z111" s="256"/>
      <c r="AA111" s="256"/>
      <c r="AB111" s="256">
        <f>SUM(DE_AT[[#This Row],[27M01]:[27M03]])</f>
        <v>0</v>
      </c>
      <c r="AC111" s="256">
        <f>SUM(DE_AT[[#This Row],[27M04]:[27M06]])</f>
        <v>0</v>
      </c>
      <c r="AD111" s="256" t="str">
        <f>IF(SUM(DE_AT[[#This Row],[26Q2]:[26Q4]])+SUM(DE_AT[[#This Row],[27Q1]:[27Q2]])=0,"No FSCT",IF(AND(SUM(DE_AT[[#This Row],[26Q2]:[26Q4]])&gt;0,SUM(DE_AT[[#This Row],[27Q1]:[27Q2]])=0),"YES","NO"))</f>
        <v>YES</v>
      </c>
      <c r="AE111" s="120" t="str">
        <f>VLOOKUP(DE_AT[[#This Row],[Product Line]],Prod_T6[],4,0)</f>
        <v>PV</v>
      </c>
      <c r="AH111" s="2" t="str">
        <v>5 - Finalize contract</v>
      </c>
    </row>
    <row r="112" spans="1:34">
      <c r="A112" s="14" t="s">
        <v>32</v>
      </c>
      <c r="B112" s="1" t="s">
        <v>265</v>
      </c>
      <c r="C112" s="3" t="s">
        <v>259</v>
      </c>
      <c r="D112" s="275" t="str">
        <f>VLOOKUP(DE_AT[[#This Row],[Product Line]],Prod_T6[],5,0)</f>
        <v>Sunpower</v>
      </c>
      <c r="E112" s="2" t="s">
        <v>118</v>
      </c>
      <c r="F112" s="2" t="s">
        <v>255</v>
      </c>
      <c r="G112" s="2" t="s">
        <v>120</v>
      </c>
      <c r="H112" s="62"/>
      <c r="I112" s="40" t="s">
        <v>117</v>
      </c>
      <c r="J112" s="13"/>
      <c r="K112" s="13"/>
      <c r="L112" s="13"/>
      <c r="M112" s="133">
        <f>6*33*555/1000000</f>
        <v>0.10989</v>
      </c>
      <c r="N112" s="133"/>
      <c r="O112" s="133"/>
      <c r="P112" s="133">
        <f>6*33*555/1000000</f>
        <v>0.10989</v>
      </c>
      <c r="Q112" s="13"/>
      <c r="R112" s="13"/>
      <c r="S112" s="32">
        <f>SUM(DE_AT[[#This Row],[26M04]:[26M06]])</f>
        <v>0</v>
      </c>
      <c r="T112" s="69">
        <f>SUM(DE_AT[[#This Row],[26M07]:[26M09]])</f>
        <v>0.10989</v>
      </c>
      <c r="U112" s="69">
        <f>SUM(DE_AT[[#This Row],[26M10]:[26M12]])</f>
        <v>0.10989</v>
      </c>
      <c r="V112" s="256"/>
      <c r="W112" s="256"/>
      <c r="X112" s="256"/>
      <c r="Y112" s="256"/>
      <c r="Z112" s="256"/>
      <c r="AA112" s="256"/>
      <c r="AB112" s="256">
        <f>SUM(DE_AT[[#This Row],[27M01]:[27M03]])</f>
        <v>0</v>
      </c>
      <c r="AC112" s="256">
        <f>SUM(DE_AT[[#This Row],[27M04]:[27M06]])</f>
        <v>0</v>
      </c>
      <c r="AD112" s="256" t="str">
        <f>IF(SUM(DE_AT[[#This Row],[26Q2]:[26Q4]])+SUM(DE_AT[[#This Row],[27Q1]:[27Q2]])=0,"No FSCT",IF(AND(SUM(DE_AT[[#This Row],[26Q2]:[26Q4]])&gt;0,SUM(DE_AT[[#This Row],[27Q1]:[27Q2]])=0),"YES","NO"))</f>
        <v>YES</v>
      </c>
      <c r="AE112" s="120" t="str">
        <f>VLOOKUP(DE_AT[[#This Row],[Product Line]],Prod_T6[],4,0)</f>
        <v>PV</v>
      </c>
      <c r="AH112" s="2" t="str">
        <v>5 - Finalize contract</v>
      </c>
    </row>
    <row r="113" spans="1:34">
      <c r="A113" s="14" t="s">
        <v>32</v>
      </c>
      <c r="B113" s="1" t="s">
        <v>265</v>
      </c>
      <c r="C113" s="3" t="s">
        <v>259</v>
      </c>
      <c r="D113" s="275" t="str">
        <f>VLOOKUP(DE_AT[[#This Row],[Product Line]],Prod_T6[],5,0)</f>
        <v>Sunpower</v>
      </c>
      <c r="E113" s="2" t="s">
        <v>134</v>
      </c>
      <c r="F113" s="2" t="s">
        <v>135</v>
      </c>
      <c r="G113" s="2" t="s">
        <v>120</v>
      </c>
      <c r="H113" s="62"/>
      <c r="I113" s="40" t="s">
        <v>117</v>
      </c>
      <c r="J113" s="13"/>
      <c r="K113" s="13"/>
      <c r="L113" s="13"/>
      <c r="M113" s="13">
        <f>2*36*500/1000000</f>
        <v>3.5999999999999997E-2</v>
      </c>
      <c r="N113" s="13"/>
      <c r="O113" s="13"/>
      <c r="P113" s="13">
        <f>2*36*500/1000000</f>
        <v>3.5999999999999997E-2</v>
      </c>
      <c r="Q113" s="13"/>
      <c r="R113" s="13"/>
      <c r="S113" s="32">
        <f>SUM(DE_AT[[#This Row],[26M04]:[26M06]])</f>
        <v>0</v>
      </c>
      <c r="T113" s="69">
        <f>SUM(DE_AT[[#This Row],[26M07]:[26M09]])</f>
        <v>3.5999999999999997E-2</v>
      </c>
      <c r="U113" s="69">
        <f>SUM(DE_AT[[#This Row],[26M10]:[26M12]])</f>
        <v>3.5999999999999997E-2</v>
      </c>
      <c r="V113" s="256"/>
      <c r="W113" s="256"/>
      <c r="X113" s="256"/>
      <c r="Y113" s="256"/>
      <c r="Z113" s="256"/>
      <c r="AA113" s="256"/>
      <c r="AB113" s="256">
        <f>SUM(DE_AT[[#This Row],[27M01]:[27M03]])</f>
        <v>0</v>
      </c>
      <c r="AC113" s="256">
        <f>SUM(DE_AT[[#This Row],[27M04]:[27M06]])</f>
        <v>0</v>
      </c>
      <c r="AD113" s="256" t="str">
        <f>IF(SUM(DE_AT[[#This Row],[26Q2]:[26Q4]])+SUM(DE_AT[[#This Row],[27Q1]:[27Q2]])=0,"No FSCT",IF(AND(SUM(DE_AT[[#This Row],[26Q2]:[26Q4]])&gt;0,SUM(DE_AT[[#This Row],[27Q1]:[27Q2]])=0),"YES","NO"))</f>
        <v>YES</v>
      </c>
      <c r="AE113" s="120" t="str">
        <f>VLOOKUP(DE_AT[[#This Row],[Product Line]],Prod_T6[],4,0)</f>
        <v>PV</v>
      </c>
      <c r="AH113" s="2" t="str">
        <v>5 - Finalize contract</v>
      </c>
    </row>
    <row r="114" spans="1:34">
      <c r="A114" s="14" t="s">
        <v>32</v>
      </c>
      <c r="B114" s="1" t="s">
        <v>266</v>
      </c>
      <c r="C114" s="3" t="s">
        <v>259</v>
      </c>
      <c r="D114" s="275" t="str">
        <f>VLOOKUP(DE_AT[[#This Row],[Product Line]],Prod_T6[],5,0)</f>
        <v>Sunpower</v>
      </c>
      <c r="E114" s="2" t="s">
        <v>118</v>
      </c>
      <c r="F114" s="2" t="s">
        <v>255</v>
      </c>
      <c r="G114" s="2" t="s">
        <v>120</v>
      </c>
      <c r="H114" s="62"/>
      <c r="I114" s="40" t="s">
        <v>117</v>
      </c>
      <c r="J114" s="13"/>
      <c r="K114" s="13"/>
      <c r="L114" s="13"/>
      <c r="M114" s="133">
        <v>0.1</v>
      </c>
      <c r="N114" s="133"/>
      <c r="O114" s="133"/>
      <c r="P114" s="13"/>
      <c r="Q114" s="13">
        <v>0.1</v>
      </c>
      <c r="R114" s="13"/>
      <c r="S114" s="32">
        <f>SUM(DE_AT[[#This Row],[26M04]:[26M06]])</f>
        <v>0</v>
      </c>
      <c r="T114" s="69">
        <f>SUM(DE_AT[[#This Row],[26M07]:[26M09]])</f>
        <v>0.1</v>
      </c>
      <c r="U114" s="69">
        <f>SUM(DE_AT[[#This Row],[26M10]:[26M12]])</f>
        <v>0.1</v>
      </c>
      <c r="V114" s="256"/>
      <c r="W114" s="256"/>
      <c r="X114" s="256"/>
      <c r="Y114" s="256"/>
      <c r="Z114" s="256"/>
      <c r="AA114" s="256"/>
      <c r="AB114" s="256">
        <f>SUM(DE_AT[[#This Row],[27M01]:[27M03]])</f>
        <v>0</v>
      </c>
      <c r="AC114" s="256">
        <f>SUM(DE_AT[[#This Row],[27M04]:[27M06]])</f>
        <v>0</v>
      </c>
      <c r="AD114" s="256" t="str">
        <f>IF(SUM(DE_AT[[#This Row],[26Q2]:[26Q4]])+SUM(DE_AT[[#This Row],[27Q1]:[27Q2]])=0,"No FSCT",IF(AND(SUM(DE_AT[[#This Row],[26Q2]:[26Q4]])&gt;0,SUM(DE_AT[[#This Row],[27Q1]:[27Q2]])=0),"YES","NO"))</f>
        <v>YES</v>
      </c>
      <c r="AE114" s="120" t="str">
        <f>VLOOKUP(DE_AT[[#This Row],[Product Line]],Prod_T6[],4,0)</f>
        <v>PV</v>
      </c>
      <c r="AH114" s="2" t="str">
        <v>5 - Finalize contract</v>
      </c>
    </row>
    <row r="115" spans="1:34">
      <c r="A115" s="14" t="s">
        <v>32</v>
      </c>
      <c r="B115" s="1" t="s">
        <v>267</v>
      </c>
      <c r="C115" s="3" t="s">
        <v>268</v>
      </c>
      <c r="D115" s="275" t="str">
        <f>VLOOKUP(DE_AT[[#This Row],[Product Line]],Prod_T6[],5,0)</f>
        <v>Sunpower</v>
      </c>
      <c r="E115" s="2" t="s">
        <v>197</v>
      </c>
      <c r="F115" s="2" t="s">
        <v>234</v>
      </c>
      <c r="G115" s="2" t="s">
        <v>120</v>
      </c>
      <c r="H115" s="62"/>
      <c r="I115" s="40" t="s">
        <v>117</v>
      </c>
      <c r="J115" s="13"/>
      <c r="K115" s="13">
        <v>2</v>
      </c>
      <c r="L115" s="13">
        <v>3</v>
      </c>
      <c r="M115" s="13">
        <v>3</v>
      </c>
      <c r="N115" s="13">
        <v>3</v>
      </c>
      <c r="O115" s="13">
        <v>3</v>
      </c>
      <c r="P115" s="13">
        <v>4</v>
      </c>
      <c r="Q115" s="13">
        <v>4</v>
      </c>
      <c r="R115" s="13">
        <v>2</v>
      </c>
      <c r="S115" s="32">
        <f>SUM(DE_AT[[#This Row],[26M04]:[26M06]])</f>
        <v>5</v>
      </c>
      <c r="T115" s="69">
        <f>SUM(DE_AT[[#This Row],[26M07]:[26M09]])</f>
        <v>9</v>
      </c>
      <c r="U115" s="69">
        <f>SUM(DE_AT[[#This Row],[26M10]:[26M12]])</f>
        <v>10</v>
      </c>
      <c r="V115" s="256"/>
      <c r="W115" s="256"/>
      <c r="X115" s="256"/>
      <c r="Y115" s="256"/>
      <c r="Z115" s="256"/>
      <c r="AA115" s="256"/>
      <c r="AB115" s="256">
        <f>SUM(DE_AT[[#This Row],[27M01]:[27M03]])</f>
        <v>0</v>
      </c>
      <c r="AC115" s="256">
        <f>SUM(DE_AT[[#This Row],[27M04]:[27M06]])</f>
        <v>0</v>
      </c>
      <c r="AD115" s="256" t="str">
        <f>IF(SUM(DE_AT[[#This Row],[26Q2]:[26Q4]])+SUM(DE_AT[[#This Row],[27Q1]:[27Q2]])=0,"No FSCT",IF(AND(SUM(DE_AT[[#This Row],[26Q2]:[26Q4]])&gt;0,SUM(DE_AT[[#This Row],[27Q1]:[27Q2]])=0),"YES","NO"))</f>
        <v>YES</v>
      </c>
      <c r="AE115" s="120" t="str">
        <f>VLOOKUP(DE_AT[[#This Row],[Product Line]],Prod_T6[],4,0)</f>
        <v>ESS</v>
      </c>
      <c r="AH115" s="2" t="str">
        <v>5 - Finalize contract</v>
      </c>
    </row>
    <row r="116" spans="1:34">
      <c r="A116" s="14" t="s">
        <v>32</v>
      </c>
      <c r="B116" s="1" t="s">
        <v>267</v>
      </c>
      <c r="C116" s="3" t="s">
        <v>268</v>
      </c>
      <c r="D116" s="275" t="str">
        <f>VLOOKUP(DE_AT[[#This Row],[Product Line]],Prod_T6[],5,0)</f>
        <v>Sunpower</v>
      </c>
      <c r="E116" s="2" t="s">
        <v>197</v>
      </c>
      <c r="F116" s="2" t="s">
        <v>63</v>
      </c>
      <c r="G116" s="2" t="s">
        <v>120</v>
      </c>
      <c r="H116" s="62"/>
      <c r="I116" s="40" t="s">
        <v>117</v>
      </c>
      <c r="J116" s="13"/>
      <c r="K116" s="13">
        <v>2</v>
      </c>
      <c r="L116" s="13">
        <v>2</v>
      </c>
      <c r="M116" s="13">
        <v>2</v>
      </c>
      <c r="N116" s="13">
        <v>2</v>
      </c>
      <c r="O116" s="13">
        <v>1</v>
      </c>
      <c r="P116" s="13">
        <v>2</v>
      </c>
      <c r="Q116" s="13">
        <v>2</v>
      </c>
      <c r="R116" s="13">
        <v>1</v>
      </c>
      <c r="S116" s="32">
        <f>SUM(DE_AT[[#This Row],[26M04]:[26M06]])</f>
        <v>4</v>
      </c>
      <c r="T116" s="69">
        <f>SUM(DE_AT[[#This Row],[26M07]:[26M09]])</f>
        <v>5</v>
      </c>
      <c r="U116" s="69">
        <f>SUM(DE_AT[[#This Row],[26M10]:[26M12]])</f>
        <v>5</v>
      </c>
      <c r="V116" s="256"/>
      <c r="W116" s="256"/>
      <c r="X116" s="256"/>
      <c r="Y116" s="256"/>
      <c r="Z116" s="256"/>
      <c r="AA116" s="256"/>
      <c r="AB116" s="256">
        <f>SUM(DE_AT[[#This Row],[27M01]:[27M03]])</f>
        <v>0</v>
      </c>
      <c r="AC116" s="256">
        <f>SUM(DE_AT[[#This Row],[27M04]:[27M06]])</f>
        <v>0</v>
      </c>
      <c r="AD116" s="256" t="str">
        <f>IF(SUM(DE_AT[[#This Row],[26Q2]:[26Q4]])+SUM(DE_AT[[#This Row],[27Q1]:[27Q2]])=0,"No FSCT",IF(AND(SUM(DE_AT[[#This Row],[26Q2]:[26Q4]])&gt;0,SUM(DE_AT[[#This Row],[27Q1]:[27Q2]])=0),"YES","NO"))</f>
        <v>YES</v>
      </c>
      <c r="AE116" s="120" t="str">
        <f>VLOOKUP(DE_AT[[#This Row],[Product Line]],Prod_T6[],4,0)</f>
        <v>ESS</v>
      </c>
      <c r="AH116" s="2" t="str">
        <v>5 - Finalize contract</v>
      </c>
    </row>
    <row r="117" spans="1:34">
      <c r="A117" s="14" t="s">
        <v>32</v>
      </c>
      <c r="B117" s="1" t="s">
        <v>267</v>
      </c>
      <c r="C117" s="3" t="s">
        <v>268</v>
      </c>
      <c r="D117" s="275" t="str">
        <f>VLOOKUP(DE_AT[[#This Row],[Product Line]],Prod_T6[],5,0)</f>
        <v>Sunpower</v>
      </c>
      <c r="E117" s="2" t="s">
        <v>118</v>
      </c>
      <c r="F117" s="2" t="s">
        <v>119</v>
      </c>
      <c r="G117" s="2" t="s">
        <v>120</v>
      </c>
      <c r="H117" s="62"/>
      <c r="I117" s="40" t="s">
        <v>117</v>
      </c>
      <c r="J117" s="13"/>
      <c r="K117" s="13">
        <f>33/1000</f>
        <v>3.3000000000000002E-2</v>
      </c>
      <c r="L117" s="13"/>
      <c r="M117" s="13">
        <f>66/1000</f>
        <v>6.6000000000000003E-2</v>
      </c>
      <c r="N117" s="13"/>
      <c r="O117" s="13">
        <f>66/1000</f>
        <v>6.6000000000000003E-2</v>
      </c>
      <c r="P117" s="13"/>
      <c r="Q117" s="13">
        <f>66/1000</f>
        <v>6.6000000000000003E-2</v>
      </c>
      <c r="R117" s="13"/>
      <c r="S117" s="32">
        <f>SUM(DE_AT[[#This Row],[26M04]:[26M06]])</f>
        <v>3.3000000000000002E-2</v>
      </c>
      <c r="T117" s="69">
        <f>SUM(DE_AT[[#This Row],[26M07]:[26M09]])</f>
        <v>0.13200000000000001</v>
      </c>
      <c r="U117" s="69">
        <f>SUM(DE_AT[[#This Row],[26M10]:[26M12]])</f>
        <v>6.6000000000000003E-2</v>
      </c>
      <c r="V117" s="256"/>
      <c r="W117" s="256"/>
      <c r="X117" s="256"/>
      <c r="Y117" s="256"/>
      <c r="Z117" s="256"/>
      <c r="AA117" s="256"/>
      <c r="AB117" s="256">
        <f>SUM(DE_AT[[#This Row],[27M01]:[27M03]])</f>
        <v>0</v>
      </c>
      <c r="AC117" s="256">
        <f>SUM(DE_AT[[#This Row],[27M04]:[27M06]])</f>
        <v>0</v>
      </c>
      <c r="AD117" s="256" t="str">
        <f>IF(SUM(DE_AT[[#This Row],[26Q2]:[26Q4]])+SUM(DE_AT[[#This Row],[27Q1]:[27Q2]])=0,"No FSCT",IF(AND(SUM(DE_AT[[#This Row],[26Q2]:[26Q4]])&gt;0,SUM(DE_AT[[#This Row],[27Q1]:[27Q2]])=0),"YES","NO"))</f>
        <v>YES</v>
      </c>
      <c r="AE117" s="120" t="str">
        <f>VLOOKUP(DE_AT[[#This Row],[Product Line]],Prod_T6[],4,0)</f>
        <v>PV</v>
      </c>
      <c r="AH117" s="2" t="str">
        <v>5 - Finalize contract</v>
      </c>
    </row>
    <row r="118" spans="1:34">
      <c r="A118" s="14" t="s">
        <v>32</v>
      </c>
      <c r="B118" s="1" t="s">
        <v>269</v>
      </c>
      <c r="C118" s="3" t="s">
        <v>268</v>
      </c>
      <c r="D118" s="275" t="str">
        <f>VLOOKUP(DE_AT[[#This Row],[Product Line]],Prod_T6[],5,0)</f>
        <v>Sunpower</v>
      </c>
      <c r="E118" s="2" t="s">
        <v>118</v>
      </c>
      <c r="F118" s="2" t="s">
        <v>145</v>
      </c>
      <c r="G118" s="2" t="s">
        <v>120</v>
      </c>
      <c r="H118" s="62"/>
      <c r="I118" s="40" t="s">
        <v>117</v>
      </c>
      <c r="J118" s="13">
        <f>60/1000</f>
        <v>0.06</v>
      </c>
      <c r="K118" s="13"/>
      <c r="L118" s="13"/>
      <c r="M118" s="13"/>
      <c r="N118" s="13"/>
      <c r="O118" s="13"/>
      <c r="P118" s="13"/>
      <c r="Q118" s="13"/>
      <c r="R118" s="13"/>
      <c r="S118" s="32">
        <f>SUM(DE_AT[[#This Row],[26M04]:[26M06]])</f>
        <v>0.06</v>
      </c>
      <c r="T118" s="69">
        <f>SUM(DE_AT[[#This Row],[26M07]:[26M09]])</f>
        <v>0</v>
      </c>
      <c r="U118" s="69">
        <f>SUM(DE_AT[[#This Row],[26M10]:[26M12]])</f>
        <v>0</v>
      </c>
      <c r="V118" s="256"/>
      <c r="W118" s="256"/>
      <c r="X118" s="256"/>
      <c r="Y118" s="256"/>
      <c r="Z118" s="256"/>
      <c r="AA118" s="256"/>
      <c r="AB118" s="256">
        <f>SUM(DE_AT[[#This Row],[27M01]:[27M03]])</f>
        <v>0</v>
      </c>
      <c r="AC118" s="256">
        <f>SUM(DE_AT[[#This Row],[27M04]:[27M06]])</f>
        <v>0</v>
      </c>
      <c r="AD118" s="256" t="str">
        <f>IF(SUM(DE_AT[[#This Row],[26Q2]:[26Q4]])+SUM(DE_AT[[#This Row],[27Q1]:[27Q2]])=0,"No FSCT",IF(AND(SUM(DE_AT[[#This Row],[26Q2]:[26Q4]])&gt;0,SUM(DE_AT[[#This Row],[27Q1]:[27Q2]])=0),"YES","NO"))</f>
        <v>YES</v>
      </c>
      <c r="AE118" s="120" t="str">
        <f>VLOOKUP(DE_AT[[#This Row],[Product Line]],Prod_T6[],4,0)</f>
        <v>PV</v>
      </c>
      <c r="AH118" s="2" t="str">
        <v>5 - Finalize contract</v>
      </c>
    </row>
    <row r="119" spans="1:34">
      <c r="A119" s="14" t="s">
        <v>32</v>
      </c>
      <c r="B119" s="1" t="s">
        <v>269</v>
      </c>
      <c r="C119" s="3" t="s">
        <v>268</v>
      </c>
      <c r="D119" s="275" t="str">
        <f>VLOOKUP(DE_AT[[#This Row],[Product Line]],Prod_T6[],5,0)</f>
        <v>Sunpower</v>
      </c>
      <c r="E119" s="2" t="s">
        <v>118</v>
      </c>
      <c r="F119" s="2" t="s">
        <v>119</v>
      </c>
      <c r="G119" s="2" t="s">
        <v>120</v>
      </c>
      <c r="H119" s="62"/>
      <c r="I119" s="40" t="s">
        <v>117</v>
      </c>
      <c r="J119" s="13"/>
      <c r="K119" s="13">
        <v>0.06</v>
      </c>
      <c r="L119" s="13"/>
      <c r="M119" s="13">
        <f>66/1000</f>
        <v>6.6000000000000003E-2</v>
      </c>
      <c r="N119" s="13"/>
      <c r="O119" s="13">
        <f>66/1000</f>
        <v>6.6000000000000003E-2</v>
      </c>
      <c r="P119" s="13"/>
      <c r="Q119" s="13">
        <f>66/1000</f>
        <v>6.6000000000000003E-2</v>
      </c>
      <c r="R119" s="13"/>
      <c r="S119" s="32">
        <f>SUM(DE_AT[[#This Row],[26M04]:[26M06]])</f>
        <v>0.06</v>
      </c>
      <c r="T119" s="69">
        <f>SUM(DE_AT[[#This Row],[26M07]:[26M09]])</f>
        <v>0.13200000000000001</v>
      </c>
      <c r="U119" s="69">
        <f>SUM(DE_AT[[#This Row],[26M10]:[26M12]])</f>
        <v>6.6000000000000003E-2</v>
      </c>
      <c r="V119" s="256"/>
      <c r="W119" s="256"/>
      <c r="X119" s="256"/>
      <c r="Y119" s="256"/>
      <c r="Z119" s="256"/>
      <c r="AA119" s="256"/>
      <c r="AB119" s="256">
        <f>SUM(DE_AT[[#This Row],[27M01]:[27M03]])</f>
        <v>0</v>
      </c>
      <c r="AC119" s="256">
        <f>SUM(DE_AT[[#This Row],[27M04]:[27M06]])</f>
        <v>0</v>
      </c>
      <c r="AD119" s="256" t="str">
        <f>IF(SUM(DE_AT[[#This Row],[26Q2]:[26Q4]])+SUM(DE_AT[[#This Row],[27Q1]:[27Q2]])=0,"No FSCT",IF(AND(SUM(DE_AT[[#This Row],[26Q2]:[26Q4]])&gt;0,SUM(DE_AT[[#This Row],[27Q1]:[27Q2]])=0),"YES","NO"))</f>
        <v>YES</v>
      </c>
      <c r="AE119" s="120" t="str">
        <f>VLOOKUP(DE_AT[[#This Row],[Product Line]],Prod_T6[],4,0)</f>
        <v>PV</v>
      </c>
      <c r="AH119" s="2" t="str">
        <v>5 - Finalize contract</v>
      </c>
    </row>
    <row r="120" spans="1:34">
      <c r="A120" s="14" t="s">
        <v>32</v>
      </c>
      <c r="B120" s="1" t="s">
        <v>283</v>
      </c>
      <c r="C120" s="3" t="s">
        <v>268</v>
      </c>
      <c r="D120" s="275" t="str">
        <f>VLOOKUP(DE_AT[[#This Row],[Product Line]],Prod_T6[],5,0)</f>
        <v>Sunpower</v>
      </c>
      <c r="E120" s="2" t="s">
        <v>134</v>
      </c>
      <c r="F120" s="2" t="s">
        <v>135</v>
      </c>
      <c r="G120" s="2" t="s">
        <v>120</v>
      </c>
      <c r="H120" s="62" t="s">
        <v>284</v>
      </c>
      <c r="I120" s="40" t="s">
        <v>117</v>
      </c>
      <c r="J120" s="13"/>
      <c r="K120" s="13"/>
      <c r="L120" s="13"/>
      <c r="M120" s="13"/>
      <c r="N120" s="13"/>
      <c r="O120" s="13"/>
      <c r="P120" s="113">
        <f>36*0.49*8/1000</f>
        <v>0.14112</v>
      </c>
      <c r="Q120" s="13"/>
      <c r="R120" s="13"/>
      <c r="S120" s="32">
        <f>SUM(DE_AT[[#This Row],[26M04]:[26M06]])</f>
        <v>0</v>
      </c>
      <c r="T120" s="69">
        <f>SUM(DE_AT[[#This Row],[26M07]:[26M09]])</f>
        <v>0</v>
      </c>
      <c r="U120" s="69">
        <f>SUM(DE_AT[[#This Row],[26M10]:[26M12]])</f>
        <v>0.14112</v>
      </c>
      <c r="V120" s="256"/>
      <c r="W120" s="256"/>
      <c r="X120" s="256"/>
      <c r="Y120" s="256"/>
      <c r="Z120" s="256"/>
      <c r="AA120" s="256"/>
      <c r="AB120" s="256">
        <f>SUM(DE_AT[[#This Row],[27M01]:[27M03]])</f>
        <v>0</v>
      </c>
      <c r="AC120" s="256">
        <f>SUM(DE_AT[[#This Row],[27M04]:[27M06]])</f>
        <v>0</v>
      </c>
      <c r="AD120" s="256" t="str">
        <f>IF(SUM(DE_AT[[#This Row],[26Q2]:[26Q4]])+SUM(DE_AT[[#This Row],[27Q1]:[27Q2]])=0,"No FSCT",IF(AND(SUM(DE_AT[[#This Row],[26Q2]:[26Q4]])&gt;0,SUM(DE_AT[[#This Row],[27Q1]:[27Q2]])=0),"YES","NO"))</f>
        <v>YES</v>
      </c>
      <c r="AE120" s="120" t="str">
        <f>VLOOKUP(DE_AT[[#This Row],[Product Line]],Prod_T6[],4,0)</f>
        <v>PV</v>
      </c>
      <c r="AH120" s="2" t="str">
        <v>5 - Finalize contract</v>
      </c>
    </row>
    <row r="121" spans="1:34">
      <c r="A121" s="29" t="s">
        <v>32</v>
      </c>
      <c r="B121" s="1" t="s">
        <v>285</v>
      </c>
      <c r="C121" s="3" t="s">
        <v>268</v>
      </c>
      <c r="D121" s="275" t="str">
        <f>VLOOKUP(DE_AT[[#This Row],[Product Line]],Prod_T6[],5,0)</f>
        <v>Sunpower</v>
      </c>
      <c r="E121" s="2" t="s">
        <v>134</v>
      </c>
      <c r="F121" s="2" t="s">
        <v>135</v>
      </c>
      <c r="G121" s="2" t="s">
        <v>120</v>
      </c>
      <c r="H121" s="62" t="s">
        <v>284</v>
      </c>
      <c r="I121" s="40" t="s">
        <v>117</v>
      </c>
      <c r="J121" s="13"/>
      <c r="K121" s="13"/>
      <c r="L121" s="13"/>
      <c r="M121" s="13"/>
      <c r="N121" s="13"/>
      <c r="O121" s="13"/>
      <c r="P121" s="113">
        <f>36*0.49*8/1000</f>
        <v>0.14112</v>
      </c>
      <c r="Q121" s="13"/>
      <c r="R121" s="13"/>
      <c r="S121" s="32">
        <f>SUM(DE_AT[[#This Row],[26M04]:[26M06]])</f>
        <v>0</v>
      </c>
      <c r="T121" s="69">
        <f>SUM(DE_AT[[#This Row],[26M07]:[26M09]])</f>
        <v>0</v>
      </c>
      <c r="U121" s="69">
        <f>SUM(DE_AT[[#This Row],[26M10]:[26M12]])</f>
        <v>0.14112</v>
      </c>
      <c r="V121" s="256"/>
      <c r="W121" s="256"/>
      <c r="X121" s="256"/>
      <c r="Y121" s="256"/>
      <c r="Z121" s="256"/>
      <c r="AA121" s="256"/>
      <c r="AB121" s="256">
        <f>SUM(DE_AT[[#This Row],[27M01]:[27M03]])</f>
        <v>0</v>
      </c>
      <c r="AC121" s="256">
        <f>SUM(DE_AT[[#This Row],[27M04]:[27M06]])</f>
        <v>0</v>
      </c>
      <c r="AD121" s="256" t="str">
        <f>IF(SUM(DE_AT[[#This Row],[26Q2]:[26Q4]])+SUM(DE_AT[[#This Row],[27Q1]:[27Q2]])=0,"No FSCT",IF(AND(SUM(DE_AT[[#This Row],[26Q2]:[26Q4]])&gt;0,SUM(DE_AT[[#This Row],[27Q1]:[27Q2]])=0),"YES","NO"))</f>
        <v>YES</v>
      </c>
      <c r="AE121" s="120" t="str">
        <f>VLOOKUP(DE_AT[[#This Row],[Product Line]],Prod_T6[],4,0)</f>
        <v>PV</v>
      </c>
      <c r="AH121" s="2" t="str">
        <v>5 - Finalize contract</v>
      </c>
    </row>
    <row r="122" spans="1:34">
      <c r="A122" s="29" t="s">
        <v>32</v>
      </c>
      <c r="B122" s="1" t="s">
        <v>286</v>
      </c>
      <c r="C122" s="3" t="s">
        <v>268</v>
      </c>
      <c r="D122" s="275" t="str">
        <f>VLOOKUP(DE_AT[[#This Row],[Product Line]],Prod_T6[],5,0)</f>
        <v>Sunpower</v>
      </c>
      <c r="E122" s="2" t="s">
        <v>118</v>
      </c>
      <c r="F122" s="2" t="s">
        <v>255</v>
      </c>
      <c r="G122" s="2" t="s">
        <v>120</v>
      </c>
      <c r="H122" s="62"/>
      <c r="I122" s="40" t="s">
        <v>117</v>
      </c>
      <c r="J122" s="13"/>
      <c r="K122" s="13"/>
      <c r="L122" s="13"/>
      <c r="M122" s="13">
        <v>0.2</v>
      </c>
      <c r="N122" s="13"/>
      <c r="O122" s="13">
        <v>0.25</v>
      </c>
      <c r="P122" s="13"/>
      <c r="Q122" s="13"/>
      <c r="R122" s="13"/>
      <c r="S122" s="32">
        <f>SUM(DE_AT[[#This Row],[26M04]:[26M06]])</f>
        <v>0</v>
      </c>
      <c r="T122" s="69">
        <f>SUM(DE_AT[[#This Row],[26M07]:[26M09]])</f>
        <v>0.45</v>
      </c>
      <c r="U122" s="69">
        <f>SUM(DE_AT[[#This Row],[26M10]:[26M12]])</f>
        <v>0</v>
      </c>
      <c r="V122" s="256"/>
      <c r="W122" s="256"/>
      <c r="X122" s="256"/>
      <c r="Y122" s="256"/>
      <c r="Z122" s="256"/>
      <c r="AA122" s="256"/>
      <c r="AB122" s="256">
        <f>SUM(DE_AT[[#This Row],[27M01]:[27M03]])</f>
        <v>0</v>
      </c>
      <c r="AC122" s="256">
        <f>SUM(DE_AT[[#This Row],[27M04]:[27M06]])</f>
        <v>0</v>
      </c>
      <c r="AD122" s="256" t="str">
        <f>IF(SUM(DE_AT[[#This Row],[26Q2]:[26Q4]])+SUM(DE_AT[[#This Row],[27Q1]:[27Q2]])=0,"No FSCT",IF(AND(SUM(DE_AT[[#This Row],[26Q2]:[26Q4]])&gt;0,SUM(DE_AT[[#This Row],[27Q1]:[27Q2]])=0),"YES","NO"))</f>
        <v>YES</v>
      </c>
      <c r="AE122" s="120" t="str">
        <f>VLOOKUP(DE_AT[[#This Row],[Product Line]],Prod_T6[],4,0)</f>
        <v>PV</v>
      </c>
      <c r="AH122" s="2" t="str">
        <v>5 - Finalize contract</v>
      </c>
    </row>
    <row r="123" spans="1:34">
      <c r="A123" s="29" t="s">
        <v>32</v>
      </c>
      <c r="B123" s="1" t="s">
        <v>305</v>
      </c>
      <c r="C123" s="3" t="s">
        <v>268</v>
      </c>
      <c r="D123" s="275" t="str">
        <f>VLOOKUP(DE_AT[[#This Row],[Product Line]],Prod_T6[],5,0)</f>
        <v>Sunpower</v>
      </c>
      <c r="E123" s="2" t="s">
        <v>118</v>
      </c>
      <c r="F123" s="2" t="s">
        <v>145</v>
      </c>
      <c r="G123" s="2" t="s">
        <v>120</v>
      </c>
      <c r="H123" s="62"/>
      <c r="I123" s="40" t="s">
        <v>117</v>
      </c>
      <c r="J123" s="13"/>
      <c r="K123" s="13"/>
      <c r="L123" s="13">
        <f>131/1000</f>
        <v>0.13100000000000001</v>
      </c>
      <c r="M123" s="13"/>
      <c r="N123" s="13"/>
      <c r="O123" s="13"/>
      <c r="P123" s="13"/>
      <c r="Q123" s="13"/>
      <c r="R123" s="13"/>
      <c r="S123" s="32">
        <f>SUM(DE_AT[[#This Row],[26M04]:[26M06]])</f>
        <v>0.13100000000000001</v>
      </c>
      <c r="T123" s="69">
        <f>SUM(DE_AT[[#This Row],[26M07]:[26M09]])</f>
        <v>0</v>
      </c>
      <c r="U123" s="69">
        <f>SUM(DE_AT[[#This Row],[26M10]:[26M12]])</f>
        <v>0</v>
      </c>
      <c r="V123" s="256"/>
      <c r="W123" s="256"/>
      <c r="X123" s="256"/>
      <c r="Y123" s="256"/>
      <c r="Z123" s="256"/>
      <c r="AA123" s="256"/>
      <c r="AB123" s="256">
        <f>SUM(DE_AT[[#This Row],[27M01]:[27M03]])</f>
        <v>0</v>
      </c>
      <c r="AC123" s="256">
        <f>SUM(DE_AT[[#This Row],[27M04]:[27M06]])</f>
        <v>0</v>
      </c>
      <c r="AD123" s="256" t="str">
        <f>IF(SUM(DE_AT[[#This Row],[26Q2]:[26Q4]])+SUM(DE_AT[[#This Row],[27Q1]:[27Q2]])=0,"No FSCT",IF(AND(SUM(DE_AT[[#This Row],[26Q2]:[26Q4]])&gt;0,SUM(DE_AT[[#This Row],[27Q1]:[27Q2]])=0),"YES","NO"))</f>
        <v>YES</v>
      </c>
      <c r="AE123" s="120" t="str">
        <f>VLOOKUP(DE_AT[[#This Row],[Product Line]],Prod_T6[],4,0)</f>
        <v>PV</v>
      </c>
      <c r="AH123" s="2" t="str">
        <v>5 - Finalize contract</v>
      </c>
    </row>
    <row r="124" spans="1:34">
      <c r="A124" s="29" t="s">
        <v>32</v>
      </c>
      <c r="B124" s="1" t="s">
        <v>305</v>
      </c>
      <c r="C124" s="3" t="s">
        <v>268</v>
      </c>
      <c r="D124" s="275" t="str">
        <f>VLOOKUP(DE_AT[[#This Row],[Product Line]],Prod_T6[],5,0)</f>
        <v>Sunpower</v>
      </c>
      <c r="E124" s="2" t="s">
        <v>118</v>
      </c>
      <c r="F124" s="2" t="s">
        <v>119</v>
      </c>
      <c r="G124" s="2" t="s">
        <v>120</v>
      </c>
      <c r="H124" s="62"/>
      <c r="I124" s="40" t="s">
        <v>117</v>
      </c>
      <c r="J124" s="13"/>
      <c r="K124" s="13"/>
      <c r="L124" s="13"/>
      <c r="M124" s="13"/>
      <c r="N124" s="133">
        <f>0.46*36*8/1000</f>
        <v>0.13248000000000001</v>
      </c>
      <c r="O124" s="133"/>
      <c r="P124" s="133">
        <f>0.46*36*8/1000</f>
        <v>0.13248000000000001</v>
      </c>
      <c r="Q124" s="13"/>
      <c r="R124" s="13"/>
      <c r="S124" s="32">
        <f>SUM(DE_AT[[#This Row],[26M04]:[26M06]])</f>
        <v>0</v>
      </c>
      <c r="T124" s="69">
        <f>SUM(DE_AT[[#This Row],[26M07]:[26M09]])</f>
        <v>0.13248000000000001</v>
      </c>
      <c r="U124" s="69">
        <f>SUM(DE_AT[[#This Row],[26M10]:[26M12]])</f>
        <v>0.13248000000000001</v>
      </c>
      <c r="V124" s="256"/>
      <c r="W124" s="256"/>
      <c r="X124" s="256"/>
      <c r="Y124" s="256"/>
      <c r="Z124" s="256"/>
      <c r="AA124" s="256"/>
      <c r="AB124" s="256">
        <f>SUM(DE_AT[[#This Row],[27M01]:[27M03]])</f>
        <v>0</v>
      </c>
      <c r="AC124" s="256">
        <f>SUM(DE_AT[[#This Row],[27M04]:[27M06]])</f>
        <v>0</v>
      </c>
      <c r="AD124" s="256" t="str">
        <f>IF(SUM(DE_AT[[#This Row],[26Q2]:[26Q4]])+SUM(DE_AT[[#This Row],[27Q1]:[27Q2]])=0,"No FSCT",IF(AND(SUM(DE_AT[[#This Row],[26Q2]:[26Q4]])&gt;0,SUM(DE_AT[[#This Row],[27Q1]:[27Q2]])=0),"YES","NO"))</f>
        <v>YES</v>
      </c>
      <c r="AE124" s="120" t="str">
        <f>VLOOKUP(DE_AT[[#This Row],[Product Line]],Prod_T6[],4,0)</f>
        <v>PV</v>
      </c>
      <c r="AH124" s="2" t="str">
        <v>5 - Finalize contract</v>
      </c>
    </row>
    <row r="125" spans="1:34">
      <c r="A125" s="29" t="s">
        <v>32</v>
      </c>
      <c r="B125" s="1" t="s">
        <v>306</v>
      </c>
      <c r="C125" s="3" t="s">
        <v>268</v>
      </c>
      <c r="D125" s="275" t="str">
        <f>VLOOKUP(DE_AT[[#This Row],[Product Line]],Prod_T6[],5,0)</f>
        <v>Sunpower</v>
      </c>
      <c r="E125" s="2" t="s">
        <v>118</v>
      </c>
      <c r="F125" s="2" t="s">
        <v>119</v>
      </c>
      <c r="G125" s="2" t="s">
        <v>120</v>
      </c>
      <c r="H125" s="62" t="s">
        <v>307</v>
      </c>
      <c r="I125" s="40" t="s">
        <v>117</v>
      </c>
      <c r="J125" s="13"/>
      <c r="K125" s="113">
        <f>36*26*0.46/1000</f>
        <v>0.43056</v>
      </c>
      <c r="L125" s="13"/>
      <c r="M125" s="13"/>
      <c r="N125" s="133"/>
      <c r="O125" s="13">
        <v>0.43099999999999999</v>
      </c>
      <c r="P125" s="133"/>
      <c r="Q125" s="13"/>
      <c r="R125" s="13"/>
      <c r="S125" s="32">
        <f>SUM(DE_AT[[#This Row],[26M04]:[26M06]])</f>
        <v>0.43056</v>
      </c>
      <c r="T125" s="69">
        <f>SUM(DE_AT[[#This Row],[26M07]:[26M09]])</f>
        <v>0.43099999999999999</v>
      </c>
      <c r="U125" s="69">
        <f>SUM(DE_AT[[#This Row],[26M10]:[26M12]])</f>
        <v>0</v>
      </c>
      <c r="V125" s="256"/>
      <c r="W125" s="256"/>
      <c r="X125" s="256"/>
      <c r="Y125" s="256"/>
      <c r="Z125" s="256"/>
      <c r="AA125" s="256"/>
      <c r="AB125" s="256">
        <f>SUM(DE_AT[[#This Row],[27M01]:[27M03]])</f>
        <v>0</v>
      </c>
      <c r="AC125" s="256">
        <f>SUM(DE_AT[[#This Row],[27M04]:[27M06]])</f>
        <v>0</v>
      </c>
      <c r="AD125" s="256" t="str">
        <f>IF(SUM(DE_AT[[#This Row],[26Q2]:[26Q4]])+SUM(DE_AT[[#This Row],[27Q1]:[27Q2]])=0,"No FSCT",IF(AND(SUM(DE_AT[[#This Row],[26Q2]:[26Q4]])&gt;0,SUM(DE_AT[[#This Row],[27Q1]:[27Q2]])=0),"YES","NO"))</f>
        <v>YES</v>
      </c>
      <c r="AE125" s="120" t="str">
        <f>VLOOKUP(DE_AT[[#This Row],[Product Line]],Prod_T6[],4,0)</f>
        <v>PV</v>
      </c>
      <c r="AH125" s="2" t="str">
        <v>5 - Finalize contract</v>
      </c>
    </row>
    <row r="126" spans="1:34">
      <c r="A126" s="29" t="s">
        <v>32</v>
      </c>
      <c r="B126" s="1" t="s">
        <v>308</v>
      </c>
      <c r="C126" s="3" t="s">
        <v>268</v>
      </c>
      <c r="D126" s="275" t="str">
        <f>VLOOKUP(DE_AT[[#This Row],[Product Line]],Prod_T6[],5,0)</f>
        <v>Sunpower</v>
      </c>
      <c r="E126" s="2" t="s">
        <v>197</v>
      </c>
      <c r="F126" s="2" t="s">
        <v>62</v>
      </c>
      <c r="G126" s="2" t="s">
        <v>120</v>
      </c>
      <c r="H126" s="62"/>
      <c r="I126" s="40" t="s">
        <v>117</v>
      </c>
      <c r="J126" s="13"/>
      <c r="K126" s="13"/>
      <c r="L126" s="13"/>
      <c r="M126" s="13"/>
      <c r="N126" s="13">
        <v>2</v>
      </c>
      <c r="O126" s="13">
        <v>2</v>
      </c>
      <c r="P126" s="13">
        <v>2</v>
      </c>
      <c r="Q126" s="13">
        <v>2</v>
      </c>
      <c r="R126" s="13">
        <v>2</v>
      </c>
      <c r="S126" s="32">
        <f>SUM(DE_AT[[#This Row],[26M04]:[26M06]])</f>
        <v>0</v>
      </c>
      <c r="T126" s="69">
        <f>SUM(DE_AT[[#This Row],[26M07]:[26M09]])</f>
        <v>4</v>
      </c>
      <c r="U126" s="69">
        <f>SUM(DE_AT[[#This Row],[26M10]:[26M12]])</f>
        <v>6</v>
      </c>
      <c r="V126" s="256"/>
      <c r="W126" s="256"/>
      <c r="X126" s="256"/>
      <c r="Y126" s="256"/>
      <c r="Z126" s="256"/>
      <c r="AA126" s="256"/>
      <c r="AB126" s="256">
        <f>SUM(DE_AT[[#This Row],[27M01]:[27M03]])</f>
        <v>0</v>
      </c>
      <c r="AC126" s="256">
        <f>SUM(DE_AT[[#This Row],[27M04]:[27M06]])</f>
        <v>0</v>
      </c>
      <c r="AD126" s="256" t="str">
        <f>IF(SUM(DE_AT[[#This Row],[26Q2]:[26Q4]])+SUM(DE_AT[[#This Row],[27Q1]:[27Q2]])=0,"No FSCT",IF(AND(SUM(DE_AT[[#This Row],[26Q2]:[26Q4]])&gt;0,SUM(DE_AT[[#This Row],[27Q1]:[27Q2]])=0),"YES","NO"))</f>
        <v>YES</v>
      </c>
      <c r="AE126" s="120" t="str">
        <f>VLOOKUP(DE_AT[[#This Row],[Product Line]],Prod_T6[],4,0)</f>
        <v>ESS</v>
      </c>
      <c r="AH126" s="2" t="str">
        <v>5 - Finalize contract</v>
      </c>
    </row>
    <row r="127" spans="1:34">
      <c r="A127" s="29" t="s">
        <v>32</v>
      </c>
      <c r="B127" s="1" t="s">
        <v>309</v>
      </c>
      <c r="C127" s="3" t="s">
        <v>268</v>
      </c>
      <c r="D127" s="275" t="str">
        <f>VLOOKUP(DE_AT[[#This Row],[Product Line]],Prod_T6[],5,0)</f>
        <v>Sunpower</v>
      </c>
      <c r="E127" s="2" t="s">
        <v>118</v>
      </c>
      <c r="F127" s="2" t="s">
        <v>119</v>
      </c>
      <c r="G127" s="2" t="s">
        <v>120</v>
      </c>
      <c r="H127" s="62" t="s">
        <v>307</v>
      </c>
      <c r="I127" s="40" t="s">
        <v>117</v>
      </c>
      <c r="J127" s="13"/>
      <c r="K127" s="13"/>
      <c r="L127" s="13">
        <v>0.4</v>
      </c>
      <c r="M127" s="13"/>
      <c r="N127" s="13"/>
      <c r="O127" s="13">
        <v>0.43</v>
      </c>
      <c r="P127" s="13"/>
      <c r="Q127" s="13"/>
      <c r="R127" s="13"/>
      <c r="S127" s="32">
        <f>SUM(DE_AT[[#This Row],[26M04]:[26M06]])</f>
        <v>0.4</v>
      </c>
      <c r="T127" s="69">
        <f>SUM(DE_AT[[#This Row],[26M07]:[26M09]])</f>
        <v>0.43</v>
      </c>
      <c r="U127" s="69">
        <f>SUM(DE_AT[[#This Row],[26M10]:[26M12]])</f>
        <v>0</v>
      </c>
      <c r="V127" s="256"/>
      <c r="W127" s="256"/>
      <c r="X127" s="256"/>
      <c r="Y127" s="256"/>
      <c r="Z127" s="256"/>
      <c r="AA127" s="256"/>
      <c r="AB127" s="256">
        <f>SUM(DE_AT[[#This Row],[27M01]:[27M03]])</f>
        <v>0</v>
      </c>
      <c r="AC127" s="256">
        <f>SUM(DE_AT[[#This Row],[27M04]:[27M06]])</f>
        <v>0</v>
      </c>
      <c r="AD127" s="256" t="str">
        <f>IF(SUM(DE_AT[[#This Row],[26Q2]:[26Q4]])+SUM(DE_AT[[#This Row],[27Q1]:[27Q2]])=0,"No FSCT",IF(AND(SUM(DE_AT[[#This Row],[26Q2]:[26Q4]])&gt;0,SUM(DE_AT[[#This Row],[27Q1]:[27Q2]])=0),"YES","NO"))</f>
        <v>YES</v>
      </c>
      <c r="AE127" s="120" t="str">
        <f>VLOOKUP(DE_AT[[#This Row],[Product Line]],Prod_T6[],4,0)</f>
        <v>PV</v>
      </c>
      <c r="AH127" s="2" t="str">
        <v>5 - Finalize contract</v>
      </c>
    </row>
    <row r="128" spans="1:34">
      <c r="A128" s="29" t="s">
        <v>32</v>
      </c>
      <c r="B128" s="1" t="s">
        <v>310</v>
      </c>
      <c r="C128" s="3" t="s">
        <v>268</v>
      </c>
      <c r="D128" s="275" t="str">
        <f>VLOOKUP(DE_AT[[#This Row],[Product Line]],Prod_T6[],5,0)</f>
        <v>Sunpower</v>
      </c>
      <c r="E128" s="2" t="s">
        <v>197</v>
      </c>
      <c r="F128" s="2" t="s">
        <v>62</v>
      </c>
      <c r="G128" s="2" t="s">
        <v>120</v>
      </c>
      <c r="H128" s="62" t="s">
        <v>311</v>
      </c>
      <c r="I128" s="40" t="s">
        <v>117</v>
      </c>
      <c r="J128" s="13"/>
      <c r="K128" s="13"/>
      <c r="L128" s="13"/>
      <c r="M128" s="13"/>
      <c r="N128" s="13">
        <v>2</v>
      </c>
      <c r="O128" s="13">
        <v>2</v>
      </c>
      <c r="P128" s="13">
        <v>2</v>
      </c>
      <c r="Q128" s="13">
        <v>2</v>
      </c>
      <c r="R128" s="13">
        <v>2</v>
      </c>
      <c r="S128" s="32">
        <f>SUM(DE_AT[[#This Row],[26M04]:[26M06]])</f>
        <v>0</v>
      </c>
      <c r="T128" s="69">
        <f>SUM(DE_AT[[#This Row],[26M07]:[26M09]])</f>
        <v>4</v>
      </c>
      <c r="U128" s="69">
        <f>SUM(DE_AT[[#This Row],[26M10]:[26M12]])</f>
        <v>6</v>
      </c>
      <c r="V128" s="256"/>
      <c r="W128" s="256"/>
      <c r="X128" s="256"/>
      <c r="Y128" s="256"/>
      <c r="Z128" s="256"/>
      <c r="AA128" s="256"/>
      <c r="AB128" s="256">
        <f>SUM(DE_AT[[#This Row],[27M01]:[27M03]])</f>
        <v>0</v>
      </c>
      <c r="AC128" s="256">
        <f>SUM(DE_AT[[#This Row],[27M04]:[27M06]])</f>
        <v>0</v>
      </c>
      <c r="AD128" s="256" t="str">
        <f>IF(SUM(DE_AT[[#This Row],[26Q2]:[26Q4]])+SUM(DE_AT[[#This Row],[27Q1]:[27Q2]])=0,"No FSCT",IF(AND(SUM(DE_AT[[#This Row],[26Q2]:[26Q4]])&gt;0,SUM(DE_AT[[#This Row],[27Q1]:[27Q2]])=0),"YES","NO"))</f>
        <v>YES</v>
      </c>
      <c r="AE128" s="120" t="str">
        <f>VLOOKUP(DE_AT[[#This Row],[Product Line]],Prod_T6[],4,0)</f>
        <v>ESS</v>
      </c>
      <c r="AH128" s="2" t="str">
        <v>5 - Finalize contract</v>
      </c>
    </row>
    <row r="129" spans="1:34">
      <c r="A129" s="29" t="s">
        <v>32</v>
      </c>
      <c r="B129" s="1" t="s">
        <v>310</v>
      </c>
      <c r="C129" s="3" t="s">
        <v>268</v>
      </c>
      <c r="D129" s="275" t="str">
        <f>VLOOKUP(DE_AT[[#This Row],[Product Line]],Prod_T6[],5,0)</f>
        <v>Sunpower</v>
      </c>
      <c r="E129" s="2" t="s">
        <v>118</v>
      </c>
      <c r="F129" s="2" t="s">
        <v>119</v>
      </c>
      <c r="G129" s="2" t="s">
        <v>120</v>
      </c>
      <c r="H129" s="62"/>
      <c r="I129" s="40" t="s">
        <v>117</v>
      </c>
      <c r="J129" s="13"/>
      <c r="K129" s="13">
        <v>0.13</v>
      </c>
      <c r="L129" s="13"/>
      <c r="M129" s="13">
        <v>0.13</v>
      </c>
      <c r="N129" s="13"/>
      <c r="O129" s="13">
        <v>0.13</v>
      </c>
      <c r="P129" s="13"/>
      <c r="Q129" s="13"/>
      <c r="R129" s="13"/>
      <c r="S129" s="32">
        <f>SUM(DE_AT[[#This Row],[26M04]:[26M06]])</f>
        <v>0.13</v>
      </c>
      <c r="T129" s="69">
        <f>SUM(DE_AT[[#This Row],[26M07]:[26M09]])</f>
        <v>0.26</v>
      </c>
      <c r="U129" s="69">
        <f>SUM(DE_AT[[#This Row],[26M10]:[26M12]])</f>
        <v>0</v>
      </c>
      <c r="V129" s="256"/>
      <c r="W129" s="256"/>
      <c r="X129" s="256"/>
      <c r="Y129" s="256"/>
      <c r="Z129" s="256"/>
      <c r="AA129" s="256"/>
      <c r="AB129" s="256">
        <f>SUM(DE_AT[[#This Row],[27M01]:[27M03]])</f>
        <v>0</v>
      </c>
      <c r="AC129" s="256">
        <f>SUM(DE_AT[[#This Row],[27M04]:[27M06]])</f>
        <v>0</v>
      </c>
      <c r="AD129" s="256" t="str">
        <f>IF(SUM(DE_AT[[#This Row],[26Q2]:[26Q4]])+SUM(DE_AT[[#This Row],[27Q1]:[27Q2]])=0,"No FSCT",IF(AND(SUM(DE_AT[[#This Row],[26Q2]:[26Q4]])&gt;0,SUM(DE_AT[[#This Row],[27Q1]:[27Q2]])=0),"YES","NO"))</f>
        <v>YES</v>
      </c>
      <c r="AE129" s="120" t="str">
        <f>VLOOKUP(DE_AT[[#This Row],[Product Line]],Prod_T6[],4,0)</f>
        <v>PV</v>
      </c>
      <c r="AH129" s="2" t="str">
        <v>5 - Finalize contract</v>
      </c>
    </row>
    <row r="130" spans="1:34">
      <c r="A130" s="29" t="s">
        <v>32</v>
      </c>
      <c r="B130" s="1" t="s">
        <v>310</v>
      </c>
      <c r="C130" s="3" t="s">
        <v>268</v>
      </c>
      <c r="D130" s="275" t="str">
        <f>VLOOKUP(DE_AT[[#This Row],[Product Line]],Prod_T6[],5,0)</f>
        <v>Sunpower</v>
      </c>
      <c r="E130" s="2" t="s">
        <v>134</v>
      </c>
      <c r="F130" s="2" t="s">
        <v>135</v>
      </c>
      <c r="G130" s="2" t="s">
        <v>120</v>
      </c>
      <c r="H130" s="62"/>
      <c r="I130" s="40" t="s">
        <v>117</v>
      </c>
      <c r="J130" s="13"/>
      <c r="K130" s="13"/>
      <c r="L130" s="13"/>
      <c r="M130" s="13"/>
      <c r="N130" s="13"/>
      <c r="O130" s="13"/>
      <c r="P130" s="13"/>
      <c r="Q130" s="133">
        <f>0.495*36*8/1000</f>
        <v>0.14255999999999999</v>
      </c>
      <c r="R130" s="13"/>
      <c r="S130" s="32">
        <f>SUM(DE_AT[[#This Row],[26M04]:[26M06]])</f>
        <v>0</v>
      </c>
      <c r="T130" s="69">
        <f>SUM(DE_AT[[#This Row],[26M07]:[26M09]])</f>
        <v>0</v>
      </c>
      <c r="U130" s="69">
        <f>SUM(DE_AT[[#This Row],[26M10]:[26M12]])</f>
        <v>0.14255999999999999</v>
      </c>
      <c r="V130" s="256"/>
      <c r="W130" s="256"/>
      <c r="X130" s="256"/>
      <c r="Y130" s="256"/>
      <c r="Z130" s="256"/>
      <c r="AA130" s="256"/>
      <c r="AB130" s="256">
        <f>SUM(DE_AT[[#This Row],[27M01]:[27M03]])</f>
        <v>0</v>
      </c>
      <c r="AC130" s="256">
        <f>SUM(DE_AT[[#This Row],[27M04]:[27M06]])</f>
        <v>0</v>
      </c>
      <c r="AD130" s="256" t="str">
        <f>IF(SUM(DE_AT[[#This Row],[26Q2]:[26Q4]])+SUM(DE_AT[[#This Row],[27Q1]:[27Q2]])=0,"No FSCT",IF(AND(SUM(DE_AT[[#This Row],[26Q2]:[26Q4]])&gt;0,SUM(DE_AT[[#This Row],[27Q1]:[27Q2]])=0),"YES","NO"))</f>
        <v>YES</v>
      </c>
      <c r="AE130" s="120" t="str">
        <f>VLOOKUP(DE_AT[[#This Row],[Product Line]],Prod_T6[],4,0)</f>
        <v>PV</v>
      </c>
      <c r="AH130" s="2" t="str">
        <v>5 - Finalize contract</v>
      </c>
    </row>
    <row r="131" spans="1:34">
      <c r="A131" s="29" t="s">
        <v>32</v>
      </c>
      <c r="B131" s="3" t="s">
        <v>287</v>
      </c>
      <c r="D131" s="275" t="str">
        <f>VLOOKUP(DE_AT[[#This Row],[Product Line]],Prod_T6[],5,0)</f>
        <v>TCL</v>
      </c>
      <c r="E131" s="2" t="s">
        <v>317</v>
      </c>
      <c r="F131" s="2" t="s">
        <v>318</v>
      </c>
      <c r="G131" s="2" t="s">
        <v>136</v>
      </c>
      <c r="H131" s="62"/>
      <c r="I131" s="40" t="s">
        <v>117</v>
      </c>
      <c r="J131" s="82">
        <v>2</v>
      </c>
      <c r="K131" s="82">
        <v>5</v>
      </c>
      <c r="L131" s="82">
        <v>5</v>
      </c>
      <c r="M131" s="82"/>
      <c r="N131" s="82"/>
      <c r="O131" s="82"/>
      <c r="P131" s="82"/>
      <c r="Q131" s="82"/>
      <c r="R131" s="82"/>
      <c r="S131" s="32">
        <f>SUM(DE_AT[[#This Row],[26M04]:[26M06]])</f>
        <v>12</v>
      </c>
      <c r="T131" s="69">
        <f>SUM(DE_AT[[#This Row],[26M07]:[26M09]])</f>
        <v>0</v>
      </c>
      <c r="U131" s="69">
        <f>SUM(DE_AT[[#This Row],[26M10]:[26M12]])</f>
        <v>0</v>
      </c>
      <c r="V131" s="256"/>
      <c r="W131" s="256"/>
      <c r="X131" s="256"/>
      <c r="Y131" s="256"/>
      <c r="Z131" s="256"/>
      <c r="AA131" s="256"/>
      <c r="AB131" s="256">
        <f>SUM(DE_AT[[#This Row],[27M01]:[27M03]])</f>
        <v>0</v>
      </c>
      <c r="AC131" s="256">
        <f>SUM(DE_AT[[#This Row],[27M04]:[27M06]])</f>
        <v>0</v>
      </c>
      <c r="AD131" s="256" t="str">
        <f>IF(SUM(DE_AT[[#This Row],[26Q2]:[26Q4]])+SUM(DE_AT[[#This Row],[27Q1]:[27Q2]])=0,"No FSCT",IF(AND(SUM(DE_AT[[#This Row],[26Q2]:[26Q4]])&gt;0,SUM(DE_AT[[#This Row],[27Q1]:[27Q2]])=0),"YES","NO"))</f>
        <v>YES</v>
      </c>
      <c r="AE131" s="120" t="str">
        <f>VLOOKUP(DE_AT[[#This Row],[Product Line]],Prod_T6[],4,0)</f>
        <v>PV</v>
      </c>
      <c r="AH131" s="2" t="str">
        <v>3 - Negotiation</v>
      </c>
    </row>
    <row r="132" spans="1:34">
      <c r="A132" s="29" t="s">
        <v>32</v>
      </c>
      <c r="B132" s="3" t="s">
        <v>287</v>
      </c>
      <c r="D132" s="275" t="str">
        <f>VLOOKUP(DE_AT[[#This Row],[Product Line]],Prod_T6[],5,0)</f>
        <v>TCL</v>
      </c>
      <c r="E132" s="2" t="s">
        <v>54</v>
      </c>
      <c r="F132" s="2" t="s">
        <v>159</v>
      </c>
      <c r="G132" s="2" t="s">
        <v>136</v>
      </c>
      <c r="H132" s="62"/>
      <c r="I132" s="40" t="s">
        <v>117</v>
      </c>
      <c r="J132" s="82">
        <v>2</v>
      </c>
      <c r="K132" s="82">
        <v>5</v>
      </c>
      <c r="L132" s="82">
        <v>5</v>
      </c>
      <c r="M132" s="82"/>
      <c r="N132" s="82"/>
      <c r="O132" s="82"/>
      <c r="P132" s="82"/>
      <c r="Q132" s="82"/>
      <c r="R132" s="82"/>
      <c r="S132" s="32">
        <f>SUM(DE_AT[[#This Row],[26M04]:[26M06]])</f>
        <v>12</v>
      </c>
      <c r="T132" s="69">
        <f>SUM(DE_AT[[#This Row],[26M07]:[26M09]])</f>
        <v>0</v>
      </c>
      <c r="U132" s="69">
        <f>SUM(DE_AT[[#This Row],[26M10]:[26M12]])</f>
        <v>0</v>
      </c>
      <c r="V132" s="256"/>
      <c r="W132" s="256"/>
      <c r="X132" s="256"/>
      <c r="Y132" s="256"/>
      <c r="Z132" s="256"/>
      <c r="AA132" s="256"/>
      <c r="AB132" s="256">
        <f>SUM(DE_AT[[#This Row],[27M01]:[27M03]])</f>
        <v>0</v>
      </c>
      <c r="AC132" s="256">
        <f>SUM(DE_AT[[#This Row],[27M04]:[27M06]])</f>
        <v>0</v>
      </c>
      <c r="AD132" s="256" t="str">
        <f>IF(SUM(DE_AT[[#This Row],[26Q2]:[26Q4]])+SUM(DE_AT[[#This Row],[27Q1]:[27Q2]])=0,"No FSCT",IF(AND(SUM(DE_AT[[#This Row],[26Q2]:[26Q4]])&gt;0,SUM(DE_AT[[#This Row],[27Q1]:[27Q2]])=0),"YES","NO"))</f>
        <v>YES</v>
      </c>
      <c r="AE132" s="120" t="str">
        <f>VLOOKUP(DE_AT[[#This Row],[Product Line]],Prod_T6[],4,0)</f>
        <v>PV</v>
      </c>
      <c r="AH132" s="2" t="str">
        <v>3 - Negotiation</v>
      </c>
    </row>
    <row r="133" spans="1:34">
      <c r="A133" s="29" t="s">
        <v>32</v>
      </c>
      <c r="B133" s="3" t="s">
        <v>287</v>
      </c>
      <c r="D133" s="275" t="str">
        <f>VLOOKUP(DE_AT[[#This Row],[Product Line]],Prod_T6[],5,0)</f>
        <v>TCL</v>
      </c>
      <c r="E133" s="2" t="s">
        <v>149</v>
      </c>
      <c r="F133" s="2" t="s">
        <v>312</v>
      </c>
      <c r="G133" s="2" t="s">
        <v>136</v>
      </c>
      <c r="H133" s="62">
        <v>475</v>
      </c>
      <c r="I133" s="40" t="s">
        <v>117</v>
      </c>
      <c r="J133" s="82">
        <v>2</v>
      </c>
      <c r="K133" s="82">
        <v>5</v>
      </c>
      <c r="L133" s="82">
        <v>5</v>
      </c>
      <c r="M133" s="82"/>
      <c r="N133" s="82"/>
      <c r="O133" s="82"/>
      <c r="P133" s="82"/>
      <c r="Q133" s="82"/>
      <c r="R133" s="82"/>
      <c r="S133" s="32">
        <f>SUM(DE_AT[[#This Row],[26M04]:[26M06]])</f>
        <v>12</v>
      </c>
      <c r="T133" s="69">
        <f>SUM(DE_AT[[#This Row],[26M07]:[26M09]])</f>
        <v>0</v>
      </c>
      <c r="U133" s="69">
        <f>SUM(DE_AT[[#This Row],[26M10]:[26M12]])</f>
        <v>0</v>
      </c>
      <c r="V133" s="256"/>
      <c r="W133" s="256"/>
      <c r="X133" s="256"/>
      <c r="Y133" s="256"/>
      <c r="Z133" s="256"/>
      <c r="AA133" s="256"/>
      <c r="AB133" s="256">
        <f>SUM(DE_AT[[#This Row],[27M01]:[27M03]])</f>
        <v>0</v>
      </c>
      <c r="AC133" s="256">
        <f>SUM(DE_AT[[#This Row],[27M04]:[27M06]])</f>
        <v>0</v>
      </c>
      <c r="AD133" s="256" t="str">
        <f>IF(SUM(DE_AT[[#This Row],[26Q2]:[26Q4]])+SUM(DE_AT[[#This Row],[27Q1]:[27Q2]])=0,"No FSCT",IF(AND(SUM(DE_AT[[#This Row],[26Q2]:[26Q4]])&gt;0,SUM(DE_AT[[#This Row],[27Q1]:[27Q2]])=0),"YES","NO"))</f>
        <v>YES</v>
      </c>
      <c r="AE133" s="120" t="str">
        <f>VLOOKUP(DE_AT[[#This Row],[Product Line]],Prod_T6[],4,0)</f>
        <v>PV</v>
      </c>
      <c r="AH133" s="2" t="str">
        <v>3 - Negotiation</v>
      </c>
    </row>
    <row r="134" spans="1:34">
      <c r="A134" s="29" t="s">
        <v>32</v>
      </c>
      <c r="B134" s="3" t="s">
        <v>313</v>
      </c>
      <c r="D134" s="275" t="str">
        <f>VLOOKUP(DE_AT[[#This Row],[Product Line]],Prod_T6[],5,0)</f>
        <v>TCL</v>
      </c>
      <c r="E134" s="2" t="s">
        <v>149</v>
      </c>
      <c r="F134" s="2" t="s">
        <v>289</v>
      </c>
      <c r="G134" s="2" t="s">
        <v>136</v>
      </c>
      <c r="H134" s="62">
        <v>465</v>
      </c>
      <c r="I134" s="43" t="s">
        <v>132</v>
      </c>
      <c r="J134" s="82">
        <v>3</v>
      </c>
      <c r="K134" s="82">
        <v>6</v>
      </c>
      <c r="L134" s="82">
        <v>6</v>
      </c>
      <c r="M134" s="82"/>
      <c r="N134" s="82"/>
      <c r="O134" s="82"/>
      <c r="P134" s="82"/>
      <c r="Q134" s="82"/>
      <c r="R134" s="82"/>
      <c r="S134" s="32">
        <f>SUM(DE_AT[[#This Row],[26M04]:[26M06]])</f>
        <v>15</v>
      </c>
      <c r="T134" s="69">
        <f>SUM(DE_AT[[#This Row],[26M07]:[26M09]])</f>
        <v>0</v>
      </c>
      <c r="U134" s="69">
        <f>SUM(DE_AT[[#This Row],[26M10]:[26M12]])</f>
        <v>0</v>
      </c>
      <c r="V134" s="256"/>
      <c r="W134" s="256"/>
      <c r="X134" s="256"/>
      <c r="Y134" s="256"/>
      <c r="Z134" s="256"/>
      <c r="AA134" s="256"/>
      <c r="AB134" s="256">
        <f>SUM(DE_AT[[#This Row],[27M01]:[27M03]])</f>
        <v>0</v>
      </c>
      <c r="AC134" s="256">
        <f>SUM(DE_AT[[#This Row],[27M04]:[27M06]])</f>
        <v>0</v>
      </c>
      <c r="AD134" s="256" t="str">
        <f>IF(SUM(DE_AT[[#This Row],[26Q2]:[26Q4]])+SUM(DE_AT[[#This Row],[27Q1]:[27Q2]])=0,"No FSCT",IF(AND(SUM(DE_AT[[#This Row],[26Q2]:[26Q4]])&gt;0,SUM(DE_AT[[#This Row],[27Q1]:[27Q2]])=0),"YES","NO"))</f>
        <v>YES</v>
      </c>
      <c r="AE134" s="120" t="str">
        <f>VLOOKUP(DE_AT[[#This Row],[Product Line]],Prod_T6[],4,0)</f>
        <v>PV</v>
      </c>
      <c r="AH134" s="2" t="str">
        <v>3 - Negotiation</v>
      </c>
    </row>
    <row r="135" spans="1:34">
      <c r="A135" s="29" t="s">
        <v>32</v>
      </c>
      <c r="B135" s="3" t="s">
        <v>313</v>
      </c>
      <c r="D135" s="275" t="str">
        <f>VLOOKUP(DE_AT[[#This Row],[Product Line]],Prod_T6[],5,0)</f>
        <v>TCL</v>
      </c>
      <c r="E135" s="2" t="s">
        <v>314</v>
      </c>
      <c r="F135" s="2" t="s">
        <v>315</v>
      </c>
      <c r="G135" s="2" t="s">
        <v>136</v>
      </c>
      <c r="H135" s="62" t="s">
        <v>316</v>
      </c>
      <c r="I135" s="43" t="s">
        <v>132</v>
      </c>
      <c r="J135" s="82">
        <v>30</v>
      </c>
      <c r="K135" s="82"/>
      <c r="L135" s="82"/>
      <c r="M135" s="82"/>
      <c r="N135" s="82"/>
      <c r="O135" s="82"/>
      <c r="P135" s="82"/>
      <c r="Q135" s="82"/>
      <c r="R135" s="82"/>
      <c r="S135" s="32">
        <f>SUM(DE_AT[[#This Row],[26M04]:[26M06]])</f>
        <v>30</v>
      </c>
      <c r="T135" s="69">
        <f>SUM(DE_AT[[#This Row],[26M07]:[26M09]])</f>
        <v>0</v>
      </c>
      <c r="U135" s="69">
        <f>SUM(DE_AT[[#This Row],[26M10]:[26M12]])</f>
        <v>0</v>
      </c>
      <c r="V135" s="256"/>
      <c r="W135" s="256"/>
      <c r="X135" s="256"/>
      <c r="Y135" s="256"/>
      <c r="Z135" s="256"/>
      <c r="AA135" s="256"/>
      <c r="AB135" s="256">
        <f>SUM(DE_AT[[#This Row],[27M01]:[27M03]])</f>
        <v>0</v>
      </c>
      <c r="AC135" s="256">
        <f>SUM(DE_AT[[#This Row],[27M04]:[27M06]])</f>
        <v>0</v>
      </c>
      <c r="AD135" s="256" t="str">
        <f>IF(SUM(DE_AT[[#This Row],[26Q2]:[26Q4]])+SUM(DE_AT[[#This Row],[27Q1]:[27Q2]])=0,"No FSCT",IF(AND(SUM(DE_AT[[#This Row],[26Q2]:[26Q4]])&gt;0,SUM(DE_AT[[#This Row],[27Q1]:[27Q2]])=0),"YES","NO"))</f>
        <v>YES</v>
      </c>
      <c r="AE135" s="120" t="str">
        <f>VLOOKUP(DE_AT[[#This Row],[Product Line]],Prod_T6[],4,0)</f>
        <v>PV</v>
      </c>
      <c r="AH135" s="2" t="str">
        <v>3 - Negotiation</v>
      </c>
    </row>
    <row r="136" spans="1:34">
      <c r="A136" s="29" t="s">
        <v>32</v>
      </c>
      <c r="B136" s="3" t="s">
        <v>313</v>
      </c>
      <c r="D136" s="275" t="str">
        <f>VLOOKUP(DE_AT[[#This Row],[Product Line]],Prod_T6[],5,0)</f>
        <v>TCL</v>
      </c>
      <c r="E136" s="2" t="s">
        <v>54</v>
      </c>
      <c r="F136" s="2" t="s">
        <v>166</v>
      </c>
      <c r="G136" s="2" t="s">
        <v>156</v>
      </c>
      <c r="H136" s="62"/>
      <c r="I136" s="43" t="s">
        <v>132</v>
      </c>
      <c r="J136" s="82"/>
      <c r="K136" s="82"/>
      <c r="L136" s="82"/>
      <c r="M136" s="136">
        <v>9</v>
      </c>
      <c r="N136" s="136"/>
      <c r="O136" s="82"/>
      <c r="P136" s="82"/>
      <c r="Q136" s="82"/>
      <c r="R136" s="82"/>
      <c r="S136" s="32">
        <f>SUM(DE_AT[[#This Row],[26M04]:[26M06]])</f>
        <v>0</v>
      </c>
      <c r="T136" s="69">
        <f>SUM(DE_AT[[#This Row],[26M07]:[26M09]])</f>
        <v>9</v>
      </c>
      <c r="U136" s="69">
        <f>SUM(DE_AT[[#This Row],[26M10]:[26M12]])</f>
        <v>0</v>
      </c>
      <c r="V136" s="256"/>
      <c r="W136" s="256"/>
      <c r="X136" s="256"/>
      <c r="Y136" s="256"/>
      <c r="Z136" s="256"/>
      <c r="AA136" s="256"/>
      <c r="AB136" s="256">
        <f>SUM(DE_AT[[#This Row],[27M01]:[27M03]])</f>
        <v>0</v>
      </c>
      <c r="AC136" s="256">
        <f>SUM(DE_AT[[#This Row],[27M04]:[27M06]])</f>
        <v>0</v>
      </c>
      <c r="AD136" s="256" t="str">
        <f>IF(SUM(DE_AT[[#This Row],[26Q2]:[26Q4]])+SUM(DE_AT[[#This Row],[27Q1]:[27Q2]])=0,"No FSCT",IF(AND(SUM(DE_AT[[#This Row],[26Q2]:[26Q4]])&gt;0,SUM(DE_AT[[#This Row],[27Q1]:[27Q2]])=0),"YES","NO"))</f>
        <v>YES</v>
      </c>
      <c r="AE136" s="120" t="str">
        <f>VLOOKUP(DE_AT[[#This Row],[Product Line]],Prod_T6[],4,0)</f>
        <v>PV</v>
      </c>
      <c r="AH136" s="2" t="str">
        <v>6 - Won</v>
      </c>
    </row>
    <row r="137" spans="1:34">
      <c r="A137" s="29" t="s">
        <v>32</v>
      </c>
      <c r="B137" s="3" t="s">
        <v>313</v>
      </c>
      <c r="D137" s="275" t="str">
        <f>VLOOKUP(DE_AT[[#This Row],[Product Line]],Prod_T6[],5,0)</f>
        <v>TCL</v>
      </c>
      <c r="E137" s="2" t="s">
        <v>54</v>
      </c>
      <c r="F137" s="2" t="s">
        <v>166</v>
      </c>
      <c r="G137" s="2" t="s">
        <v>136</v>
      </c>
      <c r="H137" s="62"/>
      <c r="I137" s="43" t="s">
        <v>132</v>
      </c>
      <c r="J137" s="82"/>
      <c r="K137" s="82"/>
      <c r="L137" s="82"/>
      <c r="M137" s="136">
        <v>4</v>
      </c>
      <c r="N137" s="136"/>
      <c r="O137" s="82"/>
      <c r="P137" s="82"/>
      <c r="Q137" s="82"/>
      <c r="R137" s="82"/>
      <c r="S137" s="32">
        <f>SUM(DE_AT[[#This Row],[26M04]:[26M06]])</f>
        <v>0</v>
      </c>
      <c r="T137" s="69">
        <f>SUM(DE_AT[[#This Row],[26M07]:[26M09]])</f>
        <v>4</v>
      </c>
      <c r="U137" s="69">
        <f>SUM(DE_AT[[#This Row],[26M10]:[26M12]])</f>
        <v>0</v>
      </c>
      <c r="V137" s="256"/>
      <c r="W137" s="256"/>
      <c r="X137" s="256"/>
      <c r="Y137" s="256"/>
      <c r="Z137" s="256"/>
      <c r="AA137" s="256"/>
      <c r="AB137" s="256">
        <f>SUM(DE_AT[[#This Row],[27M01]:[27M03]])</f>
        <v>0</v>
      </c>
      <c r="AC137" s="256">
        <f>SUM(DE_AT[[#This Row],[27M04]:[27M06]])</f>
        <v>0</v>
      </c>
      <c r="AD137" s="256" t="str">
        <f>IF(SUM(DE_AT[[#This Row],[26Q2]:[26Q4]])+SUM(DE_AT[[#This Row],[27Q1]:[27Q2]])=0,"No FSCT",IF(AND(SUM(DE_AT[[#This Row],[26Q2]:[26Q4]])&gt;0,SUM(DE_AT[[#This Row],[27Q1]:[27Q2]])=0),"YES","NO"))</f>
        <v>YES</v>
      </c>
      <c r="AE137" s="120" t="str">
        <f>VLOOKUP(DE_AT[[#This Row],[Product Line]],Prod_T6[],4,0)</f>
        <v>PV</v>
      </c>
      <c r="AH137" s="2" t="str">
        <v>3 - Negotiation</v>
      </c>
    </row>
    <row r="138" spans="1:34">
      <c r="A138" s="29" t="s">
        <v>32</v>
      </c>
      <c r="B138" s="3" t="s">
        <v>313</v>
      </c>
      <c r="D138" s="275" t="str">
        <f>VLOOKUP(DE_AT[[#This Row],[Product Line]],Prod_T6[],5,0)</f>
        <v>TCL</v>
      </c>
      <c r="E138" s="2" t="s">
        <v>54</v>
      </c>
      <c r="F138" s="2" t="s">
        <v>297</v>
      </c>
      <c r="G138" s="2" t="s">
        <v>136</v>
      </c>
      <c r="H138" s="62"/>
      <c r="I138" s="43" t="s">
        <v>132</v>
      </c>
      <c r="J138" s="82"/>
      <c r="K138" s="82"/>
      <c r="L138" s="82"/>
      <c r="M138" s="136">
        <v>6</v>
      </c>
      <c r="N138" s="136"/>
      <c r="O138" s="82"/>
      <c r="P138" s="82"/>
      <c r="Q138" s="82"/>
      <c r="R138" s="82"/>
      <c r="S138" s="32">
        <f>SUM(DE_AT[[#This Row],[26M04]:[26M06]])</f>
        <v>0</v>
      </c>
      <c r="T138" s="69">
        <f>SUM(DE_AT[[#This Row],[26M07]:[26M09]])</f>
        <v>6</v>
      </c>
      <c r="U138" s="69">
        <f>SUM(DE_AT[[#This Row],[26M10]:[26M12]])</f>
        <v>0</v>
      </c>
      <c r="V138" s="256"/>
      <c r="W138" s="256"/>
      <c r="X138" s="256"/>
      <c r="Y138" s="256"/>
      <c r="Z138" s="256"/>
      <c r="AA138" s="256"/>
      <c r="AB138" s="256">
        <f>SUM(DE_AT[[#This Row],[27M01]:[27M03]])</f>
        <v>0</v>
      </c>
      <c r="AC138" s="256">
        <f>SUM(DE_AT[[#This Row],[27M04]:[27M06]])</f>
        <v>0</v>
      </c>
      <c r="AD138" s="256" t="str">
        <f>IF(SUM(DE_AT[[#This Row],[26Q2]:[26Q4]])+SUM(DE_AT[[#This Row],[27Q1]:[27Q2]])=0,"No FSCT",IF(AND(SUM(DE_AT[[#This Row],[26Q2]:[26Q4]])&gt;0,SUM(DE_AT[[#This Row],[27Q1]:[27Q2]])=0),"YES","NO"))</f>
        <v>YES</v>
      </c>
      <c r="AE138" s="120" t="str">
        <f>VLOOKUP(DE_AT[[#This Row],[Product Line]],Prod_T6[],4,0)</f>
        <v>PV</v>
      </c>
      <c r="AH138" s="2" t="str">
        <v>3 - Negotiation</v>
      </c>
    </row>
    <row r="139" spans="1:34">
      <c r="A139" s="29" t="s">
        <v>32</v>
      </c>
      <c r="B139" s="3" t="s">
        <v>287</v>
      </c>
      <c r="C139" s="3" t="s">
        <v>295</v>
      </c>
      <c r="D139" s="275" t="str">
        <f>VLOOKUP(DE_AT[[#This Row],[Product Line]],Prod_T6[],5,0)</f>
        <v>TCL</v>
      </c>
      <c r="E139" s="2" t="s">
        <v>113</v>
      </c>
      <c r="F139" s="2" t="s">
        <v>153</v>
      </c>
      <c r="G139" s="2" t="s">
        <v>136</v>
      </c>
      <c r="H139" s="62" t="s">
        <v>295</v>
      </c>
      <c r="I139" s="43" t="s">
        <v>132</v>
      </c>
      <c r="J139" s="82"/>
      <c r="K139" s="82"/>
      <c r="L139" s="82"/>
      <c r="M139" s="136"/>
      <c r="N139" s="136"/>
      <c r="O139" s="136">
        <v>1</v>
      </c>
      <c r="P139" s="136">
        <v>3</v>
      </c>
      <c r="Q139" s="82">
        <v>10</v>
      </c>
      <c r="R139" s="82">
        <v>10</v>
      </c>
      <c r="S139" s="32">
        <f>SUM(DE_AT[[#This Row],[26M04]:[26M06]])</f>
        <v>0</v>
      </c>
      <c r="T139" s="69">
        <f>SUM(DE_AT[[#This Row],[26M07]:[26M09]])</f>
        <v>1</v>
      </c>
      <c r="U139" s="69">
        <f>SUM(DE_AT[[#This Row],[26M10]:[26M12]])</f>
        <v>23</v>
      </c>
      <c r="V139" s="256"/>
      <c r="W139" s="256"/>
      <c r="X139" s="256"/>
      <c r="Y139" s="256"/>
      <c r="Z139" s="256"/>
      <c r="AA139" s="256"/>
      <c r="AB139" s="256">
        <f>SUM(DE_AT[[#This Row],[27M01]:[27M03]])</f>
        <v>0</v>
      </c>
      <c r="AC139" s="256">
        <f>SUM(DE_AT[[#This Row],[27M04]:[27M06]])</f>
        <v>0</v>
      </c>
      <c r="AD139" s="256" t="str">
        <f>IF(SUM(DE_AT[[#This Row],[26Q2]:[26Q4]])+SUM(DE_AT[[#This Row],[27Q1]:[27Q2]])=0,"No FSCT",IF(AND(SUM(DE_AT[[#This Row],[26Q2]:[26Q4]])&gt;0,SUM(DE_AT[[#This Row],[27Q1]:[27Q2]])=0),"YES","NO"))</f>
        <v>YES</v>
      </c>
      <c r="AE139" s="120" t="str">
        <f>VLOOKUP(DE_AT[[#This Row],[Product Line]],Prod_T6[],4,0)</f>
        <v>PV</v>
      </c>
      <c r="AH139" s="2" t="str">
        <v>3 - Negotiation</v>
      </c>
    </row>
    <row r="140" spans="1:34">
      <c r="A140" s="29" t="s">
        <v>32</v>
      </c>
      <c r="B140" s="3" t="s">
        <v>287</v>
      </c>
      <c r="C140" s="3" t="s">
        <v>293</v>
      </c>
      <c r="D140" s="275" t="str">
        <f>VLOOKUP(DE_AT[[#This Row],[Product Line]],Prod_T6[],5,0)</f>
        <v>TCL</v>
      </c>
      <c r="E140" s="2" t="s">
        <v>113</v>
      </c>
      <c r="F140" s="2" t="s">
        <v>153</v>
      </c>
      <c r="G140" s="2" t="s">
        <v>136</v>
      </c>
      <c r="H140" s="62" t="s">
        <v>293</v>
      </c>
      <c r="I140" s="43" t="s">
        <v>132</v>
      </c>
      <c r="J140" s="82"/>
      <c r="K140" s="82"/>
      <c r="L140" s="82"/>
      <c r="M140" s="136"/>
      <c r="N140" s="136"/>
      <c r="O140" s="136">
        <v>1</v>
      </c>
      <c r="P140" s="136">
        <v>3</v>
      </c>
      <c r="Q140" s="82">
        <v>5</v>
      </c>
      <c r="R140" s="82">
        <v>5</v>
      </c>
      <c r="S140" s="32">
        <f>SUM(DE_AT[[#This Row],[26M04]:[26M06]])</f>
        <v>0</v>
      </c>
      <c r="T140" s="69">
        <f>SUM(DE_AT[[#This Row],[26M07]:[26M09]])</f>
        <v>1</v>
      </c>
      <c r="U140" s="69">
        <f>SUM(DE_AT[[#This Row],[26M10]:[26M12]])</f>
        <v>13</v>
      </c>
      <c r="V140" s="256"/>
      <c r="W140" s="256"/>
      <c r="X140" s="256"/>
      <c r="Y140" s="256"/>
      <c r="Z140" s="256"/>
      <c r="AA140" s="256"/>
      <c r="AB140" s="256">
        <f>SUM(DE_AT[[#This Row],[27M01]:[27M03]])</f>
        <v>0</v>
      </c>
      <c r="AC140" s="256">
        <f>SUM(DE_AT[[#This Row],[27M04]:[27M06]])</f>
        <v>0</v>
      </c>
      <c r="AD140" s="256" t="str">
        <f>IF(SUM(DE_AT[[#This Row],[26Q2]:[26Q4]])+SUM(DE_AT[[#This Row],[27Q1]:[27Q2]])=0,"No FSCT",IF(AND(SUM(DE_AT[[#This Row],[26Q2]:[26Q4]])&gt;0,SUM(DE_AT[[#This Row],[27Q1]:[27Q2]])=0),"YES","NO"))</f>
        <v>YES</v>
      </c>
      <c r="AE140" s="120" t="str">
        <f>VLOOKUP(DE_AT[[#This Row],[Product Line]],Prod_T6[],4,0)</f>
        <v>PV</v>
      </c>
      <c r="AH140" s="2" t="str">
        <v>3 - Negotiation</v>
      </c>
    </row>
    <row r="141" spans="1:34">
      <c r="A141" s="29" t="s">
        <v>32</v>
      </c>
      <c r="B141" s="3" t="s">
        <v>287</v>
      </c>
      <c r="D141" s="275" t="str">
        <f>VLOOKUP(DE_AT[[#This Row],[Product Line]],Prod_T6[],5,0)</f>
        <v>TCL</v>
      </c>
      <c r="E141" s="2" t="s">
        <v>113</v>
      </c>
      <c r="F141" s="2" t="s">
        <v>182</v>
      </c>
      <c r="G141" s="2" t="s">
        <v>136</v>
      </c>
      <c r="H141" s="62" t="s">
        <v>296</v>
      </c>
      <c r="I141" s="281" t="s">
        <v>132</v>
      </c>
      <c r="J141" s="82"/>
      <c r="K141" s="82"/>
      <c r="L141" s="82"/>
      <c r="M141" s="136"/>
      <c r="N141" s="136"/>
      <c r="O141" s="136">
        <v>3</v>
      </c>
      <c r="P141" s="136">
        <v>3</v>
      </c>
      <c r="Q141" s="82">
        <v>3</v>
      </c>
      <c r="R141" s="82"/>
      <c r="S141" s="32">
        <f>SUM(DE_AT[[#This Row],[26M04]:[26M06]])</f>
        <v>0</v>
      </c>
      <c r="T141" s="69">
        <f>SUM(DE_AT[[#This Row],[26M07]:[26M09]])</f>
        <v>3</v>
      </c>
      <c r="U141" s="69">
        <f>SUM(DE_AT[[#This Row],[26M10]:[26M12]])</f>
        <v>6</v>
      </c>
      <c r="V141" s="256"/>
      <c r="W141" s="256"/>
      <c r="X141" s="256"/>
      <c r="Y141" s="256"/>
      <c r="Z141" s="256"/>
      <c r="AA141" s="256"/>
      <c r="AB141" s="256">
        <f>SUM(DE_AT[[#This Row],[27M01]:[27M03]])</f>
        <v>0</v>
      </c>
      <c r="AC141" s="256">
        <f>SUM(DE_AT[[#This Row],[27M04]:[27M06]])</f>
        <v>0</v>
      </c>
      <c r="AD141" s="256" t="str">
        <f>IF(SUM(DE_AT[[#This Row],[26Q2]:[26Q4]])+SUM(DE_AT[[#This Row],[27Q1]:[27Q2]])=0,"No FSCT",IF(AND(SUM(DE_AT[[#This Row],[26Q2]:[26Q4]])&gt;0,SUM(DE_AT[[#This Row],[27Q1]:[27Q2]])=0),"YES","NO"))</f>
        <v>YES</v>
      </c>
      <c r="AE141" s="120" t="str">
        <f>VLOOKUP(DE_AT[[#This Row],[Product Line]],Prod_T6[],4,0)</f>
        <v>PV</v>
      </c>
      <c r="AH141" s="2" t="str">
        <v>3 - Negotiation</v>
      </c>
    </row>
    <row r="142" spans="1:34">
      <c r="A142" s="29" t="s">
        <v>32</v>
      </c>
      <c r="B142" s="3" t="s">
        <v>287</v>
      </c>
      <c r="D142" s="275" t="str">
        <f>VLOOKUP(DE_AT[[#This Row],[Product Line]],Prod_T6[],5,0)</f>
        <v>TCL</v>
      </c>
      <c r="E142" s="2" t="s">
        <v>54</v>
      </c>
      <c r="F142" s="2" t="s">
        <v>297</v>
      </c>
      <c r="G142" s="2" t="s">
        <v>136</v>
      </c>
      <c r="H142" s="62" t="s">
        <v>298</v>
      </c>
      <c r="I142" s="281" t="s">
        <v>132</v>
      </c>
      <c r="J142" s="82"/>
      <c r="K142" s="82"/>
      <c r="L142" s="82"/>
      <c r="M142" s="136"/>
      <c r="N142" s="136"/>
      <c r="O142" s="136">
        <v>4</v>
      </c>
      <c r="P142" s="136">
        <v>4</v>
      </c>
      <c r="Q142" s="82">
        <v>4</v>
      </c>
      <c r="R142" s="82"/>
      <c r="S142" s="32">
        <f>SUM(DE_AT[[#This Row],[26M04]:[26M06]])</f>
        <v>0</v>
      </c>
      <c r="T142" s="69">
        <f>SUM(DE_AT[[#This Row],[26M07]:[26M09]])</f>
        <v>4</v>
      </c>
      <c r="U142" s="69">
        <f>SUM(DE_AT[[#This Row],[26M10]:[26M12]])</f>
        <v>8</v>
      </c>
      <c r="V142" s="256"/>
      <c r="W142" s="256"/>
      <c r="X142" s="256"/>
      <c r="Y142" s="256"/>
      <c r="Z142" s="256"/>
      <c r="AA142" s="256"/>
      <c r="AB142" s="256">
        <f>SUM(DE_AT[[#This Row],[27M01]:[27M03]])</f>
        <v>0</v>
      </c>
      <c r="AC142" s="256">
        <f>SUM(DE_AT[[#This Row],[27M04]:[27M06]])</f>
        <v>0</v>
      </c>
      <c r="AD142" s="256" t="str">
        <f>IF(SUM(DE_AT[[#This Row],[26Q2]:[26Q4]])+SUM(DE_AT[[#This Row],[27Q1]:[27Q2]])=0,"No FSCT",IF(AND(SUM(DE_AT[[#This Row],[26Q2]:[26Q4]])&gt;0,SUM(DE_AT[[#This Row],[27Q1]:[27Q2]])=0),"YES","NO"))</f>
        <v>YES</v>
      </c>
      <c r="AE142" s="120" t="str">
        <f>VLOOKUP(DE_AT[[#This Row],[Product Line]],Prod_T6[],4,0)</f>
        <v>PV</v>
      </c>
      <c r="AH142" s="2" t="str">
        <v>3 - Negotiation</v>
      </c>
    </row>
    <row r="143" spans="1:34">
      <c r="A143" s="29" t="s">
        <v>32</v>
      </c>
      <c r="B143" s="3" t="s">
        <v>287</v>
      </c>
      <c r="D143" s="275" t="str">
        <f>VLOOKUP(DE_AT[[#This Row],[Product Line]],Prod_T6[],5,0)</f>
        <v>TCL</v>
      </c>
      <c r="E143" s="2" t="s">
        <v>54</v>
      </c>
      <c r="F143" s="2" t="s">
        <v>126</v>
      </c>
      <c r="G143" s="2" t="s">
        <v>136</v>
      </c>
      <c r="H143" s="62" t="s">
        <v>288</v>
      </c>
      <c r="I143" s="281" t="s">
        <v>132</v>
      </c>
      <c r="J143" s="82"/>
      <c r="K143" s="82"/>
      <c r="L143" s="82"/>
      <c r="M143" s="136"/>
      <c r="N143" s="136"/>
      <c r="O143" s="136">
        <v>4</v>
      </c>
      <c r="P143" s="136">
        <v>4</v>
      </c>
      <c r="Q143" s="82">
        <v>4</v>
      </c>
      <c r="R143" s="82"/>
      <c r="S143" s="32">
        <f>SUM(DE_AT[[#This Row],[26M04]:[26M06]])</f>
        <v>0</v>
      </c>
      <c r="T143" s="69">
        <f>SUM(DE_AT[[#This Row],[26M07]:[26M09]])</f>
        <v>4</v>
      </c>
      <c r="U143" s="69">
        <f>SUM(DE_AT[[#This Row],[26M10]:[26M12]])</f>
        <v>8</v>
      </c>
      <c r="V143" s="256"/>
      <c r="W143" s="256"/>
      <c r="X143" s="256"/>
      <c r="Y143" s="256"/>
      <c r="Z143" s="256"/>
      <c r="AA143" s="256"/>
      <c r="AB143" s="256">
        <f>SUM(DE_AT[[#This Row],[27M01]:[27M03]])</f>
        <v>0</v>
      </c>
      <c r="AC143" s="256">
        <f>SUM(DE_AT[[#This Row],[27M04]:[27M06]])</f>
        <v>0</v>
      </c>
      <c r="AD143" s="256" t="str">
        <f>IF(SUM(DE_AT[[#This Row],[26Q2]:[26Q4]])+SUM(DE_AT[[#This Row],[27Q1]:[27Q2]])=0,"No FSCT",IF(AND(SUM(DE_AT[[#This Row],[26Q2]:[26Q4]])&gt;0,SUM(DE_AT[[#This Row],[27Q1]:[27Q2]])=0),"YES","NO"))</f>
        <v>YES</v>
      </c>
      <c r="AE143" s="120" t="str">
        <f>VLOOKUP(DE_AT[[#This Row],[Product Line]],Prod_T6[],4,0)</f>
        <v>PV</v>
      </c>
      <c r="AH143" s="2" t="str">
        <v>3 - Negotiation</v>
      </c>
    </row>
    <row r="144" spans="1:34">
      <c r="A144" s="29" t="s">
        <v>32</v>
      </c>
      <c r="B144" s="3" t="s">
        <v>287</v>
      </c>
      <c r="D144" s="275" t="str">
        <f>VLOOKUP(DE_AT[[#This Row],[Product Line]],Prod_T6[],5,0)</f>
        <v>TCL</v>
      </c>
      <c r="E144" s="2" t="s">
        <v>149</v>
      </c>
      <c r="F144" s="2" t="s">
        <v>289</v>
      </c>
      <c r="G144" s="2" t="s">
        <v>136</v>
      </c>
      <c r="H144" s="62" t="s">
        <v>290</v>
      </c>
      <c r="I144" s="281" t="s">
        <v>132</v>
      </c>
      <c r="J144" s="82"/>
      <c r="K144" s="82"/>
      <c r="L144" s="82"/>
      <c r="M144" s="136"/>
      <c r="N144" s="136"/>
      <c r="O144" s="136">
        <v>20</v>
      </c>
      <c r="P144" s="136">
        <v>20</v>
      </c>
      <c r="Q144" s="82">
        <v>20</v>
      </c>
      <c r="R144" s="82"/>
      <c r="S144" s="32">
        <f>SUM(DE_AT[[#This Row],[26M04]:[26M06]])</f>
        <v>0</v>
      </c>
      <c r="T144" s="69">
        <f>SUM(DE_AT[[#This Row],[26M07]:[26M09]])</f>
        <v>20</v>
      </c>
      <c r="U144" s="69">
        <f>SUM(DE_AT[[#This Row],[26M10]:[26M12]])</f>
        <v>40</v>
      </c>
      <c r="V144" s="256"/>
      <c r="W144" s="256"/>
      <c r="X144" s="256"/>
      <c r="Y144" s="256"/>
      <c r="Z144" s="256"/>
      <c r="AA144" s="256"/>
      <c r="AB144" s="256">
        <f>SUM(DE_AT[[#This Row],[27M01]:[27M03]])</f>
        <v>0</v>
      </c>
      <c r="AC144" s="256">
        <f>SUM(DE_AT[[#This Row],[27M04]:[27M06]])</f>
        <v>0</v>
      </c>
      <c r="AD144" s="256" t="str">
        <f>IF(SUM(DE_AT[[#This Row],[26Q2]:[26Q4]])+SUM(DE_AT[[#This Row],[27Q1]:[27Q2]])=0,"No FSCT",IF(AND(SUM(DE_AT[[#This Row],[26Q2]:[26Q4]])&gt;0,SUM(DE_AT[[#This Row],[27Q1]:[27Q2]])=0),"YES","NO"))</f>
        <v>YES</v>
      </c>
      <c r="AE144" s="120" t="str">
        <f>VLOOKUP(DE_AT[[#This Row],[Product Line]],Prod_T6[],4,0)</f>
        <v>PV</v>
      </c>
      <c r="AH144" s="2" t="str">
        <v>3 - Negotiation</v>
      </c>
    </row>
    <row r="145" spans="1:34">
      <c r="A145" s="29" t="s">
        <v>32</v>
      </c>
      <c r="B145" s="3" t="s">
        <v>287</v>
      </c>
      <c r="D145" s="275" t="str">
        <f>VLOOKUP(DE_AT[[#This Row],[Product Line]],Prod_T6[],5,0)</f>
        <v>Sunpower</v>
      </c>
      <c r="E145" s="2" t="s">
        <v>134</v>
      </c>
      <c r="F145" s="2" t="s">
        <v>135</v>
      </c>
      <c r="G145" s="2" t="s">
        <v>136</v>
      </c>
      <c r="H145" s="62" t="s">
        <v>291</v>
      </c>
      <c r="I145" s="281" t="s">
        <v>132</v>
      </c>
      <c r="J145" s="82"/>
      <c r="K145" s="82"/>
      <c r="L145" s="82"/>
      <c r="M145" s="136"/>
      <c r="N145" s="136"/>
      <c r="O145" s="136">
        <v>1</v>
      </c>
      <c r="P145" s="136">
        <v>1</v>
      </c>
      <c r="Q145" s="82">
        <v>1</v>
      </c>
      <c r="R145" s="82"/>
      <c r="S145" s="32">
        <f>SUM(DE_AT[[#This Row],[26M04]:[26M06]])</f>
        <v>0</v>
      </c>
      <c r="T145" s="69">
        <f>SUM(DE_AT[[#This Row],[26M07]:[26M09]])</f>
        <v>1</v>
      </c>
      <c r="U145" s="69">
        <f>SUM(DE_AT[[#This Row],[26M10]:[26M12]])</f>
        <v>2</v>
      </c>
      <c r="V145" s="256"/>
      <c r="W145" s="256"/>
      <c r="X145" s="256"/>
      <c r="Y145" s="256"/>
      <c r="Z145" s="256"/>
      <c r="AA145" s="256"/>
      <c r="AB145" s="256">
        <f>SUM(DE_AT[[#This Row],[27M01]:[27M03]])</f>
        <v>0</v>
      </c>
      <c r="AC145" s="256">
        <f>SUM(DE_AT[[#This Row],[27M04]:[27M06]])</f>
        <v>0</v>
      </c>
      <c r="AD145" s="256" t="str">
        <f>IF(SUM(DE_AT[[#This Row],[26Q2]:[26Q4]])+SUM(DE_AT[[#This Row],[27Q1]:[27Q2]])=0,"No FSCT",IF(AND(SUM(DE_AT[[#This Row],[26Q2]:[26Q4]])&gt;0,SUM(DE_AT[[#This Row],[27Q1]:[27Q2]])=0),"YES","NO"))</f>
        <v>YES</v>
      </c>
      <c r="AE145" s="120" t="str">
        <f>VLOOKUP(DE_AT[[#This Row],[Product Line]],Prod_T6[],4,0)</f>
        <v>PV</v>
      </c>
      <c r="AH145" s="2" t="str">
        <v>3 - Negotiation</v>
      </c>
    </row>
    <row r="146" spans="1:34">
      <c r="A146" s="29" t="s">
        <v>32</v>
      </c>
      <c r="B146" s="2" t="s">
        <v>292</v>
      </c>
      <c r="C146" s="3" t="s">
        <v>293</v>
      </c>
      <c r="D146" s="275" t="str">
        <f>VLOOKUP(DE_AT[[#This Row],[Product Line]],Prod_T6[],5,0)</f>
        <v>TCL</v>
      </c>
      <c r="E146" s="2" t="s">
        <v>113</v>
      </c>
      <c r="F146" s="2" t="s">
        <v>153</v>
      </c>
      <c r="G146" s="2" t="s">
        <v>136</v>
      </c>
      <c r="H146" s="62" t="s">
        <v>293</v>
      </c>
      <c r="I146" s="43" t="s">
        <v>132</v>
      </c>
      <c r="J146" s="82"/>
      <c r="K146" s="82"/>
      <c r="L146" s="82"/>
      <c r="M146" s="136"/>
      <c r="N146" s="136"/>
      <c r="O146" s="136">
        <v>0</v>
      </c>
      <c r="P146" s="136">
        <v>1</v>
      </c>
      <c r="Q146" s="82">
        <v>3</v>
      </c>
      <c r="R146" s="82">
        <v>3</v>
      </c>
      <c r="S146" s="32">
        <f>SUM(DE_AT[[#This Row],[26M04]:[26M06]])</f>
        <v>0</v>
      </c>
      <c r="T146" s="69">
        <f>SUM(DE_AT[[#This Row],[26M07]:[26M09]])</f>
        <v>0</v>
      </c>
      <c r="U146" s="69">
        <f>SUM(DE_AT[[#This Row],[26M10]:[26M12]])</f>
        <v>7</v>
      </c>
      <c r="V146" s="256"/>
      <c r="W146" s="256"/>
      <c r="X146" s="256"/>
      <c r="Y146" s="256"/>
      <c r="Z146" s="256"/>
      <c r="AA146" s="256"/>
      <c r="AB146" s="256">
        <f>SUM(DE_AT[[#This Row],[27M01]:[27M03]])</f>
        <v>0</v>
      </c>
      <c r="AC146" s="256">
        <f>SUM(DE_AT[[#This Row],[27M04]:[27M06]])</f>
        <v>0</v>
      </c>
      <c r="AD146" s="256" t="str">
        <f>IF(SUM(DE_AT[[#This Row],[26Q2]:[26Q4]])+SUM(DE_AT[[#This Row],[27Q1]:[27Q2]])=0,"No FSCT",IF(AND(SUM(DE_AT[[#This Row],[26Q2]:[26Q4]])&gt;0,SUM(DE_AT[[#This Row],[27Q1]:[27Q2]])=0),"YES","NO"))</f>
        <v>YES</v>
      </c>
      <c r="AE146" s="120" t="str">
        <f>VLOOKUP(DE_AT[[#This Row],[Product Line]],Prod_T6[],4,0)</f>
        <v>PV</v>
      </c>
      <c r="AH146" s="2" t="str">
        <v>3 - Negotiation</v>
      </c>
    </row>
    <row r="147" spans="1:34">
      <c r="A147" s="29" t="s">
        <v>32</v>
      </c>
      <c r="B147" s="2" t="s">
        <v>292</v>
      </c>
      <c r="C147" s="3" t="s">
        <v>294</v>
      </c>
      <c r="D147" s="275" t="str">
        <f>VLOOKUP(DE_AT[[#This Row],[Product Line]],Prod_T6[],5,0)</f>
        <v>TCL</v>
      </c>
      <c r="E147" s="2" t="s">
        <v>113</v>
      </c>
      <c r="F147" s="2" t="s">
        <v>153</v>
      </c>
      <c r="G147" s="2" t="s">
        <v>136</v>
      </c>
      <c r="H147" s="62" t="s">
        <v>295</v>
      </c>
      <c r="I147" s="40" t="s">
        <v>117</v>
      </c>
      <c r="J147" s="82"/>
      <c r="K147" s="82"/>
      <c r="L147" s="82"/>
      <c r="M147" s="136"/>
      <c r="N147" s="136"/>
      <c r="O147" s="136">
        <v>0</v>
      </c>
      <c r="P147" s="136">
        <v>1</v>
      </c>
      <c r="Q147" s="82">
        <v>1</v>
      </c>
      <c r="R147" s="82">
        <v>1</v>
      </c>
      <c r="S147" s="32">
        <f>SUM(DE_AT[[#This Row],[26M04]:[26M06]])</f>
        <v>0</v>
      </c>
      <c r="T147" s="69">
        <f>SUM(DE_AT[[#This Row],[26M07]:[26M09]])</f>
        <v>0</v>
      </c>
      <c r="U147" s="69">
        <f>SUM(DE_AT[[#This Row],[26M10]:[26M12]])</f>
        <v>3</v>
      </c>
      <c r="V147" s="256"/>
      <c r="W147" s="256"/>
      <c r="X147" s="256"/>
      <c r="Y147" s="256"/>
      <c r="Z147" s="256"/>
      <c r="AA147" s="256"/>
      <c r="AB147" s="256">
        <f>SUM(DE_AT[[#This Row],[27M01]:[27M03]])</f>
        <v>0</v>
      </c>
      <c r="AC147" s="256">
        <f>SUM(DE_AT[[#This Row],[27M04]:[27M06]])</f>
        <v>0</v>
      </c>
      <c r="AD147" s="256" t="str">
        <f>IF(SUM(DE_AT[[#This Row],[26Q2]:[26Q4]])+SUM(DE_AT[[#This Row],[27Q1]:[27Q2]])=0,"No FSCT",IF(AND(SUM(DE_AT[[#This Row],[26Q2]:[26Q4]])&gt;0,SUM(DE_AT[[#This Row],[27Q1]:[27Q2]])=0),"YES","NO"))</f>
        <v>YES</v>
      </c>
      <c r="AE147" s="120" t="str">
        <f>VLOOKUP(DE_AT[[#This Row],[Product Line]],Prod_T6[],4,0)</f>
        <v>PV</v>
      </c>
      <c r="AH147" s="2" t="str">
        <v>3 - Negotiation</v>
      </c>
    </row>
    <row r="148" spans="1:34">
      <c r="A148" s="29" t="s">
        <v>32</v>
      </c>
      <c r="B148" s="2" t="s">
        <v>292</v>
      </c>
      <c r="C148" s="3" t="s">
        <v>294</v>
      </c>
      <c r="D148" s="275" t="str">
        <f>VLOOKUP(DE_AT[[#This Row],[Product Line]],Prod_T6[],5,0)</f>
        <v>TCL</v>
      </c>
      <c r="E148" s="2" t="s">
        <v>113</v>
      </c>
      <c r="F148" s="2" t="s">
        <v>182</v>
      </c>
      <c r="G148" s="2" t="s">
        <v>136</v>
      </c>
      <c r="H148" s="62" t="s">
        <v>296</v>
      </c>
      <c r="I148" s="40" t="s">
        <v>117</v>
      </c>
      <c r="J148" s="82"/>
      <c r="K148" s="82"/>
      <c r="L148" s="82"/>
      <c r="M148" s="136"/>
      <c r="N148" s="136"/>
      <c r="O148" s="136">
        <v>2</v>
      </c>
      <c r="P148" s="136">
        <v>2</v>
      </c>
      <c r="Q148" s="82">
        <v>2</v>
      </c>
      <c r="R148" s="82"/>
      <c r="S148" s="32">
        <f>SUM(DE_AT[[#This Row],[26M04]:[26M06]])</f>
        <v>0</v>
      </c>
      <c r="T148" s="69">
        <f>SUM(DE_AT[[#This Row],[26M07]:[26M09]])</f>
        <v>2</v>
      </c>
      <c r="U148" s="69">
        <f>SUM(DE_AT[[#This Row],[26M10]:[26M12]])</f>
        <v>4</v>
      </c>
      <c r="V148" s="256"/>
      <c r="W148" s="256"/>
      <c r="X148" s="256"/>
      <c r="Y148" s="256"/>
      <c r="Z148" s="256"/>
      <c r="AA148" s="256"/>
      <c r="AB148" s="256">
        <f>SUM(DE_AT[[#This Row],[27M01]:[27M03]])</f>
        <v>0</v>
      </c>
      <c r="AC148" s="256">
        <f>SUM(DE_AT[[#This Row],[27M04]:[27M06]])</f>
        <v>0</v>
      </c>
      <c r="AD148" s="256" t="str">
        <f>IF(SUM(DE_AT[[#This Row],[26Q2]:[26Q4]])+SUM(DE_AT[[#This Row],[27Q1]:[27Q2]])=0,"No FSCT",IF(AND(SUM(DE_AT[[#This Row],[26Q2]:[26Q4]])&gt;0,SUM(DE_AT[[#This Row],[27Q1]:[27Q2]])=0),"YES","NO"))</f>
        <v>YES</v>
      </c>
      <c r="AE148" s="120" t="str">
        <f>VLOOKUP(DE_AT[[#This Row],[Product Line]],Prod_T6[],4,0)</f>
        <v>PV</v>
      </c>
      <c r="AH148" s="2" t="str">
        <v>3 - Negotiation</v>
      </c>
    </row>
    <row r="149" spans="1:34">
      <c r="A149" s="29" t="s">
        <v>32</v>
      </c>
      <c r="B149" s="2" t="s">
        <v>292</v>
      </c>
      <c r="C149" s="3" t="s">
        <v>294</v>
      </c>
      <c r="D149" s="275" t="str">
        <f>VLOOKUP(DE_AT[[#This Row],[Product Line]],Prod_T6[],5,0)</f>
        <v>TCL</v>
      </c>
      <c r="E149" s="2" t="s">
        <v>54</v>
      </c>
      <c r="F149" s="2" t="s">
        <v>297</v>
      </c>
      <c r="G149" s="2" t="s">
        <v>136</v>
      </c>
      <c r="H149" s="62" t="s">
        <v>298</v>
      </c>
      <c r="I149" s="40" t="s">
        <v>117</v>
      </c>
      <c r="J149" s="82"/>
      <c r="K149" s="82"/>
      <c r="L149" s="82"/>
      <c r="M149" s="136"/>
      <c r="N149" s="136"/>
      <c r="O149" s="136">
        <v>2</v>
      </c>
      <c r="P149" s="136">
        <v>2</v>
      </c>
      <c r="Q149" s="82">
        <v>2</v>
      </c>
      <c r="R149" s="82"/>
      <c r="S149" s="32">
        <f>SUM(DE_AT[[#This Row],[26M04]:[26M06]])</f>
        <v>0</v>
      </c>
      <c r="T149" s="69">
        <f>SUM(DE_AT[[#This Row],[26M07]:[26M09]])</f>
        <v>2</v>
      </c>
      <c r="U149" s="69">
        <f>SUM(DE_AT[[#This Row],[26M10]:[26M12]])</f>
        <v>4</v>
      </c>
      <c r="V149" s="256"/>
      <c r="W149" s="256"/>
      <c r="X149" s="256"/>
      <c r="Y149" s="256"/>
      <c r="Z149" s="256"/>
      <c r="AA149" s="256"/>
      <c r="AB149" s="256">
        <f>SUM(DE_AT[[#This Row],[27M01]:[27M03]])</f>
        <v>0</v>
      </c>
      <c r="AC149" s="256">
        <f>SUM(DE_AT[[#This Row],[27M04]:[27M06]])</f>
        <v>0</v>
      </c>
      <c r="AD149" s="256" t="str">
        <f>IF(SUM(DE_AT[[#This Row],[26Q2]:[26Q4]])+SUM(DE_AT[[#This Row],[27Q1]:[27Q2]])=0,"No FSCT",IF(AND(SUM(DE_AT[[#This Row],[26Q2]:[26Q4]])&gt;0,SUM(DE_AT[[#This Row],[27Q1]:[27Q2]])=0),"YES","NO"))</f>
        <v>YES</v>
      </c>
      <c r="AE149" s="120" t="str">
        <f>VLOOKUP(DE_AT[[#This Row],[Product Line]],Prod_T6[],4,0)</f>
        <v>PV</v>
      </c>
      <c r="AH149" s="2" t="str">
        <v>3 - Negotiation</v>
      </c>
    </row>
    <row r="150" spans="1:34">
      <c r="A150" s="29" t="s">
        <v>32</v>
      </c>
      <c r="B150" s="2" t="s">
        <v>292</v>
      </c>
      <c r="C150" s="3" t="s">
        <v>294</v>
      </c>
      <c r="D150" s="275" t="str">
        <f>VLOOKUP(DE_AT[[#This Row],[Product Line]],Prod_T6[],5,0)</f>
        <v>TCL</v>
      </c>
      <c r="E150" s="2" t="s">
        <v>54</v>
      </c>
      <c r="F150" s="2" t="s">
        <v>299</v>
      </c>
      <c r="G150" s="2" t="s">
        <v>136</v>
      </c>
      <c r="H150" s="62" t="s">
        <v>288</v>
      </c>
      <c r="I150" s="40" t="s">
        <v>117</v>
      </c>
      <c r="J150" s="82"/>
      <c r="K150" s="82"/>
      <c r="L150" s="82"/>
      <c r="M150" s="136"/>
      <c r="N150" s="136"/>
      <c r="O150" s="136">
        <v>2</v>
      </c>
      <c r="P150" s="136">
        <v>2</v>
      </c>
      <c r="Q150" s="82">
        <v>2</v>
      </c>
      <c r="R150" s="82"/>
      <c r="S150" s="32">
        <f>SUM(DE_AT[[#This Row],[26M04]:[26M06]])</f>
        <v>0</v>
      </c>
      <c r="T150" s="69">
        <f>SUM(DE_AT[[#This Row],[26M07]:[26M09]])</f>
        <v>2</v>
      </c>
      <c r="U150" s="69">
        <f>SUM(DE_AT[[#This Row],[26M10]:[26M12]])</f>
        <v>4</v>
      </c>
      <c r="V150" s="256"/>
      <c r="W150" s="256"/>
      <c r="X150" s="256"/>
      <c r="Y150" s="256"/>
      <c r="Z150" s="256"/>
      <c r="AA150" s="256"/>
      <c r="AB150" s="256">
        <f>SUM(DE_AT[[#This Row],[27M01]:[27M03]])</f>
        <v>0</v>
      </c>
      <c r="AC150" s="256">
        <f>SUM(DE_AT[[#This Row],[27M04]:[27M06]])</f>
        <v>0</v>
      </c>
      <c r="AD150" s="256" t="str">
        <f>IF(SUM(DE_AT[[#This Row],[26Q2]:[26Q4]])+SUM(DE_AT[[#This Row],[27Q1]:[27Q2]])=0,"No FSCT",IF(AND(SUM(DE_AT[[#This Row],[26Q2]:[26Q4]])&gt;0,SUM(DE_AT[[#This Row],[27Q1]:[27Q2]])=0),"YES","NO"))</f>
        <v>YES</v>
      </c>
      <c r="AE150" s="120" t="str">
        <f>VLOOKUP(DE_AT[[#This Row],[Product Line]],Prod_T6[],4,0)</f>
        <v>PV</v>
      </c>
      <c r="AH150" s="2" t="str">
        <v>3 - Negotiation</v>
      </c>
    </row>
    <row r="151" spans="1:34">
      <c r="A151" s="29" t="s">
        <v>32</v>
      </c>
      <c r="B151" s="2" t="s">
        <v>300</v>
      </c>
      <c r="C151" s="3" t="s">
        <v>301</v>
      </c>
      <c r="D151" s="275" t="str">
        <f>VLOOKUP(DE_AT[[#This Row],[Product Line]],Prod_T6[],5,0)</f>
        <v>TCL</v>
      </c>
      <c r="E151" s="2" t="s">
        <v>113</v>
      </c>
      <c r="F151" s="2" t="s">
        <v>153</v>
      </c>
      <c r="G151" s="2" t="s">
        <v>136</v>
      </c>
      <c r="H151" s="62" t="s">
        <v>293</v>
      </c>
      <c r="I151" s="40" t="s">
        <v>117</v>
      </c>
      <c r="J151" s="13"/>
      <c r="K151" s="13"/>
      <c r="L151" s="13"/>
      <c r="M151" s="13"/>
      <c r="N151" s="13"/>
      <c r="O151" s="13">
        <v>0</v>
      </c>
      <c r="P151" s="13">
        <v>2</v>
      </c>
      <c r="Q151" s="13">
        <v>1</v>
      </c>
      <c r="R151" s="13">
        <v>1</v>
      </c>
      <c r="S151" s="32">
        <f>SUM(DE_AT[[#This Row],[26M04]:[26M06]])</f>
        <v>0</v>
      </c>
      <c r="T151" s="69">
        <f>SUM(DE_AT[[#This Row],[26M07]:[26M09]])</f>
        <v>0</v>
      </c>
      <c r="U151" s="69">
        <f>SUM(DE_AT[[#This Row],[26M10]:[26M12]])</f>
        <v>4</v>
      </c>
      <c r="V151" s="256"/>
      <c r="W151" s="256"/>
      <c r="X151" s="256"/>
      <c r="Y151" s="256"/>
      <c r="Z151" s="256"/>
      <c r="AA151" s="256"/>
      <c r="AB151" s="256">
        <f>SUM(DE_AT[[#This Row],[27M01]:[27M03]])</f>
        <v>0</v>
      </c>
      <c r="AC151" s="256">
        <f>SUM(DE_AT[[#This Row],[27M04]:[27M06]])</f>
        <v>0</v>
      </c>
      <c r="AD151" s="256" t="str">
        <f>IF(SUM(DE_AT[[#This Row],[26Q2]:[26Q4]])+SUM(DE_AT[[#This Row],[27Q1]:[27Q2]])=0,"No FSCT",IF(AND(SUM(DE_AT[[#This Row],[26Q2]:[26Q4]])&gt;0,SUM(DE_AT[[#This Row],[27Q1]:[27Q2]])=0),"YES","NO"))</f>
        <v>YES</v>
      </c>
      <c r="AE151" s="120" t="str">
        <f>VLOOKUP(DE_AT[[#This Row],[Product Line]],Prod_T6[],4,0)</f>
        <v>PV</v>
      </c>
      <c r="AH151" s="2" t="str">
        <v>3 - Negotiation</v>
      </c>
    </row>
    <row r="152" spans="1:34">
      <c r="A152" s="29" t="s">
        <v>32</v>
      </c>
      <c r="B152" s="2" t="s">
        <v>300</v>
      </c>
      <c r="C152" s="3" t="s">
        <v>301</v>
      </c>
      <c r="D152" s="275" t="str">
        <f>VLOOKUP(DE_AT[[#This Row],[Product Line]],Prod_T6[],5,0)</f>
        <v>TCL</v>
      </c>
      <c r="E152" s="2" t="s">
        <v>54</v>
      </c>
      <c r="F152" s="2" t="s">
        <v>297</v>
      </c>
      <c r="G152" s="2" t="s">
        <v>136</v>
      </c>
      <c r="H152" s="62" t="s">
        <v>298</v>
      </c>
      <c r="I152" s="40" t="s">
        <v>117</v>
      </c>
      <c r="J152" s="13"/>
      <c r="K152" s="13"/>
      <c r="L152" s="13"/>
      <c r="M152" s="13"/>
      <c r="N152" s="13"/>
      <c r="O152" s="13">
        <v>1</v>
      </c>
      <c r="P152" s="13">
        <v>1</v>
      </c>
      <c r="Q152" s="13">
        <v>1</v>
      </c>
      <c r="R152" s="13"/>
      <c r="S152" s="32">
        <f>SUM(DE_AT[[#This Row],[26M04]:[26M06]])</f>
        <v>0</v>
      </c>
      <c r="T152" s="69">
        <f>SUM(DE_AT[[#This Row],[26M07]:[26M09]])</f>
        <v>1</v>
      </c>
      <c r="U152" s="69">
        <f>SUM(DE_AT[[#This Row],[26M10]:[26M12]])</f>
        <v>2</v>
      </c>
      <c r="V152" s="256"/>
      <c r="W152" s="256"/>
      <c r="X152" s="256"/>
      <c r="Y152" s="256"/>
      <c r="Z152" s="256"/>
      <c r="AA152" s="256"/>
      <c r="AB152" s="256">
        <f>SUM(DE_AT[[#This Row],[27M01]:[27M03]])</f>
        <v>0</v>
      </c>
      <c r="AC152" s="256">
        <f>SUM(DE_AT[[#This Row],[27M04]:[27M06]])</f>
        <v>0</v>
      </c>
      <c r="AD152" s="256" t="str">
        <f>IF(SUM(DE_AT[[#This Row],[26Q2]:[26Q4]])+SUM(DE_AT[[#This Row],[27Q1]:[27Q2]])=0,"No FSCT",IF(AND(SUM(DE_AT[[#This Row],[26Q2]:[26Q4]])&gt;0,SUM(DE_AT[[#This Row],[27Q1]:[27Q2]])=0),"YES","NO"))</f>
        <v>YES</v>
      </c>
      <c r="AE152" s="120" t="str">
        <f>VLOOKUP(DE_AT[[#This Row],[Product Line]],Prod_T6[],4,0)</f>
        <v>PV</v>
      </c>
      <c r="AH152" s="2" t="str">
        <v>3 - Negotiation</v>
      </c>
    </row>
    <row r="153" spans="1:34">
      <c r="A153" s="29" t="s">
        <v>32</v>
      </c>
      <c r="B153" s="2" t="s">
        <v>300</v>
      </c>
      <c r="C153" s="3" t="s">
        <v>301</v>
      </c>
      <c r="D153" s="275" t="str">
        <f>VLOOKUP(DE_AT[[#This Row],[Product Line]],Prod_T6[],5,0)</f>
        <v>TCL</v>
      </c>
      <c r="E153" s="2" t="s">
        <v>54</v>
      </c>
      <c r="F153" s="2" t="s">
        <v>299</v>
      </c>
      <c r="G153" s="2" t="s">
        <v>136</v>
      </c>
      <c r="H153" s="62" t="s">
        <v>288</v>
      </c>
      <c r="I153" s="40" t="s">
        <v>117</v>
      </c>
      <c r="J153" s="13"/>
      <c r="K153" s="13"/>
      <c r="L153" s="13"/>
      <c r="M153" s="13"/>
      <c r="N153" s="13"/>
      <c r="O153" s="13">
        <v>1</v>
      </c>
      <c r="P153" s="13">
        <v>1</v>
      </c>
      <c r="Q153" s="13">
        <v>1</v>
      </c>
      <c r="R153" s="13"/>
      <c r="S153" s="32">
        <f>SUM(DE_AT[[#This Row],[26M04]:[26M06]])</f>
        <v>0</v>
      </c>
      <c r="T153" s="69">
        <f>SUM(DE_AT[[#This Row],[26M07]:[26M09]])</f>
        <v>1</v>
      </c>
      <c r="U153" s="69">
        <f>SUM(DE_AT[[#This Row],[26M10]:[26M12]])</f>
        <v>2</v>
      </c>
      <c r="V153" s="256"/>
      <c r="W153" s="256"/>
      <c r="X153" s="256"/>
      <c r="Y153" s="256"/>
      <c r="Z153" s="256"/>
      <c r="AA153" s="256"/>
      <c r="AB153" s="256">
        <f>SUM(DE_AT[[#This Row],[27M01]:[27M03]])</f>
        <v>0</v>
      </c>
      <c r="AC153" s="256">
        <f>SUM(DE_AT[[#This Row],[27M04]:[27M06]])</f>
        <v>0</v>
      </c>
      <c r="AD153" s="256" t="str">
        <f>IF(SUM(DE_AT[[#This Row],[26Q2]:[26Q4]])+SUM(DE_AT[[#This Row],[27Q1]:[27Q2]])=0,"No FSCT",IF(AND(SUM(DE_AT[[#This Row],[26Q2]:[26Q4]])&gt;0,SUM(DE_AT[[#This Row],[27Q1]:[27Q2]])=0),"YES","NO"))</f>
        <v>YES</v>
      </c>
      <c r="AE153" s="120" t="str">
        <f>VLOOKUP(DE_AT[[#This Row],[Product Line]],Prod_T6[],4,0)</f>
        <v>PV</v>
      </c>
      <c r="AH153" s="2" t="str">
        <v>3 - Negotiation</v>
      </c>
    </row>
    <row r="154" spans="1:34" hidden="1">
      <c r="A154" s="29" t="s">
        <v>32</v>
      </c>
      <c r="B154" s="3" t="s">
        <v>302</v>
      </c>
      <c r="D154" s="275" t="str">
        <f>VLOOKUP(DE_AT[[#This Row],[Product Line]],Prod_T6[],5,0)</f>
        <v>TCL</v>
      </c>
      <c r="E154" s="2" t="s">
        <v>54</v>
      </c>
      <c r="F154" s="2" t="s">
        <v>129</v>
      </c>
      <c r="G154" s="2" t="s">
        <v>115</v>
      </c>
      <c r="H154" s="62"/>
      <c r="I154" s="40" t="s">
        <v>117</v>
      </c>
      <c r="J154" s="82"/>
      <c r="K154" s="82"/>
      <c r="L154" s="82"/>
      <c r="M154" s="13"/>
      <c r="N154" s="13"/>
      <c r="O154" s="82">
        <v>10</v>
      </c>
      <c r="P154" s="82">
        <v>10</v>
      </c>
      <c r="Q154" s="82">
        <v>10</v>
      </c>
      <c r="R154" s="82">
        <v>20</v>
      </c>
      <c r="S154" s="32">
        <f>SUM(DE_AT[[#This Row],[26M04]:[26M06]])</f>
        <v>0</v>
      </c>
      <c r="T154" s="69">
        <f>SUM(DE_AT[[#This Row],[26M07]:[26M09]])</f>
        <v>10</v>
      </c>
      <c r="U154" s="69">
        <f>SUM(DE_AT[[#This Row],[26M10]:[26M12]])</f>
        <v>40</v>
      </c>
      <c r="V154" s="256"/>
      <c r="W154" s="256"/>
      <c r="X154" s="256"/>
      <c r="Y154" s="256"/>
      <c r="Z154" s="256"/>
      <c r="AA154" s="256"/>
      <c r="AB154" s="256">
        <f>SUM(DE_AT[[#This Row],[27M01]:[27M03]])</f>
        <v>0</v>
      </c>
      <c r="AC154" s="256">
        <f>SUM(DE_AT[[#This Row],[27M04]:[27M06]])</f>
        <v>0</v>
      </c>
      <c r="AD154" s="256" t="str">
        <f>IF(SUM(DE_AT[[#This Row],[26Q2]:[26Q4]])+SUM(DE_AT[[#This Row],[27Q1]:[27Q2]])=0,"No FSCT",IF(AND(SUM(DE_AT[[#This Row],[26Q2]:[26Q4]])&gt;0,SUM(DE_AT[[#This Row],[27Q1]:[27Q2]])=0),"YES","NO"))</f>
        <v>YES</v>
      </c>
      <c r="AE154" s="120" t="str">
        <f>VLOOKUP(DE_AT[[#This Row],[Product Line]],Prod_T6[],4,0)</f>
        <v>PV</v>
      </c>
      <c r="AH154" s="2" t="str">
        <v>2 - Initial offer</v>
      </c>
    </row>
    <row r="155" spans="1:34" hidden="1">
      <c r="A155" s="29" t="s">
        <v>32</v>
      </c>
      <c r="B155" s="3" t="s">
        <v>302</v>
      </c>
      <c r="D155" s="275" t="str">
        <f>VLOOKUP(DE_AT[[#This Row],[Product Line]],Prod_T6[],5,0)</f>
        <v>TCL</v>
      </c>
      <c r="E155" s="2" t="s">
        <v>54</v>
      </c>
      <c r="F155" s="2" t="s">
        <v>121</v>
      </c>
      <c r="G155" s="2" t="s">
        <v>115</v>
      </c>
      <c r="H155" s="62"/>
      <c r="I155" s="40" t="s">
        <v>117</v>
      </c>
      <c r="J155" s="82"/>
      <c r="K155" s="82"/>
      <c r="L155" s="82"/>
      <c r="M155" s="13"/>
      <c r="N155" s="13"/>
      <c r="O155" s="82">
        <v>10</v>
      </c>
      <c r="P155" s="82">
        <v>10</v>
      </c>
      <c r="Q155" s="82">
        <v>10</v>
      </c>
      <c r="R155" s="82">
        <v>70</v>
      </c>
      <c r="S155" s="32">
        <f>SUM(DE_AT[[#This Row],[26M04]:[26M06]])</f>
        <v>0</v>
      </c>
      <c r="T155" s="69">
        <f>SUM(DE_AT[[#This Row],[26M07]:[26M09]])</f>
        <v>10</v>
      </c>
      <c r="U155" s="69">
        <f>SUM(DE_AT[[#This Row],[26M10]:[26M12]])</f>
        <v>90</v>
      </c>
      <c r="V155" s="256"/>
      <c r="W155" s="256"/>
      <c r="X155" s="256"/>
      <c r="Y155" s="256"/>
      <c r="Z155" s="256"/>
      <c r="AA155" s="256"/>
      <c r="AB155" s="256">
        <f>SUM(DE_AT[[#This Row],[27M01]:[27M03]])</f>
        <v>0</v>
      </c>
      <c r="AC155" s="256">
        <f>SUM(DE_AT[[#This Row],[27M04]:[27M06]])</f>
        <v>0</v>
      </c>
      <c r="AD155" s="256" t="str">
        <f>IF(SUM(DE_AT[[#This Row],[26Q2]:[26Q4]])+SUM(DE_AT[[#This Row],[27Q1]:[27Q2]])=0,"No FSCT",IF(AND(SUM(DE_AT[[#This Row],[26Q2]:[26Q4]])&gt;0,SUM(DE_AT[[#This Row],[27Q1]:[27Q2]])=0),"YES","NO"))</f>
        <v>YES</v>
      </c>
      <c r="AE155" s="120" t="str">
        <f>VLOOKUP(DE_AT[[#This Row],[Product Line]],Prod_T6[],4,0)</f>
        <v>PV</v>
      </c>
      <c r="AH155" s="2" t="str">
        <v>2 - Initial offer</v>
      </c>
    </row>
    <row r="156" spans="1:34" hidden="1">
      <c r="A156" s="29" t="s">
        <v>32</v>
      </c>
      <c r="B156" s="2" t="s">
        <v>303</v>
      </c>
      <c r="D156" s="275" t="str">
        <f>VLOOKUP(DE_AT[[#This Row],[Product Line]],Prod_T6[],5,0)</f>
        <v>TCL</v>
      </c>
      <c r="E156" s="2" t="s">
        <v>54</v>
      </c>
      <c r="F156" s="2" t="s">
        <v>166</v>
      </c>
      <c r="G156" s="2" t="s">
        <v>115</v>
      </c>
      <c r="H156" s="62"/>
      <c r="I156" s="40" t="s">
        <v>117</v>
      </c>
      <c r="J156" s="13"/>
      <c r="K156" s="13"/>
      <c r="L156" s="13"/>
      <c r="M156" s="13"/>
      <c r="N156" s="13"/>
      <c r="O156" s="13"/>
      <c r="P156" s="13"/>
      <c r="Q156" s="13"/>
      <c r="R156" s="13"/>
      <c r="S156" s="32">
        <f>SUM(DE_AT[[#This Row],[26M04]:[26M06]])</f>
        <v>0</v>
      </c>
      <c r="T156" s="69">
        <f>SUM(DE_AT[[#This Row],[26M07]:[26M09]])</f>
        <v>0</v>
      </c>
      <c r="U156" s="69">
        <f>SUM(DE_AT[[#This Row],[26M10]:[26M12]])</f>
        <v>0</v>
      </c>
      <c r="V156" s="256"/>
      <c r="W156" s="256"/>
      <c r="X156" s="256"/>
      <c r="Y156" s="256"/>
      <c r="Z156" s="256"/>
      <c r="AA156" s="256"/>
      <c r="AB156" s="256">
        <f>SUM(DE_AT[[#This Row],[27M01]:[27M03]])</f>
        <v>0</v>
      </c>
      <c r="AC156" s="256">
        <f>SUM(DE_AT[[#This Row],[27M04]:[27M06]])</f>
        <v>0</v>
      </c>
      <c r="AD156" s="256" t="str">
        <f>IF(SUM(DE_AT[[#This Row],[26Q2]:[26Q4]])+SUM(DE_AT[[#This Row],[27Q1]:[27Q2]])=0,"No FSCT",IF(AND(SUM(DE_AT[[#This Row],[26Q2]:[26Q4]])&gt;0,SUM(DE_AT[[#This Row],[27Q1]:[27Q2]])=0),"YES","NO"))</f>
        <v>No FSCT</v>
      </c>
      <c r="AE156" s="120" t="str">
        <f>VLOOKUP(DE_AT[[#This Row],[Product Line]],Prod_T6[],4,0)</f>
        <v>PV</v>
      </c>
      <c r="AH156" s="2" t="str">
        <v>2 - Initial offer</v>
      </c>
    </row>
    <row r="157" spans="1:34">
      <c r="A157" s="29" t="s">
        <v>32</v>
      </c>
      <c r="B157" s="2" t="s">
        <v>304</v>
      </c>
      <c r="D157" s="275" t="str">
        <f>VLOOKUP(DE_AT[[#This Row],[Product Line]],Prod_T6[],5,0)</f>
        <v>TCL</v>
      </c>
      <c r="E157" s="2" t="s">
        <v>54</v>
      </c>
      <c r="F157" s="2" t="s">
        <v>126</v>
      </c>
      <c r="G157" s="2" t="s">
        <v>136</v>
      </c>
      <c r="H157" s="62"/>
      <c r="I157" s="40" t="s">
        <v>117</v>
      </c>
      <c r="J157" s="13"/>
      <c r="K157" s="13"/>
      <c r="L157" s="13"/>
      <c r="M157" s="13"/>
      <c r="N157" s="13"/>
      <c r="O157" s="13"/>
      <c r="P157" s="13"/>
      <c r="Q157" s="13"/>
      <c r="R157" s="13"/>
      <c r="S157" s="32">
        <f>SUM(DE_AT[[#This Row],[26M04]:[26M06]])</f>
        <v>0</v>
      </c>
      <c r="T157" s="69">
        <f>SUM(DE_AT[[#This Row],[26M07]:[26M09]])</f>
        <v>0</v>
      </c>
      <c r="U157" s="69">
        <f>SUM(DE_AT[[#This Row],[26M10]:[26M12]])</f>
        <v>0</v>
      </c>
      <c r="V157" s="256"/>
      <c r="W157" s="256"/>
      <c r="X157" s="256"/>
      <c r="Y157" s="256"/>
      <c r="Z157" s="256"/>
      <c r="AA157" s="256"/>
      <c r="AB157" s="256">
        <f>SUM(DE_AT[[#This Row],[27M01]:[27M03]])</f>
        <v>0</v>
      </c>
      <c r="AC157" s="256">
        <f>SUM(DE_AT[[#This Row],[27M04]:[27M06]])</f>
        <v>0</v>
      </c>
      <c r="AD157" s="256" t="str">
        <f>IF(SUM(DE_AT[[#This Row],[26Q2]:[26Q4]])+SUM(DE_AT[[#This Row],[27Q1]:[27Q2]])=0,"No FSCT",IF(AND(SUM(DE_AT[[#This Row],[26Q2]:[26Q4]])&gt;0,SUM(DE_AT[[#This Row],[27Q1]:[27Q2]])=0),"YES","NO"))</f>
        <v>No FSCT</v>
      </c>
      <c r="AE157" s="120" t="str">
        <f>VLOOKUP(DE_AT[[#This Row],[Product Line]],Prod_T6[],4,0)</f>
        <v>PV</v>
      </c>
      <c r="AH157" s="2" t="str">
        <v>3 - Negotiation</v>
      </c>
    </row>
    <row r="158" spans="1:34" hidden="1">
      <c r="A158" s="29" t="s">
        <v>32</v>
      </c>
      <c r="B158" s="2" t="s">
        <v>338</v>
      </c>
      <c r="D158" s="275" t="str">
        <f>VLOOKUP(DE_AT[[#This Row],[Product Line]],Prod_T6[],5,0)</f>
        <v>TCL</v>
      </c>
      <c r="E158" s="2" t="s">
        <v>54</v>
      </c>
      <c r="F158" s="2" t="s">
        <v>339</v>
      </c>
      <c r="G158" s="2" t="s">
        <v>115</v>
      </c>
      <c r="H158" s="62"/>
      <c r="I158" s="40" t="s">
        <v>117</v>
      </c>
      <c r="J158" s="13"/>
      <c r="K158" s="13"/>
      <c r="L158" s="13"/>
      <c r="M158" s="13"/>
      <c r="N158" s="13"/>
      <c r="O158" s="13"/>
      <c r="P158" s="13"/>
      <c r="Q158" s="13"/>
      <c r="R158" s="13"/>
      <c r="S158" s="32">
        <f>SUM(DE_AT[[#This Row],[26M04]:[26M06]])</f>
        <v>0</v>
      </c>
      <c r="T158" s="69">
        <f>SUM(DE_AT[[#This Row],[26M07]:[26M09]])</f>
        <v>0</v>
      </c>
      <c r="U158" s="69">
        <f>SUM(DE_AT[[#This Row],[26M10]:[26M12]])</f>
        <v>0</v>
      </c>
      <c r="V158" s="256"/>
      <c r="W158" s="256"/>
      <c r="X158" s="256"/>
      <c r="Y158" s="256"/>
      <c r="Z158" s="256"/>
      <c r="AA158" s="256"/>
      <c r="AB158" s="256">
        <f>SUM(DE_AT[[#This Row],[27M01]:[27M03]])</f>
        <v>0</v>
      </c>
      <c r="AC158" s="256">
        <f>SUM(DE_AT[[#This Row],[27M04]:[27M06]])</f>
        <v>0</v>
      </c>
      <c r="AD158" s="256" t="str">
        <f>IF(SUM(DE_AT[[#This Row],[26Q2]:[26Q4]])+SUM(DE_AT[[#This Row],[27Q1]:[27Q2]])=0,"No FSCT",IF(AND(SUM(DE_AT[[#This Row],[26Q2]:[26Q4]])&gt;0,SUM(DE_AT[[#This Row],[27Q1]:[27Q2]])=0),"YES","NO"))</f>
        <v>No FSCT</v>
      </c>
      <c r="AE158" s="120" t="str">
        <f>VLOOKUP(DE_AT[[#This Row],[Product Line]],Prod_T6[],4,0)</f>
        <v>PV</v>
      </c>
      <c r="AH158" s="2" t="str">
        <v>2 - Initial offer</v>
      </c>
    </row>
    <row r="159" spans="1:34" hidden="1">
      <c r="A159" s="29" t="s">
        <v>124</v>
      </c>
      <c r="B159" s="2" t="s">
        <v>125</v>
      </c>
      <c r="D159" s="275" t="str">
        <f>VLOOKUP(DE_AT[[#This Row],[Product Line]],Prod_T6[],5,0)</f>
        <v>TCL</v>
      </c>
      <c r="E159" s="2" t="s">
        <v>54</v>
      </c>
      <c r="F159" s="2" t="s">
        <v>126</v>
      </c>
      <c r="G159" s="2" t="s">
        <v>115</v>
      </c>
      <c r="H159" s="62"/>
      <c r="I159" s="40" t="s">
        <v>117</v>
      </c>
      <c r="J159" s="13"/>
      <c r="K159" s="13"/>
      <c r="L159" s="13"/>
      <c r="M159" s="13"/>
      <c r="N159" s="13"/>
      <c r="O159" s="13"/>
      <c r="P159" s="13"/>
      <c r="Q159" s="13"/>
      <c r="R159" s="13"/>
      <c r="S159" s="32">
        <f>SUM(DE_AT[[#This Row],[26M04]:[26M06]])</f>
        <v>0</v>
      </c>
      <c r="T159" s="69">
        <f>SUM(DE_AT[[#This Row],[26M07]:[26M09]])</f>
        <v>0</v>
      </c>
      <c r="U159" s="69">
        <f>SUM(DE_AT[[#This Row],[26M10]:[26M12]])</f>
        <v>0</v>
      </c>
      <c r="V159" s="256"/>
      <c r="W159" s="256"/>
      <c r="X159" s="256"/>
      <c r="Y159" s="256"/>
      <c r="Z159" s="256"/>
      <c r="AA159" s="256"/>
      <c r="AB159" s="256">
        <f>SUM(DE_AT[[#This Row],[27M01]:[27M03]])</f>
        <v>0</v>
      </c>
      <c r="AC159" s="256">
        <f>SUM(DE_AT[[#This Row],[27M04]:[27M06]])</f>
        <v>0</v>
      </c>
      <c r="AD159" s="256" t="str">
        <f>IF(SUM(DE_AT[[#This Row],[26Q2]:[26Q4]])+SUM(DE_AT[[#This Row],[27Q1]:[27Q2]])=0,"No FSCT",IF(AND(SUM(DE_AT[[#This Row],[26Q2]:[26Q4]])&gt;0,SUM(DE_AT[[#This Row],[27Q1]:[27Q2]])=0),"YES","NO"))</f>
        <v>No FSCT</v>
      </c>
      <c r="AE159" s="120" t="str">
        <f>VLOOKUP(DE_AT[[#This Row],[Product Line]],Prod_T6[],4,0)</f>
        <v>PV</v>
      </c>
      <c r="AH159" s="2" t="str">
        <v>2 - Initial offer</v>
      </c>
    </row>
    <row r="160" spans="1:34">
      <c r="A160" s="3"/>
      <c r="B160" s="38"/>
      <c r="D160" s="3"/>
      <c r="E160" s="3"/>
      <c r="F160" s="38"/>
      <c r="G160" s="38"/>
      <c r="H160" s="119" t="s">
        <v>638</v>
      </c>
      <c r="I160" s="118"/>
      <c r="J160" s="196">
        <f>SUBTOTAL(9,DE_AT[26M04])</f>
        <v>56.490848</v>
      </c>
      <c r="K160" s="197">
        <f>SUBTOTAL(9,DE_AT[26M05])</f>
        <v>41.176099999999998</v>
      </c>
      <c r="L160" s="198">
        <f>SUBTOTAL(9,DE_AT[26M06])</f>
        <v>43.536029999999997</v>
      </c>
      <c r="M160" s="196">
        <f>SUBTOTAL(9,DE_AT[26M07])</f>
        <v>31.831099999999999</v>
      </c>
      <c r="N160" s="197">
        <f>SUBTOTAL(9,DE_AT[26M08])</f>
        <v>20.979538000000005</v>
      </c>
      <c r="O160" s="198">
        <f>SUBTOTAL(9,DE_AT[26M09])</f>
        <v>69.162649999999999</v>
      </c>
      <c r="P160" s="196">
        <f>SUBTOTAL(9,DE_AT[26M10])</f>
        <v>70.634550000000004</v>
      </c>
      <c r="Q160" s="197">
        <f>SUBTOTAL(9,DE_AT[26M11])</f>
        <v>92.486228000000011</v>
      </c>
      <c r="R160" s="198">
        <f>SUBTOTAL(9,DE_AT[26M12])</f>
        <v>36.244280000000003</v>
      </c>
      <c r="S160" s="199">
        <f>SUBTOTAL(9,DE_AT[26Q2])</f>
        <v>140.27297800000005</v>
      </c>
      <c r="T160" s="199">
        <f>SUBTOTAL(9,DE_AT[26Q3])</f>
        <v>121.973288</v>
      </c>
      <c r="U160" s="199">
        <f>SUBTOTAL(9,DE_AT[26Q4])</f>
        <v>199.36505800000003</v>
      </c>
      <c r="V160" s="257"/>
      <c r="W160" s="257"/>
      <c r="X160" s="257"/>
      <c r="Y160" s="257"/>
      <c r="Z160" s="257"/>
      <c r="AA160" s="257"/>
      <c r="AB160" s="257"/>
      <c r="AC160" s="257"/>
      <c r="AD160" s="257"/>
      <c r="AE160" s="3"/>
    </row>
  </sheetData>
  <phoneticPr fontId="58" type="noConversion"/>
  <conditionalFormatting sqref="F6:F159">
    <cfRule type="cellIs" dxfId="71" priority="1" operator="equal">
      <formula>"P8-L"</formula>
    </cfRule>
    <cfRule type="cellIs" dxfId="70" priority="2" operator="equal">
      <formula>"P8-M"</formula>
    </cfRule>
    <cfRule type="cellIs" dxfId="69" priority="3" operator="equal">
      <formula>"P8-S"</formula>
    </cfRule>
  </conditionalFormatting>
  <dataValidations count="4">
    <dataValidation type="list" allowBlank="1" showInputMessage="1" showErrorMessage="1" sqref="A6:A159" xr:uid="{CD34A075-02E5-47E1-8E44-6E9497EB9C85}">
      <formula1>Country_List</formula1>
    </dataValidation>
    <dataValidation type="list" allowBlank="1" showInputMessage="1" showErrorMessage="1" sqref="E6:E159" xr:uid="{74E32EBF-D936-430C-A588-D9790113C3E5}">
      <formula1>Product_List</formula1>
    </dataValidation>
    <dataValidation type="list" allowBlank="1" showInputMessage="1" showErrorMessage="1" sqref="G6:G159" xr:uid="{622B4D1A-9683-4EEF-9002-8F3D95D58CC1}">
      <formula1>Stage_List</formula1>
    </dataValidation>
    <dataValidation type="list" allowBlank="1" showInputMessage="1" showErrorMessage="1" sqref="B6:B110 B119:B120 F6:F159" xr:uid="{4F26A787-E0EF-404D-B16B-DF3FA3E829BE}">
      <formula1>INDIRECT(A6)</formula1>
    </dataValidation>
  </dataValidations>
  <pageMargins left="0.70866141732283505" right="0.70866141732283505" top="0.74803149606299202" bottom="0.74803149606299202" header="0.31496062992126" footer="0.31496062992126"/>
  <pageSetup paperSize="9" scale="23" orientation="landscape" r:id="rId1"/>
  <legacyDrawing r:id="rId2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D0D39-E6DD-4FA8-BE34-1E986538F914}">
  <sheetPr codeName="Sheet18"/>
  <dimension ref="A1:Y117"/>
  <sheetViews>
    <sheetView topLeftCell="I1" zoomScale="85" zoomScaleNormal="85" workbookViewId="0">
      <selection activeCell="K13" sqref="K13"/>
    </sheetView>
  </sheetViews>
  <sheetFormatPr defaultColWidth="8.36328125" defaultRowHeight="13.5" customHeight="1"/>
  <cols>
    <col min="1" max="1" width="19.08984375" bestFit="1" customWidth="1"/>
    <col min="3" max="3" width="20.36328125" bestFit="1" customWidth="1"/>
    <col min="4" max="4" width="3.08984375" customWidth="1"/>
    <col min="5" max="5" width="19" bestFit="1" customWidth="1"/>
    <col min="6" max="6" width="23.36328125" bestFit="1" customWidth="1"/>
    <col min="7" max="7" width="40.08984375" customWidth="1"/>
    <col min="8" max="8" width="26.36328125" customWidth="1"/>
    <col min="9" max="9" width="44.08984375" bestFit="1" customWidth="1"/>
    <col min="10" max="10" width="33.08984375" customWidth="1"/>
    <col min="11" max="11" width="42.36328125" bestFit="1" customWidth="1"/>
    <col min="12" max="12" width="30" customWidth="1"/>
    <col min="13" max="13" width="20.36328125" bestFit="1" customWidth="1"/>
    <col min="14" max="14" width="26.90625" customWidth="1"/>
    <col min="15" max="15" width="24.90625" bestFit="1" customWidth="1"/>
    <col min="16" max="16" width="24.90625" customWidth="1"/>
    <col min="17" max="17" width="15.6328125" customWidth="1"/>
    <col min="18" max="18" width="22.08984375" customWidth="1"/>
    <col min="19" max="19" width="10.90625" customWidth="1"/>
    <col min="20" max="20" width="18.08984375" customWidth="1"/>
    <col min="21" max="21" width="43.08984375" customWidth="1"/>
    <col min="22" max="22" width="22.36328125" bestFit="1" customWidth="1"/>
    <col min="23" max="23" width="22.36328125" customWidth="1"/>
    <col min="24" max="25" width="14.90625" customWidth="1"/>
    <col min="26" max="26" width="8.36328125" customWidth="1"/>
  </cols>
  <sheetData>
    <row r="1" spans="1:25" ht="13.5" customHeight="1">
      <c r="T1" s="75" t="s">
        <v>3</v>
      </c>
      <c r="U1" s="75" t="s">
        <v>28</v>
      </c>
      <c r="V1" t="s">
        <v>110</v>
      </c>
      <c r="W1" s="74" t="s">
        <v>26</v>
      </c>
      <c r="X1" s="74" t="s">
        <v>726</v>
      </c>
      <c r="Y1" s="268"/>
    </row>
    <row r="2" spans="1:25" ht="13.5" customHeight="1">
      <c r="T2" s="70" t="s">
        <v>197</v>
      </c>
      <c r="U2" s="70" t="s">
        <v>58</v>
      </c>
      <c r="V2" t="s">
        <v>727</v>
      </c>
      <c r="W2" t="s">
        <v>27</v>
      </c>
      <c r="X2" s="267" t="s">
        <v>728</v>
      </c>
    </row>
    <row r="3" spans="1:25" ht="14.5" thickBot="1">
      <c r="T3" s="70" t="s">
        <v>197</v>
      </c>
      <c r="U3" s="70" t="s">
        <v>729</v>
      </c>
      <c r="V3" t="s">
        <v>727</v>
      </c>
      <c r="W3" t="s">
        <v>27</v>
      </c>
      <c r="X3" s="267" t="s">
        <v>728</v>
      </c>
    </row>
    <row r="4" spans="1:25" ht="14">
      <c r="A4" s="17" t="s">
        <v>730</v>
      </c>
      <c r="C4" s="17" t="s">
        <v>3</v>
      </c>
      <c r="E4" s="115" t="s">
        <v>197</v>
      </c>
      <c r="F4" s="115" t="s">
        <v>141</v>
      </c>
      <c r="G4" s="115" t="s">
        <v>414</v>
      </c>
      <c r="H4" s="22" t="s">
        <v>118</v>
      </c>
      <c r="I4" s="22" t="s">
        <v>731</v>
      </c>
      <c r="J4" s="22" t="s">
        <v>314</v>
      </c>
      <c r="K4" s="22" t="s">
        <v>149</v>
      </c>
      <c r="L4" s="22" t="s">
        <v>54</v>
      </c>
      <c r="M4" s="22" t="s">
        <v>317</v>
      </c>
      <c r="N4" s="22" t="s">
        <v>113</v>
      </c>
      <c r="O4" s="22" t="s">
        <v>276</v>
      </c>
      <c r="P4" s="22" t="s">
        <v>134</v>
      </c>
      <c r="Q4" s="116" t="s">
        <v>38</v>
      </c>
      <c r="R4" s="22" t="s">
        <v>409</v>
      </c>
      <c r="T4" s="70" t="s">
        <v>197</v>
      </c>
      <c r="U4" s="70" t="s">
        <v>732</v>
      </c>
      <c r="V4" t="s">
        <v>733</v>
      </c>
      <c r="W4" t="s">
        <v>27</v>
      </c>
      <c r="X4" s="267" t="s">
        <v>728</v>
      </c>
    </row>
    <row r="5" spans="1:25" ht="17.25" customHeight="1">
      <c r="A5" s="246" t="s">
        <v>80</v>
      </c>
      <c r="C5" s="246" t="s">
        <v>197</v>
      </c>
      <c r="E5" s="246" t="s">
        <v>229</v>
      </c>
      <c r="F5" s="246" t="s">
        <v>46</v>
      </c>
      <c r="G5" s="247" t="s">
        <v>734</v>
      </c>
      <c r="H5" s="248" t="s">
        <v>119</v>
      </c>
      <c r="I5" s="248" t="s">
        <v>735</v>
      </c>
      <c r="J5" s="248" t="s">
        <v>442</v>
      </c>
      <c r="K5" s="248" t="s">
        <v>736</v>
      </c>
      <c r="L5" s="248" t="s">
        <v>737</v>
      </c>
      <c r="M5" s="248" t="s">
        <v>738</v>
      </c>
      <c r="N5" s="249" t="s">
        <v>153</v>
      </c>
      <c r="O5" s="248" t="s">
        <v>739</v>
      </c>
      <c r="P5" s="249" t="s">
        <v>135</v>
      </c>
      <c r="Q5" s="250" t="s">
        <v>740</v>
      </c>
      <c r="R5" s="250" t="s">
        <v>741</v>
      </c>
      <c r="T5" s="70" t="s">
        <v>197</v>
      </c>
      <c r="U5" s="70" t="s">
        <v>517</v>
      </c>
      <c r="V5" t="s">
        <v>733</v>
      </c>
      <c r="W5" t="s">
        <v>27</v>
      </c>
      <c r="X5" s="267" t="s">
        <v>728</v>
      </c>
    </row>
    <row r="6" spans="1:25" ht="17.25" customHeight="1">
      <c r="A6" s="246" t="s">
        <v>86</v>
      </c>
      <c r="C6" s="246" t="s">
        <v>141</v>
      </c>
      <c r="E6" s="246" t="s">
        <v>64</v>
      </c>
      <c r="F6" s="246" t="s">
        <v>50</v>
      </c>
      <c r="G6" s="247" t="s">
        <v>742</v>
      </c>
      <c r="H6" s="248" t="s">
        <v>145</v>
      </c>
      <c r="I6" s="248" t="s">
        <v>743</v>
      </c>
      <c r="J6" s="248" t="s">
        <v>373</v>
      </c>
      <c r="K6" s="248" t="s">
        <v>589</v>
      </c>
      <c r="L6" s="248" t="s">
        <v>129</v>
      </c>
      <c r="M6" s="248" t="s">
        <v>318</v>
      </c>
      <c r="N6" s="249" t="s">
        <v>744</v>
      </c>
      <c r="O6" s="248" t="s">
        <v>745</v>
      </c>
      <c r="P6" s="249" t="s">
        <v>263</v>
      </c>
      <c r="Q6" s="250" t="s">
        <v>746</v>
      </c>
      <c r="R6" s="250" t="s">
        <v>747</v>
      </c>
      <c r="T6" s="70" t="s">
        <v>197</v>
      </c>
      <c r="U6" s="70" t="s">
        <v>59</v>
      </c>
      <c r="V6" t="s">
        <v>748</v>
      </c>
      <c r="W6" t="s">
        <v>27</v>
      </c>
      <c r="X6" s="267" t="s">
        <v>728</v>
      </c>
    </row>
    <row r="7" spans="1:25" ht="17.25" customHeight="1">
      <c r="A7" s="246" t="s">
        <v>32</v>
      </c>
      <c r="C7" s="246" t="s">
        <v>414</v>
      </c>
      <c r="E7" s="246" t="s">
        <v>732</v>
      </c>
      <c r="F7" s="246" t="s">
        <v>749</v>
      </c>
      <c r="G7" s="247" t="s">
        <v>484</v>
      </c>
      <c r="H7" s="248" t="s">
        <v>281</v>
      </c>
      <c r="I7" s="248" t="s">
        <v>750</v>
      </c>
      <c r="J7" s="248" t="s">
        <v>751</v>
      </c>
      <c r="K7" s="248" t="s">
        <v>752</v>
      </c>
      <c r="L7" s="248" t="s">
        <v>159</v>
      </c>
      <c r="M7" s="248" t="s">
        <v>753</v>
      </c>
      <c r="N7" s="249" t="s">
        <v>182</v>
      </c>
      <c r="O7" s="248" t="s">
        <v>754</v>
      </c>
      <c r="P7" s="249" t="s">
        <v>755</v>
      </c>
      <c r="Q7" s="252" t="s">
        <v>756</v>
      </c>
      <c r="R7" s="250" t="s">
        <v>757</v>
      </c>
      <c r="T7" s="70" t="s">
        <v>197</v>
      </c>
      <c r="U7" s="70" t="s">
        <v>515</v>
      </c>
      <c r="V7" t="s">
        <v>748</v>
      </c>
      <c r="W7" t="s">
        <v>27</v>
      </c>
      <c r="X7" s="267" t="s">
        <v>728</v>
      </c>
    </row>
    <row r="8" spans="1:25" ht="17.25" customHeight="1">
      <c r="A8" s="246" t="s">
        <v>124</v>
      </c>
      <c r="C8" s="246" t="s">
        <v>38</v>
      </c>
      <c r="E8" s="246" t="s">
        <v>758</v>
      </c>
      <c r="F8" s="246"/>
      <c r="G8" s="247" t="s">
        <v>759</v>
      </c>
      <c r="H8" s="248" t="s">
        <v>760</v>
      </c>
      <c r="I8" s="248"/>
      <c r="J8" s="248" t="s">
        <v>315</v>
      </c>
      <c r="K8" s="248" t="s">
        <v>761</v>
      </c>
      <c r="L8" s="248" t="s">
        <v>121</v>
      </c>
      <c r="M8" s="248" t="s">
        <v>762</v>
      </c>
      <c r="N8" s="249" t="s">
        <v>763</v>
      </c>
      <c r="O8" s="248" t="s">
        <v>366</v>
      </c>
      <c r="P8" s="249" t="s">
        <v>764</v>
      </c>
      <c r="Q8" s="250" t="s">
        <v>400</v>
      </c>
      <c r="R8" s="250" t="s">
        <v>765</v>
      </c>
      <c r="T8" s="70" t="s">
        <v>197</v>
      </c>
      <c r="U8" s="70" t="s">
        <v>60</v>
      </c>
      <c r="V8" t="s">
        <v>766</v>
      </c>
      <c r="W8" t="s">
        <v>27</v>
      </c>
      <c r="X8" s="267" t="s">
        <v>728</v>
      </c>
    </row>
    <row r="9" spans="1:25" ht="17.25" customHeight="1">
      <c r="A9" s="246" t="s">
        <v>598</v>
      </c>
      <c r="C9" s="246" t="s">
        <v>118</v>
      </c>
      <c r="E9" s="246" t="s">
        <v>767</v>
      </c>
      <c r="F9" s="246"/>
      <c r="G9" s="247" t="s">
        <v>768</v>
      </c>
      <c r="H9" s="248" t="s">
        <v>769</v>
      </c>
      <c r="I9" s="248"/>
      <c r="J9" s="248" t="s">
        <v>372</v>
      </c>
      <c r="K9" s="248" t="s">
        <v>770</v>
      </c>
      <c r="L9" s="248" t="s">
        <v>160</v>
      </c>
      <c r="M9" s="248" t="s">
        <v>771</v>
      </c>
      <c r="N9" s="249" t="s">
        <v>772</v>
      </c>
      <c r="O9" s="248" t="s">
        <v>322</v>
      </c>
      <c r="P9" s="248"/>
      <c r="Q9" s="252" t="s">
        <v>773</v>
      </c>
      <c r="R9" s="251"/>
      <c r="T9" s="70" t="s">
        <v>197</v>
      </c>
      <c r="U9" s="70" t="s">
        <v>61</v>
      </c>
      <c r="V9" t="s">
        <v>774</v>
      </c>
      <c r="W9" t="s">
        <v>27</v>
      </c>
      <c r="X9" s="267" t="s">
        <v>728</v>
      </c>
    </row>
    <row r="10" spans="1:25" ht="17.25" customHeight="1">
      <c r="A10" s="246" t="s">
        <v>775</v>
      </c>
      <c r="C10" s="246" t="s">
        <v>323</v>
      </c>
      <c r="E10" s="246" t="s">
        <v>236</v>
      </c>
      <c r="F10" s="246"/>
      <c r="H10" s="248" t="s">
        <v>180</v>
      </c>
      <c r="I10" s="248"/>
      <c r="J10" s="248" t="s">
        <v>776</v>
      </c>
      <c r="K10" s="248" t="s">
        <v>777</v>
      </c>
      <c r="L10" s="248" t="s">
        <v>201</v>
      </c>
      <c r="M10" s="248" t="s">
        <v>641</v>
      </c>
      <c r="N10" s="249" t="s">
        <v>778</v>
      </c>
      <c r="O10" s="248"/>
      <c r="P10" s="248"/>
      <c r="Q10" s="252" t="s">
        <v>779</v>
      </c>
      <c r="R10" s="251"/>
      <c r="T10" s="70" t="s">
        <v>197</v>
      </c>
      <c r="U10" s="70" t="s">
        <v>62</v>
      </c>
      <c r="V10" t="s">
        <v>780</v>
      </c>
      <c r="W10" t="s">
        <v>27</v>
      </c>
      <c r="X10" s="267" t="s">
        <v>728</v>
      </c>
    </row>
    <row r="11" spans="1:25" ht="17.25" customHeight="1">
      <c r="A11" s="246" t="s">
        <v>30</v>
      </c>
      <c r="C11" s="246" t="s">
        <v>276</v>
      </c>
      <c r="E11" s="246" t="s">
        <v>65</v>
      </c>
      <c r="F11" s="246"/>
      <c r="G11" s="247" t="s">
        <v>415</v>
      </c>
      <c r="H11" s="248" t="s">
        <v>123</v>
      </c>
      <c r="I11" s="248"/>
      <c r="J11" s="248" t="s">
        <v>781</v>
      </c>
      <c r="K11" s="248" t="s">
        <v>782</v>
      </c>
      <c r="L11" s="248" t="s">
        <v>193</v>
      </c>
      <c r="M11" s="248" t="s">
        <v>783</v>
      </c>
      <c r="N11" s="249" t="s">
        <v>784</v>
      </c>
      <c r="O11" s="248"/>
      <c r="P11" s="248"/>
      <c r="Q11" s="252" t="s">
        <v>785</v>
      </c>
      <c r="R11" s="251"/>
      <c r="T11" s="70" t="s">
        <v>197</v>
      </c>
      <c r="U11" s="70" t="s">
        <v>63</v>
      </c>
      <c r="V11" t="s">
        <v>786</v>
      </c>
      <c r="W11" t="s">
        <v>27</v>
      </c>
      <c r="X11" s="267" t="s">
        <v>728</v>
      </c>
    </row>
    <row r="12" spans="1:25" ht="17.25" customHeight="1">
      <c r="A12" s="246" t="s">
        <v>31</v>
      </c>
      <c r="C12" s="246" t="s">
        <v>134</v>
      </c>
      <c r="E12" s="246" t="s">
        <v>235</v>
      </c>
      <c r="F12" s="246"/>
      <c r="G12" s="247" t="s">
        <v>787</v>
      </c>
      <c r="H12" s="248" t="s">
        <v>788</v>
      </c>
      <c r="I12" s="248"/>
      <c r="J12" s="248" t="s">
        <v>789</v>
      </c>
      <c r="K12" s="248" t="s">
        <v>790</v>
      </c>
      <c r="L12" s="248" t="s">
        <v>202</v>
      </c>
      <c r="M12" s="248"/>
      <c r="N12" s="248"/>
      <c r="O12" s="248"/>
      <c r="P12" s="248"/>
      <c r="Q12" s="252" t="s">
        <v>791</v>
      </c>
      <c r="R12" s="251"/>
      <c r="T12" s="269" t="s">
        <v>141</v>
      </c>
      <c r="U12" s="269" t="s">
        <v>50</v>
      </c>
      <c r="V12" s="71" t="s">
        <v>50</v>
      </c>
      <c r="W12" s="71" t="s">
        <v>27</v>
      </c>
      <c r="X12" s="71" t="s">
        <v>792</v>
      </c>
    </row>
    <row r="13" spans="1:25" ht="17.25" customHeight="1">
      <c r="A13" s="246" t="s">
        <v>49</v>
      </c>
      <c r="C13" s="246" t="s">
        <v>314</v>
      </c>
      <c r="E13" s="246" t="s">
        <v>234</v>
      </c>
      <c r="F13" s="246"/>
      <c r="G13" s="247" t="s">
        <v>793</v>
      </c>
      <c r="H13" s="253" t="s">
        <v>255</v>
      </c>
      <c r="I13" s="248"/>
      <c r="J13" s="248" t="s">
        <v>794</v>
      </c>
      <c r="K13" s="248"/>
      <c r="L13" s="248" t="s">
        <v>528</v>
      </c>
      <c r="M13" s="248"/>
      <c r="N13" s="248"/>
      <c r="O13" s="248"/>
      <c r="P13" s="248"/>
      <c r="Q13" s="252"/>
      <c r="R13" s="251"/>
      <c r="T13" s="269" t="s">
        <v>141</v>
      </c>
      <c r="U13" s="269" t="s">
        <v>46</v>
      </c>
      <c r="V13" s="71" t="s">
        <v>46</v>
      </c>
      <c r="W13" s="71" t="s">
        <v>27</v>
      </c>
      <c r="X13" s="71" t="s">
        <v>792</v>
      </c>
    </row>
    <row r="14" spans="1:25" ht="17.25" customHeight="1">
      <c r="A14" s="246" t="s">
        <v>29</v>
      </c>
      <c r="C14" s="246" t="s">
        <v>54</v>
      </c>
      <c r="E14" s="246"/>
      <c r="F14" s="246"/>
      <c r="G14" s="247"/>
      <c r="H14" s="248" t="s">
        <v>231</v>
      </c>
      <c r="I14" s="248"/>
      <c r="J14" s="248" t="s">
        <v>795</v>
      </c>
      <c r="K14" s="248"/>
      <c r="L14" s="248" t="s">
        <v>796</v>
      </c>
      <c r="M14" s="248"/>
      <c r="N14" s="248"/>
      <c r="O14" s="248"/>
      <c r="P14" s="248"/>
      <c r="Q14" s="252"/>
      <c r="R14" s="251"/>
      <c r="T14" s="70" t="s">
        <v>414</v>
      </c>
      <c r="U14" s="70" t="s">
        <v>734</v>
      </c>
      <c r="V14" t="s">
        <v>797</v>
      </c>
      <c r="W14" t="s">
        <v>27</v>
      </c>
      <c r="X14" s="267" t="s">
        <v>792</v>
      </c>
    </row>
    <row r="15" spans="1:25" ht="17.25" customHeight="1">
      <c r="A15" s="246" t="s">
        <v>56</v>
      </c>
      <c r="C15" s="246" t="s">
        <v>317</v>
      </c>
      <c r="E15" s="246" t="s">
        <v>371</v>
      </c>
      <c r="F15" s="246"/>
      <c r="H15" s="212"/>
      <c r="I15" s="248"/>
      <c r="J15" s="248"/>
      <c r="K15" s="248"/>
      <c r="L15" s="248" t="s">
        <v>170</v>
      </c>
      <c r="M15" s="248"/>
      <c r="N15" s="248"/>
      <c r="O15" s="248"/>
      <c r="P15" s="248"/>
      <c r="Q15" s="252"/>
      <c r="R15" s="251"/>
      <c r="T15" s="70" t="s">
        <v>414</v>
      </c>
      <c r="U15" s="70" t="s">
        <v>742</v>
      </c>
      <c r="V15" s="267" t="s">
        <v>798</v>
      </c>
      <c r="W15" t="s">
        <v>27</v>
      </c>
      <c r="X15" s="267" t="s">
        <v>792</v>
      </c>
    </row>
    <row r="16" spans="1:25" ht="17.25" customHeight="1">
      <c r="A16" s="246"/>
      <c r="C16" s="246" t="s">
        <v>149</v>
      </c>
      <c r="E16" s="246"/>
      <c r="F16" s="246"/>
      <c r="G16" s="247" t="s">
        <v>799</v>
      </c>
      <c r="H16" s="212"/>
      <c r="I16" s="248"/>
      <c r="J16" s="248"/>
      <c r="K16" s="248"/>
      <c r="L16" s="248" t="s">
        <v>166</v>
      </c>
      <c r="M16" s="248"/>
      <c r="N16" s="248"/>
      <c r="O16" s="248"/>
      <c r="P16" s="248"/>
      <c r="Q16" s="252"/>
      <c r="R16" s="251"/>
      <c r="T16" s="70" t="s">
        <v>414</v>
      </c>
      <c r="U16" s="70" t="s">
        <v>484</v>
      </c>
      <c r="V16" t="s">
        <v>800</v>
      </c>
      <c r="W16" t="s">
        <v>27</v>
      </c>
      <c r="X16" s="267" t="s">
        <v>792</v>
      </c>
    </row>
    <row r="17" spans="1:24" ht="13.5" customHeight="1">
      <c r="A17" s="246"/>
      <c r="C17" s="246" t="s">
        <v>113</v>
      </c>
      <c r="E17" s="246"/>
      <c r="F17" s="246"/>
      <c r="G17" s="247" t="s">
        <v>801</v>
      </c>
      <c r="H17" s="248"/>
      <c r="I17" s="248"/>
      <c r="J17" s="248"/>
      <c r="K17" s="248"/>
      <c r="L17" s="248" t="s">
        <v>297</v>
      </c>
      <c r="M17" s="248"/>
      <c r="N17" s="248"/>
      <c r="O17" s="248"/>
      <c r="P17" s="248"/>
      <c r="Q17" s="252"/>
      <c r="R17" s="251"/>
      <c r="T17" s="70" t="s">
        <v>414</v>
      </c>
      <c r="U17" s="70" t="s">
        <v>759</v>
      </c>
      <c r="V17" t="s">
        <v>802</v>
      </c>
      <c r="W17" t="s">
        <v>27</v>
      </c>
      <c r="X17" s="267" t="s">
        <v>792</v>
      </c>
    </row>
    <row r="18" spans="1:24" ht="13.5" customHeight="1">
      <c r="C18" s="246" t="s">
        <v>409</v>
      </c>
      <c r="E18" s="246"/>
      <c r="F18" s="246"/>
      <c r="G18" s="247"/>
      <c r="H18" s="248"/>
      <c r="I18" s="248"/>
      <c r="J18" s="248"/>
      <c r="K18" s="248"/>
      <c r="L18" s="248" t="s">
        <v>803</v>
      </c>
      <c r="M18" s="248"/>
      <c r="N18" s="248"/>
      <c r="O18" s="248"/>
      <c r="P18" s="248"/>
      <c r="Q18" s="252"/>
      <c r="R18" s="251"/>
      <c r="T18" s="70" t="s">
        <v>414</v>
      </c>
      <c r="U18" s="70" t="s">
        <v>768</v>
      </c>
      <c r="V18" t="s">
        <v>804</v>
      </c>
      <c r="W18" t="s">
        <v>27</v>
      </c>
      <c r="X18" s="267" t="s">
        <v>792</v>
      </c>
    </row>
    <row r="19" spans="1:24" ht="13.5" customHeight="1">
      <c r="C19" s="246"/>
      <c r="E19" s="246"/>
      <c r="F19" s="246"/>
      <c r="G19" s="247"/>
      <c r="H19" s="248"/>
      <c r="I19" s="248"/>
      <c r="J19" s="248"/>
      <c r="K19" s="248"/>
      <c r="L19" s="248" t="s">
        <v>126</v>
      </c>
      <c r="M19" s="248"/>
      <c r="N19" s="248"/>
      <c r="O19" s="248"/>
      <c r="P19" s="248"/>
      <c r="Q19" s="252"/>
      <c r="R19" s="251"/>
      <c r="T19" s="70" t="s">
        <v>414</v>
      </c>
      <c r="U19" s="70" t="s">
        <v>415</v>
      </c>
      <c r="V19" t="s">
        <v>805</v>
      </c>
      <c r="W19" t="s">
        <v>27</v>
      </c>
      <c r="X19" s="267" t="s">
        <v>792</v>
      </c>
    </row>
    <row r="20" spans="1:24" ht="13.5" customHeight="1">
      <c r="E20" s="246"/>
      <c r="F20" s="246"/>
      <c r="G20" s="247"/>
      <c r="H20" s="248"/>
      <c r="I20" s="248"/>
      <c r="J20" s="248"/>
      <c r="K20" s="248"/>
      <c r="L20" s="248" t="s">
        <v>299</v>
      </c>
      <c r="M20" s="248"/>
      <c r="N20" s="248"/>
      <c r="O20" s="248"/>
      <c r="P20" s="248"/>
      <c r="Q20" s="252"/>
      <c r="R20" s="251"/>
      <c r="T20" s="70" t="s">
        <v>414</v>
      </c>
      <c r="U20" s="70" t="s">
        <v>787</v>
      </c>
      <c r="V20" t="s">
        <v>806</v>
      </c>
      <c r="W20" t="s">
        <v>27</v>
      </c>
      <c r="X20" s="267" t="s">
        <v>792</v>
      </c>
    </row>
    <row r="21" spans="1:24" ht="13.5" customHeight="1">
      <c r="G21" s="142"/>
      <c r="L21" s="248" t="s">
        <v>807</v>
      </c>
      <c r="N21" s="248"/>
      <c r="T21" s="70" t="s">
        <v>414</v>
      </c>
      <c r="U21" s="70" t="s">
        <v>793</v>
      </c>
      <c r="V21" t="s">
        <v>808</v>
      </c>
      <c r="W21" t="s">
        <v>27</v>
      </c>
      <c r="X21" s="267" t="s">
        <v>792</v>
      </c>
    </row>
    <row r="22" spans="1:24" ht="14">
      <c r="G22" s="142"/>
      <c r="N22" s="248"/>
      <c r="T22" s="70" t="s">
        <v>414</v>
      </c>
      <c r="U22" s="70" t="s">
        <v>799</v>
      </c>
      <c r="V22" t="s">
        <v>809</v>
      </c>
      <c r="W22" t="s">
        <v>27</v>
      </c>
      <c r="X22" s="267" t="s">
        <v>792</v>
      </c>
    </row>
    <row r="23" spans="1:24" ht="14">
      <c r="G23" s="142"/>
      <c r="T23" s="70" t="s">
        <v>414</v>
      </c>
      <c r="U23" s="70" t="s">
        <v>801</v>
      </c>
      <c r="V23" t="s">
        <v>809</v>
      </c>
      <c r="W23" t="s">
        <v>27</v>
      </c>
      <c r="X23" s="267" t="s">
        <v>792</v>
      </c>
    </row>
    <row r="24" spans="1:24" ht="14">
      <c r="T24" s="269" t="s">
        <v>38</v>
      </c>
      <c r="U24" s="269" t="s">
        <v>740</v>
      </c>
      <c r="V24" t="s">
        <v>740</v>
      </c>
      <c r="W24" t="s">
        <v>87</v>
      </c>
      <c r="X24" s="267" t="s">
        <v>792</v>
      </c>
    </row>
    <row r="25" spans="1:24" ht="14">
      <c r="T25" s="269" t="s">
        <v>38</v>
      </c>
      <c r="U25" s="269" t="s">
        <v>746</v>
      </c>
      <c r="V25" t="s">
        <v>746</v>
      </c>
      <c r="W25" t="s">
        <v>87</v>
      </c>
      <c r="X25" s="267" t="s">
        <v>792</v>
      </c>
    </row>
    <row r="26" spans="1:24" ht="14">
      <c r="T26" s="269" t="s">
        <v>38</v>
      </c>
      <c r="U26" s="269" t="s">
        <v>756</v>
      </c>
      <c r="V26" t="s">
        <v>756</v>
      </c>
      <c r="W26" t="s">
        <v>87</v>
      </c>
      <c r="X26" s="267" t="s">
        <v>792</v>
      </c>
    </row>
    <row r="27" spans="1:24" ht="14">
      <c r="T27" s="269" t="s">
        <v>38</v>
      </c>
      <c r="U27" s="269" t="s">
        <v>400</v>
      </c>
      <c r="V27" t="s">
        <v>400</v>
      </c>
      <c r="W27" t="s">
        <v>87</v>
      </c>
      <c r="X27" s="267" t="s">
        <v>792</v>
      </c>
    </row>
    <row r="28" spans="1:24" ht="14">
      <c r="T28" s="269" t="s">
        <v>38</v>
      </c>
      <c r="U28" s="269" t="s">
        <v>773</v>
      </c>
      <c r="V28" t="s">
        <v>773</v>
      </c>
      <c r="W28" t="s">
        <v>87</v>
      </c>
      <c r="X28" s="267" t="s">
        <v>792</v>
      </c>
    </row>
    <row r="29" spans="1:24" ht="14">
      <c r="T29" s="269" t="s">
        <v>38</v>
      </c>
      <c r="U29" s="269" t="s">
        <v>779</v>
      </c>
      <c r="V29" t="s">
        <v>779</v>
      </c>
      <c r="W29" t="s">
        <v>87</v>
      </c>
      <c r="X29" s="267" t="s">
        <v>792</v>
      </c>
    </row>
    <row r="30" spans="1:24" ht="14">
      <c r="T30" s="269" t="s">
        <v>38</v>
      </c>
      <c r="U30" s="269" t="s">
        <v>785</v>
      </c>
      <c r="V30" t="s">
        <v>785</v>
      </c>
      <c r="W30" t="s">
        <v>87</v>
      </c>
      <c r="X30" s="267" t="s">
        <v>792</v>
      </c>
    </row>
    <row r="31" spans="1:24" ht="14">
      <c r="T31" s="269" t="s">
        <v>38</v>
      </c>
      <c r="U31" s="269" t="s">
        <v>791</v>
      </c>
      <c r="V31" t="s">
        <v>791</v>
      </c>
      <c r="W31" t="s">
        <v>87</v>
      </c>
      <c r="X31" s="267" t="s">
        <v>792</v>
      </c>
    </row>
    <row r="32" spans="1:24" ht="14">
      <c r="T32" s="70" t="s">
        <v>134</v>
      </c>
      <c r="U32" s="70" t="s">
        <v>135</v>
      </c>
      <c r="V32" t="s">
        <v>810</v>
      </c>
      <c r="W32" t="s">
        <v>70</v>
      </c>
      <c r="X32" s="267" t="s">
        <v>728</v>
      </c>
    </row>
    <row r="33" spans="20:24" ht="14">
      <c r="T33" s="70" t="s">
        <v>134</v>
      </c>
      <c r="U33" s="70" t="s">
        <v>755</v>
      </c>
      <c r="V33" t="s">
        <v>811</v>
      </c>
      <c r="W33" t="s">
        <v>70</v>
      </c>
      <c r="X33" s="267" t="s">
        <v>728</v>
      </c>
    </row>
    <row r="34" spans="20:24" ht="14">
      <c r="T34" s="70" t="s">
        <v>134</v>
      </c>
      <c r="U34" s="70" t="s">
        <v>263</v>
      </c>
      <c r="V34" t="s">
        <v>812</v>
      </c>
      <c r="W34" t="s">
        <v>70</v>
      </c>
      <c r="X34" s="267" t="s">
        <v>728</v>
      </c>
    </row>
    <row r="35" spans="20:24" ht="14">
      <c r="T35" s="70" t="s">
        <v>134</v>
      </c>
      <c r="U35" s="70" t="s">
        <v>764</v>
      </c>
      <c r="V35" t="s">
        <v>813</v>
      </c>
      <c r="W35" t="s">
        <v>70</v>
      </c>
      <c r="X35" s="267" t="s">
        <v>728</v>
      </c>
    </row>
    <row r="36" spans="20:24" ht="14">
      <c r="T36" s="269" t="s">
        <v>276</v>
      </c>
      <c r="U36" s="269" t="s">
        <v>739</v>
      </c>
      <c r="V36" t="s">
        <v>814</v>
      </c>
      <c r="W36" t="s">
        <v>70</v>
      </c>
      <c r="X36" s="267" t="s">
        <v>728</v>
      </c>
    </row>
    <row r="37" spans="20:24" ht="14">
      <c r="T37" s="269" t="s">
        <v>276</v>
      </c>
      <c r="U37" s="269" t="s">
        <v>745</v>
      </c>
      <c r="V37" t="s">
        <v>815</v>
      </c>
      <c r="W37" t="s">
        <v>70</v>
      </c>
      <c r="X37" s="267" t="s">
        <v>728</v>
      </c>
    </row>
    <row r="38" spans="20:24" ht="14">
      <c r="T38" s="269" t="s">
        <v>276</v>
      </c>
      <c r="U38" s="269" t="s">
        <v>754</v>
      </c>
      <c r="V38" t="s">
        <v>815</v>
      </c>
      <c r="W38" t="s">
        <v>70</v>
      </c>
      <c r="X38" s="267" t="s">
        <v>728</v>
      </c>
    </row>
    <row r="39" spans="20:24" ht="14">
      <c r="T39" s="269" t="s">
        <v>276</v>
      </c>
      <c r="U39" s="269" t="s">
        <v>366</v>
      </c>
      <c r="V39" t="s">
        <v>815</v>
      </c>
      <c r="W39" t="s">
        <v>70</v>
      </c>
      <c r="X39" s="267" t="s">
        <v>728</v>
      </c>
    </row>
    <row r="40" spans="20:24" ht="14">
      <c r="T40" s="269" t="s">
        <v>276</v>
      </c>
      <c r="U40" s="269" t="s">
        <v>322</v>
      </c>
      <c r="V40" t="s">
        <v>815</v>
      </c>
      <c r="W40" t="s">
        <v>70</v>
      </c>
      <c r="X40" s="267" t="s">
        <v>728</v>
      </c>
    </row>
    <row r="41" spans="20:24" ht="14">
      <c r="T41" s="70" t="s">
        <v>409</v>
      </c>
      <c r="U41" s="70" t="s">
        <v>741</v>
      </c>
      <c r="V41" t="s">
        <v>816</v>
      </c>
      <c r="W41" t="s">
        <v>70</v>
      </c>
      <c r="X41" s="267" t="s">
        <v>728</v>
      </c>
    </row>
    <row r="42" spans="20:24" ht="14">
      <c r="T42" s="70" t="s">
        <v>409</v>
      </c>
      <c r="U42" s="70" t="s">
        <v>747</v>
      </c>
      <c r="V42" t="s">
        <v>816</v>
      </c>
      <c r="W42" t="s">
        <v>70</v>
      </c>
      <c r="X42" s="267" t="s">
        <v>728</v>
      </c>
    </row>
    <row r="43" spans="20:24" ht="13.5" customHeight="1">
      <c r="T43" s="70" t="s">
        <v>409</v>
      </c>
      <c r="U43" s="70" t="s">
        <v>757</v>
      </c>
      <c r="V43" t="s">
        <v>816</v>
      </c>
      <c r="W43" t="s">
        <v>70</v>
      </c>
      <c r="X43" s="267" t="s">
        <v>728</v>
      </c>
    </row>
    <row r="44" spans="20:24" ht="13.5" customHeight="1">
      <c r="T44" s="70" t="s">
        <v>409</v>
      </c>
      <c r="U44" s="70" t="s">
        <v>765</v>
      </c>
      <c r="V44" t="s">
        <v>765</v>
      </c>
      <c r="W44" t="s">
        <v>70</v>
      </c>
      <c r="X44" s="267" t="s">
        <v>728</v>
      </c>
    </row>
    <row r="45" spans="20:24" ht="13.5" customHeight="1">
      <c r="T45" s="269" t="s">
        <v>323</v>
      </c>
      <c r="U45" s="269" t="s">
        <v>817</v>
      </c>
      <c r="V45" t="s">
        <v>818</v>
      </c>
      <c r="W45" t="s">
        <v>70</v>
      </c>
      <c r="X45" s="267" t="s">
        <v>728</v>
      </c>
    </row>
    <row r="46" spans="20:24" ht="13.5" customHeight="1">
      <c r="T46" s="269" t="s">
        <v>323</v>
      </c>
      <c r="U46" s="269" t="s">
        <v>819</v>
      </c>
      <c r="V46" t="s">
        <v>820</v>
      </c>
      <c r="W46" t="s">
        <v>70</v>
      </c>
      <c r="X46" s="267" t="s">
        <v>728</v>
      </c>
    </row>
    <row r="47" spans="20:24" ht="13.5" customHeight="1">
      <c r="T47" s="269" t="s">
        <v>323</v>
      </c>
      <c r="U47" s="270" t="s">
        <v>750</v>
      </c>
      <c r="V47" s="267" t="s">
        <v>821</v>
      </c>
      <c r="W47" t="s">
        <v>70</v>
      </c>
      <c r="X47" s="267" t="s">
        <v>728</v>
      </c>
    </row>
    <row r="48" spans="20:24" ht="13.5" customHeight="1">
      <c r="T48" s="70" t="s">
        <v>118</v>
      </c>
      <c r="U48" s="70" t="s">
        <v>822</v>
      </c>
      <c r="V48" t="s">
        <v>823</v>
      </c>
      <c r="W48" t="s">
        <v>70</v>
      </c>
      <c r="X48" s="267" t="s">
        <v>728</v>
      </c>
    </row>
    <row r="49" spans="20:24" ht="13.5" customHeight="1">
      <c r="T49" s="70" t="s">
        <v>118</v>
      </c>
      <c r="U49" s="70" t="s">
        <v>824</v>
      </c>
      <c r="V49" t="s">
        <v>823</v>
      </c>
      <c r="W49" t="s">
        <v>70</v>
      </c>
      <c r="X49" s="267" t="s">
        <v>728</v>
      </c>
    </row>
    <row r="50" spans="20:24" ht="13.5" customHeight="1">
      <c r="T50" s="70" t="s">
        <v>118</v>
      </c>
      <c r="U50" s="70" t="s">
        <v>825</v>
      </c>
      <c r="V50" t="s">
        <v>823</v>
      </c>
      <c r="W50" t="s">
        <v>70</v>
      </c>
      <c r="X50" s="267" t="s">
        <v>728</v>
      </c>
    </row>
    <row r="51" spans="20:24" ht="13.5" customHeight="1">
      <c r="T51" s="70" t="s">
        <v>118</v>
      </c>
      <c r="U51" s="70" t="s">
        <v>826</v>
      </c>
      <c r="V51" t="s">
        <v>823</v>
      </c>
      <c r="W51" t="s">
        <v>70</v>
      </c>
      <c r="X51" s="267" t="s">
        <v>728</v>
      </c>
    </row>
    <row r="52" spans="20:24" ht="13.5" customHeight="1">
      <c r="T52" s="70" t="s">
        <v>118</v>
      </c>
      <c r="U52" s="70" t="s">
        <v>281</v>
      </c>
      <c r="V52" t="s">
        <v>823</v>
      </c>
      <c r="W52" t="s">
        <v>70</v>
      </c>
      <c r="X52" s="267" t="s">
        <v>728</v>
      </c>
    </row>
    <row r="53" spans="20:24" ht="13.5" customHeight="1">
      <c r="T53" s="70" t="s">
        <v>118</v>
      </c>
      <c r="U53" s="70" t="s">
        <v>145</v>
      </c>
      <c r="V53" t="s">
        <v>823</v>
      </c>
      <c r="W53" t="s">
        <v>70</v>
      </c>
      <c r="X53" s="267" t="s">
        <v>728</v>
      </c>
    </row>
    <row r="54" spans="20:24" ht="13.5" customHeight="1">
      <c r="T54" s="70" t="s">
        <v>118</v>
      </c>
      <c r="U54" s="70" t="s">
        <v>119</v>
      </c>
      <c r="V54" t="s">
        <v>823</v>
      </c>
      <c r="W54" t="s">
        <v>70</v>
      </c>
      <c r="X54" s="267" t="s">
        <v>728</v>
      </c>
    </row>
    <row r="55" spans="20:24" ht="13.5" customHeight="1">
      <c r="T55" s="70" t="s">
        <v>118</v>
      </c>
      <c r="U55" s="70" t="s">
        <v>827</v>
      </c>
      <c r="V55" t="s">
        <v>828</v>
      </c>
      <c r="W55" t="s">
        <v>70</v>
      </c>
      <c r="X55" s="267" t="s">
        <v>728</v>
      </c>
    </row>
    <row r="56" spans="20:24" ht="13.5" customHeight="1">
      <c r="T56" s="70" t="s">
        <v>118</v>
      </c>
      <c r="U56" s="70" t="s">
        <v>123</v>
      </c>
      <c r="V56" t="s">
        <v>828</v>
      </c>
      <c r="W56" t="s">
        <v>70</v>
      </c>
      <c r="X56" s="267" t="s">
        <v>728</v>
      </c>
    </row>
    <row r="57" spans="20:24" ht="13.5" customHeight="1">
      <c r="T57" s="70" t="s">
        <v>118</v>
      </c>
      <c r="U57" s="70" t="s">
        <v>180</v>
      </c>
      <c r="V57" t="s">
        <v>828</v>
      </c>
      <c r="W57" t="s">
        <v>70</v>
      </c>
      <c r="X57" s="267" t="s">
        <v>728</v>
      </c>
    </row>
    <row r="58" spans="20:24" ht="13.5" customHeight="1">
      <c r="T58" s="70" t="s">
        <v>118</v>
      </c>
      <c r="U58" s="70" t="s">
        <v>255</v>
      </c>
      <c r="V58" t="s">
        <v>829</v>
      </c>
      <c r="W58" t="s">
        <v>70</v>
      </c>
      <c r="X58" s="267" t="s">
        <v>728</v>
      </c>
    </row>
    <row r="59" spans="20:24" ht="13.5" customHeight="1">
      <c r="T59" s="70" t="s">
        <v>118</v>
      </c>
      <c r="U59" s="70" t="s">
        <v>231</v>
      </c>
      <c r="V59" t="s">
        <v>824</v>
      </c>
      <c r="W59" t="s">
        <v>70</v>
      </c>
      <c r="X59" s="267" t="s">
        <v>728</v>
      </c>
    </row>
    <row r="60" spans="20:24" ht="13.5" customHeight="1">
      <c r="T60" s="269" t="s">
        <v>113</v>
      </c>
      <c r="U60" s="269" t="s">
        <v>153</v>
      </c>
      <c r="V60" t="s">
        <v>830</v>
      </c>
      <c r="W60" t="s">
        <v>70</v>
      </c>
      <c r="X60" s="267" t="s">
        <v>792</v>
      </c>
    </row>
    <row r="61" spans="20:24" ht="13.5" customHeight="1">
      <c r="T61" s="269" t="s">
        <v>113</v>
      </c>
      <c r="U61" s="269" t="s">
        <v>744</v>
      </c>
      <c r="V61" s="267" t="s">
        <v>831</v>
      </c>
      <c r="W61" t="s">
        <v>70</v>
      </c>
      <c r="X61" s="267" t="s">
        <v>792</v>
      </c>
    </row>
    <row r="62" spans="20:24" ht="13.5" customHeight="1">
      <c r="T62" s="269" t="s">
        <v>113</v>
      </c>
      <c r="U62" s="269" t="s">
        <v>182</v>
      </c>
      <c r="V62" s="267" t="s">
        <v>832</v>
      </c>
      <c r="W62" t="s">
        <v>70</v>
      </c>
      <c r="X62" s="267" t="s">
        <v>792</v>
      </c>
    </row>
    <row r="63" spans="20:24" ht="13.5" customHeight="1">
      <c r="T63" s="269" t="s">
        <v>113</v>
      </c>
      <c r="U63" s="269" t="s">
        <v>763</v>
      </c>
      <c r="V63" s="267" t="s">
        <v>833</v>
      </c>
      <c r="W63" t="s">
        <v>70</v>
      </c>
      <c r="X63" s="267" t="s">
        <v>792</v>
      </c>
    </row>
    <row r="64" spans="20:24" ht="13.5" customHeight="1">
      <c r="T64" s="269" t="s">
        <v>113</v>
      </c>
      <c r="U64" s="269" t="s">
        <v>834</v>
      </c>
      <c r="V64" s="267" t="s">
        <v>835</v>
      </c>
      <c r="W64" t="s">
        <v>70</v>
      </c>
      <c r="X64" s="267" t="s">
        <v>792</v>
      </c>
    </row>
    <row r="65" spans="20:24" ht="13.5" customHeight="1">
      <c r="T65" s="269" t="s">
        <v>113</v>
      </c>
      <c r="U65" s="269" t="s">
        <v>778</v>
      </c>
      <c r="V65" t="s">
        <v>836</v>
      </c>
      <c r="W65" t="s">
        <v>70</v>
      </c>
      <c r="X65" s="267" t="s">
        <v>792</v>
      </c>
    </row>
    <row r="66" spans="20:24" ht="13.5" customHeight="1">
      <c r="T66" s="269" t="s">
        <v>113</v>
      </c>
      <c r="U66" s="269" t="s">
        <v>837</v>
      </c>
      <c r="V66" s="267" t="s">
        <v>838</v>
      </c>
      <c r="W66" t="s">
        <v>70</v>
      </c>
      <c r="X66" s="267" t="s">
        <v>792</v>
      </c>
    </row>
    <row r="67" spans="20:24" ht="13.5" customHeight="1">
      <c r="T67" s="269" t="s">
        <v>317</v>
      </c>
      <c r="U67" s="269" t="s">
        <v>738</v>
      </c>
      <c r="V67" t="s">
        <v>839</v>
      </c>
      <c r="W67" t="s">
        <v>70</v>
      </c>
      <c r="X67" s="267" t="s">
        <v>792</v>
      </c>
    </row>
    <row r="68" spans="20:24" ht="13.5" customHeight="1">
      <c r="T68" s="269" t="s">
        <v>317</v>
      </c>
      <c r="U68" s="269" t="s">
        <v>318</v>
      </c>
      <c r="V68" t="s">
        <v>839</v>
      </c>
      <c r="W68" t="s">
        <v>70</v>
      </c>
      <c r="X68" s="267" t="s">
        <v>792</v>
      </c>
    </row>
    <row r="69" spans="20:24" ht="13.5" customHeight="1">
      <c r="T69" s="269" t="s">
        <v>317</v>
      </c>
      <c r="U69" s="269" t="s">
        <v>753</v>
      </c>
      <c r="V69" t="s">
        <v>840</v>
      </c>
      <c r="W69" t="s">
        <v>70</v>
      </c>
      <c r="X69" s="267" t="s">
        <v>792</v>
      </c>
    </row>
    <row r="70" spans="20:24" ht="13.5" customHeight="1">
      <c r="T70" s="269" t="s">
        <v>317</v>
      </c>
      <c r="U70" s="269" t="s">
        <v>762</v>
      </c>
      <c r="V70" t="s">
        <v>840</v>
      </c>
      <c r="W70" t="s">
        <v>70</v>
      </c>
      <c r="X70" s="267" t="s">
        <v>792</v>
      </c>
    </row>
    <row r="71" spans="20:24" ht="13.5" customHeight="1">
      <c r="T71" s="269" t="s">
        <v>317</v>
      </c>
      <c r="U71" s="269" t="s">
        <v>771</v>
      </c>
      <c r="V71" t="s">
        <v>841</v>
      </c>
      <c r="W71" t="s">
        <v>70</v>
      </c>
      <c r="X71" s="267" t="s">
        <v>792</v>
      </c>
    </row>
    <row r="72" spans="20:24" ht="13.5" customHeight="1">
      <c r="T72" s="269" t="s">
        <v>317</v>
      </c>
      <c r="U72" s="269" t="s">
        <v>641</v>
      </c>
      <c r="V72" t="s">
        <v>841</v>
      </c>
      <c r="W72" t="s">
        <v>70</v>
      </c>
      <c r="X72" s="267" t="s">
        <v>792</v>
      </c>
    </row>
    <row r="73" spans="20:24" ht="13.5" customHeight="1">
      <c r="T73" s="70" t="s">
        <v>314</v>
      </c>
      <c r="U73" s="70" t="s">
        <v>373</v>
      </c>
      <c r="V73" t="s">
        <v>442</v>
      </c>
      <c r="W73" t="s">
        <v>70</v>
      </c>
      <c r="X73" s="267" t="s">
        <v>792</v>
      </c>
    </row>
    <row r="74" spans="20:24" ht="13.5" customHeight="1">
      <c r="T74" s="70" t="s">
        <v>314</v>
      </c>
      <c r="U74" s="70" t="s">
        <v>842</v>
      </c>
      <c r="V74" t="s">
        <v>442</v>
      </c>
      <c r="W74" t="s">
        <v>70</v>
      </c>
      <c r="X74" s="267" t="s">
        <v>792</v>
      </c>
    </row>
    <row r="75" spans="20:24" ht="13.5" customHeight="1">
      <c r="T75" s="70" t="s">
        <v>314</v>
      </c>
      <c r="U75" s="70" t="s">
        <v>843</v>
      </c>
      <c r="V75" t="s">
        <v>844</v>
      </c>
      <c r="W75" t="s">
        <v>70</v>
      </c>
      <c r="X75" s="267" t="s">
        <v>792</v>
      </c>
    </row>
    <row r="76" spans="20:24" ht="13.5" customHeight="1">
      <c r="T76" s="70" t="s">
        <v>314</v>
      </c>
      <c r="U76" s="70" t="s">
        <v>845</v>
      </c>
      <c r="V76" t="s">
        <v>844</v>
      </c>
      <c r="W76" t="s">
        <v>70</v>
      </c>
      <c r="X76" s="267" t="s">
        <v>792</v>
      </c>
    </row>
    <row r="77" spans="20:24" ht="13.5" customHeight="1">
      <c r="T77" s="70" t="s">
        <v>314</v>
      </c>
      <c r="U77" s="70" t="s">
        <v>846</v>
      </c>
      <c r="V77" t="s">
        <v>372</v>
      </c>
      <c r="W77" t="s">
        <v>70</v>
      </c>
      <c r="X77" s="267" t="s">
        <v>792</v>
      </c>
    </row>
    <row r="78" spans="20:24" ht="13.5" customHeight="1">
      <c r="T78" s="70" t="s">
        <v>314</v>
      </c>
      <c r="U78" s="70" t="s">
        <v>847</v>
      </c>
      <c r="V78" t="s">
        <v>372</v>
      </c>
      <c r="W78" t="s">
        <v>70</v>
      </c>
      <c r="X78" s="267" t="s">
        <v>792</v>
      </c>
    </row>
    <row r="79" spans="20:24" ht="13.5" customHeight="1">
      <c r="T79" s="70" t="s">
        <v>314</v>
      </c>
      <c r="U79" s="70" t="s">
        <v>848</v>
      </c>
      <c r="V79" t="s">
        <v>372</v>
      </c>
      <c r="W79" t="s">
        <v>70</v>
      </c>
      <c r="X79" s="267" t="s">
        <v>792</v>
      </c>
    </row>
    <row r="80" spans="20:24" ht="13.5" customHeight="1">
      <c r="T80" s="70" t="s">
        <v>314</v>
      </c>
      <c r="U80" s="70" t="s">
        <v>849</v>
      </c>
      <c r="V80" t="s">
        <v>372</v>
      </c>
      <c r="W80" t="s">
        <v>70</v>
      </c>
      <c r="X80" s="267" t="s">
        <v>792</v>
      </c>
    </row>
    <row r="81" spans="20:24" ht="13.5" customHeight="1">
      <c r="T81" s="70" t="s">
        <v>314</v>
      </c>
      <c r="U81" s="70" t="s">
        <v>850</v>
      </c>
      <c r="V81" t="s">
        <v>851</v>
      </c>
      <c r="W81" t="s">
        <v>70</v>
      </c>
      <c r="X81" s="267" t="s">
        <v>792</v>
      </c>
    </row>
    <row r="82" spans="20:24" ht="13.5" customHeight="1">
      <c r="T82" s="70" t="s">
        <v>314</v>
      </c>
      <c r="U82" s="70" t="s">
        <v>852</v>
      </c>
      <c r="V82" t="s">
        <v>851</v>
      </c>
      <c r="W82" t="s">
        <v>70</v>
      </c>
      <c r="X82" s="267" t="s">
        <v>792</v>
      </c>
    </row>
    <row r="83" spans="20:24" ht="13.5" customHeight="1">
      <c r="T83" s="70" t="s">
        <v>314</v>
      </c>
      <c r="U83" s="70" t="s">
        <v>442</v>
      </c>
      <c r="V83" t="s">
        <v>442</v>
      </c>
      <c r="W83" t="s">
        <v>70</v>
      </c>
      <c r="X83" s="267" t="s">
        <v>792</v>
      </c>
    </row>
    <row r="84" spans="20:24" ht="13.5" customHeight="1">
      <c r="T84" s="70" t="s">
        <v>314</v>
      </c>
      <c r="U84" s="70" t="s">
        <v>853</v>
      </c>
      <c r="V84" t="s">
        <v>844</v>
      </c>
      <c r="W84" t="s">
        <v>70</v>
      </c>
      <c r="X84" s="267" t="s">
        <v>792</v>
      </c>
    </row>
    <row r="85" spans="20:24" ht="13.5" customHeight="1">
      <c r="T85" s="70" t="s">
        <v>314</v>
      </c>
      <c r="U85" s="70" t="s">
        <v>844</v>
      </c>
      <c r="V85" t="s">
        <v>844</v>
      </c>
      <c r="W85" t="s">
        <v>70</v>
      </c>
      <c r="X85" s="267" t="s">
        <v>792</v>
      </c>
    </row>
    <row r="86" spans="20:24" ht="13.5" customHeight="1">
      <c r="T86" s="70" t="s">
        <v>314</v>
      </c>
      <c r="U86" s="70" t="s">
        <v>648</v>
      </c>
      <c r="V86" t="s">
        <v>372</v>
      </c>
      <c r="W86" t="s">
        <v>70</v>
      </c>
      <c r="X86" s="267" t="s">
        <v>792</v>
      </c>
    </row>
    <row r="87" spans="20:24" ht="13.5" customHeight="1">
      <c r="T87" s="70" t="s">
        <v>314</v>
      </c>
      <c r="U87" s="70" t="s">
        <v>315</v>
      </c>
      <c r="V87" t="s">
        <v>372</v>
      </c>
      <c r="W87" t="s">
        <v>70</v>
      </c>
      <c r="X87" s="267" t="s">
        <v>792</v>
      </c>
    </row>
    <row r="88" spans="20:24" ht="13.5" customHeight="1">
      <c r="T88" s="70" t="s">
        <v>314</v>
      </c>
      <c r="U88" s="70" t="s">
        <v>372</v>
      </c>
      <c r="V88" t="s">
        <v>372</v>
      </c>
      <c r="W88" t="s">
        <v>70</v>
      </c>
      <c r="X88" s="267" t="s">
        <v>792</v>
      </c>
    </row>
    <row r="89" spans="20:24" ht="13.5" customHeight="1">
      <c r="T89" s="70" t="s">
        <v>314</v>
      </c>
      <c r="U89" s="70" t="s">
        <v>854</v>
      </c>
      <c r="V89" t="s">
        <v>851</v>
      </c>
      <c r="W89" t="s">
        <v>70</v>
      </c>
      <c r="X89" s="267" t="s">
        <v>792</v>
      </c>
    </row>
    <row r="90" spans="20:24" ht="13.5" customHeight="1">
      <c r="T90" s="70" t="s">
        <v>314</v>
      </c>
      <c r="U90" s="70" t="s">
        <v>851</v>
      </c>
      <c r="V90" t="s">
        <v>851</v>
      </c>
      <c r="W90" t="s">
        <v>70</v>
      </c>
      <c r="X90" s="267" t="s">
        <v>792</v>
      </c>
    </row>
    <row r="91" spans="20:24" ht="13.5" customHeight="1">
      <c r="T91" s="70" t="s">
        <v>314</v>
      </c>
      <c r="U91" s="70" t="s">
        <v>795</v>
      </c>
      <c r="V91" t="s">
        <v>442</v>
      </c>
      <c r="W91" t="s">
        <v>70</v>
      </c>
      <c r="X91" s="267" t="s">
        <v>792</v>
      </c>
    </row>
    <row r="92" spans="20:24" ht="13.5" customHeight="1">
      <c r="T92" s="269" t="s">
        <v>54</v>
      </c>
      <c r="U92" s="269" t="s">
        <v>339</v>
      </c>
      <c r="V92" t="s">
        <v>855</v>
      </c>
      <c r="W92" t="s">
        <v>70</v>
      </c>
      <c r="X92" s="267" t="s">
        <v>792</v>
      </c>
    </row>
    <row r="93" spans="20:24" ht="13.5" customHeight="1">
      <c r="T93" s="269" t="s">
        <v>54</v>
      </c>
      <c r="U93" s="270" t="s">
        <v>856</v>
      </c>
      <c r="V93" t="s">
        <v>857</v>
      </c>
      <c r="W93" t="s">
        <v>70</v>
      </c>
      <c r="X93" s="267" t="s">
        <v>792</v>
      </c>
    </row>
    <row r="94" spans="20:24" ht="13.5" customHeight="1">
      <c r="T94" s="269" t="s">
        <v>54</v>
      </c>
      <c r="U94" s="269" t="s">
        <v>129</v>
      </c>
      <c r="V94" t="s">
        <v>855</v>
      </c>
      <c r="W94" t="s">
        <v>70</v>
      </c>
      <c r="X94" s="267" t="s">
        <v>792</v>
      </c>
    </row>
    <row r="95" spans="20:24" ht="13.5" customHeight="1">
      <c r="T95" s="269" t="s">
        <v>54</v>
      </c>
      <c r="U95" s="269" t="s">
        <v>201</v>
      </c>
      <c r="V95" t="s">
        <v>857</v>
      </c>
      <c r="W95" t="s">
        <v>70</v>
      </c>
      <c r="X95" s="267" t="s">
        <v>792</v>
      </c>
    </row>
    <row r="96" spans="20:24" ht="13.5" customHeight="1">
      <c r="T96" s="269" t="s">
        <v>54</v>
      </c>
      <c r="U96" s="269" t="s">
        <v>159</v>
      </c>
      <c r="V96" t="s">
        <v>855</v>
      </c>
      <c r="W96" t="s">
        <v>70</v>
      </c>
      <c r="X96" s="267" t="s">
        <v>792</v>
      </c>
    </row>
    <row r="97" spans="20:24" ht="13.5" customHeight="1">
      <c r="T97" s="269" t="s">
        <v>54</v>
      </c>
      <c r="U97" s="269" t="s">
        <v>193</v>
      </c>
      <c r="V97" t="s">
        <v>857</v>
      </c>
      <c r="W97" t="s">
        <v>70</v>
      </c>
      <c r="X97" s="267" t="s">
        <v>792</v>
      </c>
    </row>
    <row r="98" spans="20:24" ht="13.5" customHeight="1">
      <c r="T98" s="269" t="s">
        <v>54</v>
      </c>
      <c r="U98" s="269" t="s">
        <v>121</v>
      </c>
      <c r="V98" t="s">
        <v>858</v>
      </c>
      <c r="W98" t="s">
        <v>70</v>
      </c>
      <c r="X98" s="267" t="s">
        <v>792</v>
      </c>
    </row>
    <row r="99" spans="20:24" ht="13.5" customHeight="1">
      <c r="T99" s="269" t="s">
        <v>54</v>
      </c>
      <c r="U99" s="269" t="s">
        <v>202</v>
      </c>
      <c r="V99" t="s">
        <v>859</v>
      </c>
      <c r="W99" t="s">
        <v>70</v>
      </c>
      <c r="X99" s="267" t="s">
        <v>792</v>
      </c>
    </row>
    <row r="100" spans="20:24" ht="13.5" customHeight="1">
      <c r="T100" s="269" t="s">
        <v>54</v>
      </c>
      <c r="U100" s="269" t="s">
        <v>160</v>
      </c>
      <c r="V100" t="s">
        <v>858</v>
      </c>
      <c r="W100" t="s">
        <v>70</v>
      </c>
      <c r="X100" s="267" t="s">
        <v>792</v>
      </c>
    </row>
    <row r="101" spans="20:24" ht="13.5" customHeight="1">
      <c r="T101" s="269" t="s">
        <v>54</v>
      </c>
      <c r="U101" s="269" t="s">
        <v>528</v>
      </c>
      <c r="V101" t="s">
        <v>859</v>
      </c>
      <c r="W101" t="s">
        <v>70</v>
      </c>
      <c r="X101" s="267" t="s">
        <v>792</v>
      </c>
    </row>
    <row r="102" spans="20:24" ht="13.5" customHeight="1">
      <c r="T102" s="269" t="s">
        <v>54</v>
      </c>
      <c r="U102" s="269" t="s">
        <v>692</v>
      </c>
      <c r="V102" t="s">
        <v>860</v>
      </c>
      <c r="W102" t="s">
        <v>70</v>
      </c>
      <c r="X102" s="267" t="s">
        <v>792</v>
      </c>
    </row>
    <row r="103" spans="20:24" ht="13.5" customHeight="1">
      <c r="T103" s="269" t="s">
        <v>54</v>
      </c>
      <c r="U103" s="269" t="s">
        <v>126</v>
      </c>
      <c r="V103" t="s">
        <v>860</v>
      </c>
      <c r="W103" t="s">
        <v>70</v>
      </c>
      <c r="X103" s="267" t="s">
        <v>792</v>
      </c>
    </row>
    <row r="104" spans="20:24" ht="13.5" customHeight="1">
      <c r="T104" s="269" t="s">
        <v>54</v>
      </c>
      <c r="U104" s="269" t="s">
        <v>299</v>
      </c>
      <c r="V104" t="s">
        <v>860</v>
      </c>
      <c r="W104" t="s">
        <v>70</v>
      </c>
      <c r="X104" s="267" t="s">
        <v>792</v>
      </c>
    </row>
    <row r="105" spans="20:24" ht="13.5" customHeight="1">
      <c r="T105" s="269" t="s">
        <v>54</v>
      </c>
      <c r="U105" s="269" t="s">
        <v>861</v>
      </c>
      <c r="V105" t="s">
        <v>862</v>
      </c>
      <c r="W105" t="s">
        <v>70</v>
      </c>
      <c r="X105" s="267" t="s">
        <v>792</v>
      </c>
    </row>
    <row r="106" spans="20:24" ht="13.5" customHeight="1">
      <c r="T106" s="269" t="s">
        <v>54</v>
      </c>
      <c r="U106" s="269" t="s">
        <v>170</v>
      </c>
      <c r="V106" t="s">
        <v>862</v>
      </c>
      <c r="W106" t="s">
        <v>70</v>
      </c>
      <c r="X106" s="267" t="s">
        <v>792</v>
      </c>
    </row>
    <row r="107" spans="20:24" ht="13.5" customHeight="1">
      <c r="T107" s="269" t="s">
        <v>54</v>
      </c>
      <c r="U107" s="269" t="s">
        <v>166</v>
      </c>
      <c r="V107" t="s">
        <v>862</v>
      </c>
      <c r="W107" t="s">
        <v>70</v>
      </c>
      <c r="X107" s="267" t="s">
        <v>792</v>
      </c>
    </row>
    <row r="108" spans="20:24" ht="13.5" customHeight="1">
      <c r="T108" s="269" t="s">
        <v>54</v>
      </c>
      <c r="U108" s="269" t="s">
        <v>297</v>
      </c>
      <c r="V108" t="s">
        <v>862</v>
      </c>
      <c r="W108" t="s">
        <v>70</v>
      </c>
      <c r="X108" s="267" t="s">
        <v>792</v>
      </c>
    </row>
    <row r="109" spans="20:24" ht="13.5" customHeight="1">
      <c r="T109" s="269" t="s">
        <v>54</v>
      </c>
      <c r="U109" s="270" t="s">
        <v>803</v>
      </c>
      <c r="V109" t="s">
        <v>862</v>
      </c>
      <c r="W109" t="s">
        <v>70</v>
      </c>
      <c r="X109" s="267" t="s">
        <v>792</v>
      </c>
    </row>
    <row r="110" spans="20:24" ht="13.5" customHeight="1">
      <c r="T110" s="189" t="s">
        <v>149</v>
      </c>
      <c r="U110" s="189" t="s">
        <v>863</v>
      </c>
      <c r="V110" t="s">
        <v>864</v>
      </c>
      <c r="W110" t="s">
        <v>70</v>
      </c>
      <c r="X110" s="267" t="s">
        <v>792</v>
      </c>
    </row>
    <row r="111" spans="20:24" ht="13.5" customHeight="1">
      <c r="T111" s="189" t="s">
        <v>149</v>
      </c>
      <c r="U111" s="189" t="s">
        <v>865</v>
      </c>
      <c r="V111" t="s">
        <v>866</v>
      </c>
      <c r="W111" t="s">
        <v>70</v>
      </c>
      <c r="X111" s="267" t="s">
        <v>792</v>
      </c>
    </row>
    <row r="112" spans="20:24" ht="13.5" customHeight="1">
      <c r="T112" s="189" t="s">
        <v>149</v>
      </c>
      <c r="U112" s="189" t="s">
        <v>752</v>
      </c>
      <c r="V112" t="s">
        <v>867</v>
      </c>
      <c r="W112" t="s">
        <v>70</v>
      </c>
      <c r="X112" s="267" t="s">
        <v>792</v>
      </c>
    </row>
    <row r="113" spans="20:24" ht="13.5" customHeight="1">
      <c r="T113" s="189" t="s">
        <v>149</v>
      </c>
      <c r="U113" s="189" t="s">
        <v>761</v>
      </c>
      <c r="V113" s="267" t="s">
        <v>868</v>
      </c>
      <c r="W113" t="s">
        <v>70</v>
      </c>
      <c r="X113" s="267" t="s">
        <v>792</v>
      </c>
    </row>
    <row r="114" spans="20:24" ht="13.5" customHeight="1">
      <c r="T114" s="189" t="s">
        <v>149</v>
      </c>
      <c r="U114" s="189" t="s">
        <v>770</v>
      </c>
      <c r="V114" t="s">
        <v>869</v>
      </c>
      <c r="W114" t="s">
        <v>70</v>
      </c>
      <c r="X114" s="267" t="s">
        <v>792</v>
      </c>
    </row>
    <row r="115" spans="20:24" ht="13.5" customHeight="1">
      <c r="T115" s="189" t="s">
        <v>149</v>
      </c>
      <c r="U115" s="189" t="s">
        <v>870</v>
      </c>
      <c r="V115" t="s">
        <v>871</v>
      </c>
      <c r="W115" t="s">
        <v>70</v>
      </c>
      <c r="X115" s="267" t="s">
        <v>792</v>
      </c>
    </row>
    <row r="116" spans="20:24" ht="13.5" customHeight="1">
      <c r="T116" s="189" t="s">
        <v>149</v>
      </c>
      <c r="U116" s="189" t="s">
        <v>782</v>
      </c>
      <c r="V116" s="267" t="s">
        <v>872</v>
      </c>
      <c r="W116" t="s">
        <v>70</v>
      </c>
      <c r="X116" s="267" t="s">
        <v>792</v>
      </c>
    </row>
    <row r="117" spans="20:24" ht="13.5" customHeight="1">
      <c r="T117" s="189" t="s">
        <v>149</v>
      </c>
      <c r="U117" s="189" t="s">
        <v>873</v>
      </c>
      <c r="V117" s="267" t="s">
        <v>874</v>
      </c>
      <c r="W117" t="s">
        <v>70</v>
      </c>
      <c r="X117" s="267" t="s">
        <v>792</v>
      </c>
    </row>
  </sheetData>
  <sortState xmlns:xlrd2="http://schemas.microsoft.com/office/spreadsheetml/2017/richdata2" ref="L27:L30">
    <sortCondition descending="1" ref="L27:L30"/>
  </sortState>
  <phoneticPr fontId="65" type="noConversion"/>
  <pageMargins left="0.7" right="0.7" top="0.75" bottom="0.75" header="0.3" footer="0.3"/>
  <legacyDrawing r:id="rId1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DFBBE-9E36-4A79-B08F-C29FEABDDD81}">
  <sheetPr codeName="Sheet14"/>
  <dimension ref="B1:M300"/>
  <sheetViews>
    <sheetView topLeftCell="E7" zoomScale="70" zoomScaleNormal="70" workbookViewId="0">
      <selection activeCell="H20" sqref="H20"/>
    </sheetView>
  </sheetViews>
  <sheetFormatPr defaultColWidth="8.36328125" defaultRowHeight="14"/>
  <cols>
    <col min="2" max="2" width="48.90625" customWidth="1"/>
    <col min="3" max="3" width="43.08984375" customWidth="1"/>
    <col min="4" max="4" width="56.08984375" customWidth="1"/>
    <col min="5" max="5" width="41.36328125" customWidth="1"/>
    <col min="6" max="6" width="35.08984375" customWidth="1"/>
    <col min="7" max="7" width="45.08984375" customWidth="1"/>
    <col min="8" max="8" width="43.08984375" customWidth="1"/>
    <col min="9" max="9" width="56.08984375" customWidth="1"/>
    <col min="10" max="10" width="41.08984375" customWidth="1"/>
    <col min="11" max="11" width="60.36328125" customWidth="1"/>
    <col min="12" max="12" width="44" bestFit="1" customWidth="1"/>
    <col min="13" max="13" width="35.08984375" bestFit="1" customWidth="1"/>
    <col min="14" max="14" width="24.36328125" customWidth="1"/>
  </cols>
  <sheetData>
    <row r="1" spans="2:13">
      <c r="B1" s="16" t="s">
        <v>875</v>
      </c>
      <c r="C1" s="16"/>
    </row>
    <row r="3" spans="2:13">
      <c r="B3" s="188" t="s">
        <v>80</v>
      </c>
      <c r="C3" s="188" t="s">
        <v>86</v>
      </c>
      <c r="D3" s="30" t="s">
        <v>32</v>
      </c>
      <c r="E3" s="21" t="s">
        <v>598</v>
      </c>
      <c r="F3" s="21" t="s">
        <v>124</v>
      </c>
      <c r="G3" s="30" t="s">
        <v>876</v>
      </c>
      <c r="H3" s="30" t="s">
        <v>30</v>
      </c>
      <c r="I3" s="30" t="s">
        <v>877</v>
      </c>
      <c r="J3" s="30" t="s">
        <v>49</v>
      </c>
      <c r="K3" s="30" t="s">
        <v>29</v>
      </c>
      <c r="L3" s="30" t="s">
        <v>56</v>
      </c>
      <c r="M3" s="30" t="s">
        <v>878</v>
      </c>
    </row>
    <row r="4" spans="2:13">
      <c r="B4" s="212" t="s">
        <v>133</v>
      </c>
      <c r="C4" s="213" t="s">
        <v>879</v>
      </c>
      <c r="D4" s="212" t="s">
        <v>355</v>
      </c>
      <c r="E4" s="212" t="s">
        <v>880</v>
      </c>
      <c r="F4" s="212" t="s">
        <v>881</v>
      </c>
      <c r="G4" s="213" t="s">
        <v>882</v>
      </c>
      <c r="H4" s="214" t="s">
        <v>199</v>
      </c>
      <c r="I4" s="212" t="s">
        <v>883</v>
      </c>
      <c r="J4" s="212" t="s">
        <v>884</v>
      </c>
      <c r="K4" s="212" t="s">
        <v>885</v>
      </c>
      <c r="L4" s="212" t="s">
        <v>492</v>
      </c>
      <c r="M4" s="212"/>
    </row>
    <row r="5" spans="2:13">
      <c r="B5" s="212" t="s">
        <v>886</v>
      </c>
      <c r="C5" s="212" t="s">
        <v>887</v>
      </c>
      <c r="D5" s="213" t="s">
        <v>888</v>
      </c>
      <c r="E5" s="212" t="s">
        <v>889</v>
      </c>
      <c r="F5" s="212" t="s">
        <v>890</v>
      </c>
      <c r="G5" s="212" t="s">
        <v>891</v>
      </c>
      <c r="H5" s="214" t="s">
        <v>892</v>
      </c>
      <c r="I5" s="212" t="s">
        <v>893</v>
      </c>
      <c r="J5" s="212" t="s">
        <v>894</v>
      </c>
      <c r="K5" s="212" t="s">
        <v>895</v>
      </c>
      <c r="L5" s="212" t="s">
        <v>896</v>
      </c>
      <c r="M5" s="212"/>
    </row>
    <row r="6" spans="2:13">
      <c r="B6" s="212" t="s">
        <v>127</v>
      </c>
      <c r="C6" s="212" t="s">
        <v>897</v>
      </c>
      <c r="D6" s="212" t="s">
        <v>348</v>
      </c>
      <c r="E6" s="212" t="s">
        <v>203</v>
      </c>
      <c r="F6" s="212"/>
      <c r="G6" s="212" t="s">
        <v>700</v>
      </c>
      <c r="H6" s="214" t="s">
        <v>898</v>
      </c>
      <c r="I6" s="212" t="s">
        <v>899</v>
      </c>
      <c r="J6" s="212" t="s">
        <v>402</v>
      </c>
      <c r="K6" s="212" t="s">
        <v>900</v>
      </c>
      <c r="L6" s="212" t="s">
        <v>901</v>
      </c>
      <c r="M6" s="212"/>
    </row>
    <row r="7" spans="2:13">
      <c r="B7" s="212" t="s">
        <v>902</v>
      </c>
      <c r="C7" s="212" t="s">
        <v>903</v>
      </c>
      <c r="D7" s="212" t="s">
        <v>267</v>
      </c>
      <c r="E7" s="212"/>
      <c r="F7" s="212"/>
      <c r="G7" s="212" t="s">
        <v>254</v>
      </c>
      <c r="H7" s="214" t="s">
        <v>904</v>
      </c>
      <c r="I7" s="212" t="s">
        <v>905</v>
      </c>
      <c r="J7" s="212" t="s">
        <v>906</v>
      </c>
      <c r="K7" s="212" t="s">
        <v>907</v>
      </c>
      <c r="L7" s="212" t="s">
        <v>560</v>
      </c>
      <c r="M7" s="212"/>
    </row>
    <row r="8" spans="2:13">
      <c r="B8" s="212" t="s">
        <v>908</v>
      </c>
      <c r="C8" s="212" t="s">
        <v>909</v>
      </c>
      <c r="D8" s="212" t="s">
        <v>269</v>
      </c>
      <c r="E8" s="212"/>
      <c r="F8" s="212"/>
      <c r="G8" s="212" t="s">
        <v>910</v>
      </c>
      <c r="H8" s="214" t="s">
        <v>217</v>
      </c>
      <c r="I8" s="213" t="s">
        <v>911</v>
      </c>
      <c r="J8" s="212" t="s">
        <v>912</v>
      </c>
      <c r="K8" s="212" t="s">
        <v>913</v>
      </c>
      <c r="L8" s="212" t="s">
        <v>559</v>
      </c>
      <c r="M8" s="212"/>
    </row>
    <row r="9" spans="2:13">
      <c r="B9" s="212" t="s">
        <v>914</v>
      </c>
      <c r="C9" s="212" t="s">
        <v>915</v>
      </c>
      <c r="D9" s="212" t="s">
        <v>342</v>
      </c>
      <c r="E9" s="212"/>
      <c r="F9" s="212"/>
      <c r="G9" s="212" t="s">
        <v>357</v>
      </c>
      <c r="H9" s="214" t="s">
        <v>198</v>
      </c>
      <c r="I9" s="212" t="s">
        <v>916</v>
      </c>
      <c r="J9" s="212" t="s">
        <v>633</v>
      </c>
      <c r="K9" s="212" t="s">
        <v>917</v>
      </c>
      <c r="L9" s="212" t="s">
        <v>918</v>
      </c>
      <c r="M9" s="212"/>
    </row>
    <row r="10" spans="2:13">
      <c r="B10" s="212" t="s">
        <v>147</v>
      </c>
      <c r="C10" s="212" t="s">
        <v>390</v>
      </c>
      <c r="D10" s="212" t="s">
        <v>333</v>
      </c>
      <c r="E10" s="212"/>
      <c r="F10" s="212"/>
      <c r="G10" s="212" t="s">
        <v>702</v>
      </c>
      <c r="H10" s="214" t="s">
        <v>919</v>
      </c>
      <c r="I10" s="212" t="s">
        <v>920</v>
      </c>
      <c r="J10" s="212" t="s">
        <v>430</v>
      </c>
      <c r="K10" s="212" t="s">
        <v>921</v>
      </c>
      <c r="L10" s="213" t="s">
        <v>922</v>
      </c>
      <c r="M10" s="212"/>
    </row>
    <row r="11" spans="2:13">
      <c r="B11" s="213" t="s">
        <v>923</v>
      </c>
      <c r="C11" s="212" t="s">
        <v>388</v>
      </c>
      <c r="D11" s="213" t="s">
        <v>924</v>
      </c>
      <c r="E11" s="212"/>
      <c r="F11" s="212"/>
      <c r="G11" s="212" t="s">
        <v>688</v>
      </c>
      <c r="H11" s="214" t="s">
        <v>925</v>
      </c>
      <c r="I11" s="212" t="s">
        <v>926</v>
      </c>
      <c r="J11" s="212" t="s">
        <v>436</v>
      </c>
      <c r="K11" s="212" t="s">
        <v>927</v>
      </c>
      <c r="L11" s="212" t="s">
        <v>928</v>
      </c>
      <c r="M11" s="212"/>
    </row>
    <row r="12" spans="2:13">
      <c r="B12" s="212" t="s">
        <v>929</v>
      </c>
      <c r="C12" s="212" t="s">
        <v>930</v>
      </c>
      <c r="D12" s="212" t="s">
        <v>334</v>
      </c>
      <c r="E12" s="212"/>
      <c r="F12" s="212"/>
      <c r="G12" s="212" t="s">
        <v>465</v>
      </c>
      <c r="H12" s="214" t="s">
        <v>931</v>
      </c>
      <c r="I12" s="212" t="s">
        <v>932</v>
      </c>
      <c r="J12" s="212" t="s">
        <v>432</v>
      </c>
      <c r="K12" s="212" t="s">
        <v>933</v>
      </c>
      <c r="L12" s="212" t="s">
        <v>934</v>
      </c>
    </row>
    <row r="13" spans="2:13">
      <c r="B13" s="212" t="s">
        <v>148</v>
      </c>
      <c r="C13" s="212" t="s">
        <v>935</v>
      </c>
      <c r="D13" s="213" t="s">
        <v>936</v>
      </c>
      <c r="E13" s="212"/>
      <c r="F13" s="212"/>
      <c r="G13" s="212" t="s">
        <v>172</v>
      </c>
      <c r="H13" s="214" t="s">
        <v>937</v>
      </c>
      <c r="I13" s="212" t="s">
        <v>938</v>
      </c>
      <c r="J13" s="212"/>
      <c r="K13" s="212" t="s">
        <v>939</v>
      </c>
      <c r="L13" s="212" t="s">
        <v>557</v>
      </c>
    </row>
    <row r="14" spans="2:13">
      <c r="B14" s="212" t="s">
        <v>144</v>
      </c>
      <c r="C14" s="212" t="s">
        <v>940</v>
      </c>
      <c r="D14" s="213" t="s">
        <v>941</v>
      </c>
      <c r="E14" s="212"/>
      <c r="F14" s="212"/>
      <c r="G14" s="212" t="s">
        <v>696</v>
      </c>
      <c r="H14" s="214" t="s">
        <v>942</v>
      </c>
      <c r="I14" s="212" t="s">
        <v>943</v>
      </c>
      <c r="J14" s="212"/>
      <c r="K14" s="212" t="s">
        <v>944</v>
      </c>
      <c r="L14" s="212" t="s">
        <v>556</v>
      </c>
    </row>
    <row r="15" spans="2:13">
      <c r="B15" s="212" t="s">
        <v>388</v>
      </c>
      <c r="C15" s="212" t="s">
        <v>945</v>
      </c>
      <c r="D15" s="212" t="s">
        <v>283</v>
      </c>
      <c r="E15" s="212"/>
      <c r="F15" s="212"/>
      <c r="G15" s="212" t="s">
        <v>448</v>
      </c>
      <c r="H15" s="214" t="s">
        <v>946</v>
      </c>
      <c r="I15" s="212" t="s">
        <v>947</v>
      </c>
      <c r="J15" s="212"/>
      <c r="K15" s="212" t="s">
        <v>948</v>
      </c>
      <c r="L15" s="212" t="s">
        <v>554</v>
      </c>
    </row>
    <row r="16" spans="2:13">
      <c r="B16" s="212" t="s">
        <v>935</v>
      </c>
      <c r="C16" s="213" t="s">
        <v>392</v>
      </c>
      <c r="D16" s="212" t="s">
        <v>335</v>
      </c>
      <c r="E16" s="212"/>
      <c r="F16" s="212"/>
      <c r="G16" s="212" t="s">
        <v>691</v>
      </c>
      <c r="H16" s="214" t="s">
        <v>949</v>
      </c>
      <c r="I16" s="212" t="s">
        <v>950</v>
      </c>
      <c r="J16" s="212"/>
      <c r="K16" s="212" t="s">
        <v>951</v>
      </c>
      <c r="L16" s="212" t="s">
        <v>548</v>
      </c>
    </row>
    <row r="17" spans="2:12">
      <c r="B17" s="212" t="s">
        <v>143</v>
      </c>
      <c r="C17" s="212" t="s">
        <v>396</v>
      </c>
      <c r="D17" s="212" t="s">
        <v>343</v>
      </c>
      <c r="E17" s="212"/>
      <c r="F17" s="212"/>
      <c r="G17" s="212" t="s">
        <v>952</v>
      </c>
      <c r="H17" s="214" t="s">
        <v>953</v>
      </c>
      <c r="I17" s="212" t="s">
        <v>954</v>
      </c>
      <c r="J17" s="212"/>
      <c r="K17" s="212" t="s">
        <v>955</v>
      </c>
      <c r="L17" s="212" t="s">
        <v>563</v>
      </c>
    </row>
    <row r="18" spans="2:12">
      <c r="B18" s="213" t="s">
        <v>140</v>
      </c>
      <c r="C18" s="212" t="s">
        <v>956</v>
      </c>
      <c r="D18" s="212" t="s">
        <v>345</v>
      </c>
      <c r="E18" s="212"/>
      <c r="F18" s="212"/>
      <c r="G18" s="212" t="s">
        <v>675</v>
      </c>
      <c r="H18" s="214" t="s">
        <v>190</v>
      </c>
      <c r="I18" s="212" t="s">
        <v>957</v>
      </c>
      <c r="J18" s="212"/>
      <c r="K18" s="212" t="s">
        <v>958</v>
      </c>
      <c r="L18" s="212" t="s">
        <v>564</v>
      </c>
    </row>
    <row r="19" spans="2:12">
      <c r="B19" s="212" t="s">
        <v>959</v>
      </c>
      <c r="C19" s="212" t="s">
        <v>645</v>
      </c>
      <c r="D19" s="212" t="s">
        <v>960</v>
      </c>
      <c r="E19" s="212"/>
      <c r="F19" s="212"/>
      <c r="G19" s="212" t="s">
        <v>682</v>
      </c>
      <c r="H19" s="214" t="s">
        <v>250</v>
      </c>
      <c r="I19" s="212" t="s">
        <v>961</v>
      </c>
      <c r="J19" s="212"/>
      <c r="K19" s="212" t="s">
        <v>962</v>
      </c>
      <c r="L19" s="212" t="s">
        <v>565</v>
      </c>
    </row>
    <row r="20" spans="2:12">
      <c r="B20" s="212" t="s">
        <v>963</v>
      </c>
      <c r="C20" s="212" t="s">
        <v>964</v>
      </c>
      <c r="D20" s="212" t="s">
        <v>965</v>
      </c>
      <c r="E20" s="212"/>
      <c r="F20" s="212"/>
      <c r="G20" s="212" t="s">
        <v>471</v>
      </c>
      <c r="H20" s="214" t="s">
        <v>966</v>
      </c>
      <c r="I20" s="212" t="s">
        <v>967</v>
      </c>
      <c r="J20" s="212"/>
      <c r="K20" s="212" t="s">
        <v>968</v>
      </c>
      <c r="L20" s="212" t="s">
        <v>969</v>
      </c>
    </row>
    <row r="21" spans="2:12">
      <c r="B21" s="212" t="s">
        <v>158</v>
      </c>
      <c r="C21" s="212"/>
      <c r="D21" s="212" t="s">
        <v>346</v>
      </c>
      <c r="E21" s="212"/>
      <c r="F21" s="212"/>
      <c r="G21" s="212" t="s">
        <v>359</v>
      </c>
      <c r="H21" s="214" t="s">
        <v>194</v>
      </c>
      <c r="I21" s="212" t="s">
        <v>970</v>
      </c>
      <c r="K21" s="212" t="s">
        <v>971</v>
      </c>
      <c r="L21" s="212" t="s">
        <v>581</v>
      </c>
    </row>
    <row r="22" spans="2:12">
      <c r="B22" s="212" t="s">
        <v>972</v>
      </c>
      <c r="C22" s="212"/>
      <c r="D22" s="212" t="s">
        <v>347</v>
      </c>
      <c r="E22" s="212"/>
      <c r="F22" s="212"/>
      <c r="G22" t="s">
        <v>973</v>
      </c>
      <c r="H22" s="214" t="s">
        <v>200</v>
      </c>
      <c r="I22" s="212" t="s">
        <v>974</v>
      </c>
      <c r="K22" s="212" t="s">
        <v>975</v>
      </c>
      <c r="L22" s="212" t="s">
        <v>579</v>
      </c>
    </row>
    <row r="23" spans="2:12">
      <c r="B23" s="212" t="s">
        <v>139</v>
      </c>
      <c r="C23" s="212"/>
      <c r="D23" s="212" t="s">
        <v>337</v>
      </c>
      <c r="E23" s="212"/>
      <c r="F23" s="212"/>
      <c r="G23" s="212" t="s">
        <v>976</v>
      </c>
      <c r="H23" s="214" t="s">
        <v>977</v>
      </c>
      <c r="I23" s="212" t="s">
        <v>978</v>
      </c>
      <c r="K23" s="212" t="s">
        <v>979</v>
      </c>
      <c r="L23" s="212" t="s">
        <v>578</v>
      </c>
    </row>
    <row r="24" spans="2:12" ht="14.15" customHeight="1">
      <c r="B24" s="212" t="s">
        <v>137</v>
      </c>
      <c r="C24" s="212"/>
      <c r="D24" s="212" t="s">
        <v>319</v>
      </c>
      <c r="E24" s="212"/>
      <c r="F24" s="212"/>
      <c r="G24" s="212" t="s">
        <v>980</v>
      </c>
      <c r="H24" s="214" t="s">
        <v>224</v>
      </c>
      <c r="I24" s="212" t="s">
        <v>981</v>
      </c>
      <c r="K24" s="217"/>
      <c r="L24" s="258" t="s">
        <v>577</v>
      </c>
    </row>
    <row r="25" spans="2:12">
      <c r="B25" s="212" t="s">
        <v>982</v>
      </c>
      <c r="C25" s="212"/>
      <c r="D25" s="212" t="s">
        <v>332</v>
      </c>
      <c r="E25" s="212"/>
      <c r="F25" s="212"/>
      <c r="G25" s="212" t="s">
        <v>456</v>
      </c>
      <c r="H25" s="214" t="s">
        <v>983</v>
      </c>
      <c r="I25" s="212" t="s">
        <v>984</v>
      </c>
      <c r="K25" s="212" t="s">
        <v>985</v>
      </c>
      <c r="L25" s="212" t="s">
        <v>986</v>
      </c>
    </row>
    <row r="26" spans="2:12">
      <c r="B26" s="212" t="s">
        <v>987</v>
      </c>
      <c r="C26" s="212"/>
      <c r="D26" s="212" t="s">
        <v>881</v>
      </c>
      <c r="E26" s="212"/>
      <c r="F26" s="212"/>
      <c r="G26" s="212" t="s">
        <v>988</v>
      </c>
      <c r="H26" s="214" t="s">
        <v>189</v>
      </c>
      <c r="I26" s="212" t="s">
        <v>989</v>
      </c>
      <c r="K26" s="212" t="s">
        <v>990</v>
      </c>
      <c r="L26" s="212" t="s">
        <v>575</v>
      </c>
    </row>
    <row r="27" spans="2:12">
      <c r="B27" s="212"/>
      <c r="C27" s="212"/>
      <c r="D27" s="212" t="s">
        <v>331</v>
      </c>
      <c r="E27" s="212"/>
      <c r="F27" s="212"/>
      <c r="G27" s="212" t="s">
        <v>473</v>
      </c>
      <c r="H27" s="214" t="s">
        <v>203</v>
      </c>
      <c r="I27" s="212" t="s">
        <v>991</v>
      </c>
      <c r="K27" s="212" t="s">
        <v>992</v>
      </c>
      <c r="L27" s="212" t="s">
        <v>993</v>
      </c>
    </row>
    <row r="28" spans="2:12">
      <c r="B28" s="212"/>
      <c r="C28" s="212"/>
      <c r="D28" s="212" t="s">
        <v>285</v>
      </c>
      <c r="E28" s="212"/>
      <c r="F28" s="212"/>
      <c r="G28" s="212" t="s">
        <v>452</v>
      </c>
      <c r="H28" s="214" t="s">
        <v>994</v>
      </c>
      <c r="I28" s="213" t="s">
        <v>995</v>
      </c>
      <c r="K28" s="212" t="s">
        <v>996</v>
      </c>
      <c r="L28" s="212" t="s">
        <v>572</v>
      </c>
    </row>
    <row r="29" spans="2:12">
      <c r="B29" s="212"/>
      <c r="C29" s="212"/>
      <c r="D29" s="212" t="s">
        <v>997</v>
      </c>
      <c r="E29" s="212"/>
      <c r="F29" s="212"/>
      <c r="G29" s="212" t="s">
        <v>179</v>
      </c>
      <c r="H29" s="214" t="s">
        <v>998</v>
      </c>
      <c r="I29" s="212" t="s">
        <v>999</v>
      </c>
      <c r="K29" s="212" t="s">
        <v>1000</v>
      </c>
      <c r="L29" s="212" t="s">
        <v>570</v>
      </c>
    </row>
    <row r="30" spans="2:12">
      <c r="B30" s="212"/>
      <c r="C30" s="212"/>
      <c r="D30" s="212" t="s">
        <v>286</v>
      </c>
      <c r="E30" s="212"/>
      <c r="F30" s="212"/>
      <c r="G30" s="212" t="s">
        <v>586</v>
      </c>
      <c r="H30" s="214" t="s">
        <v>233</v>
      </c>
      <c r="I30" s="212" t="s">
        <v>1001</v>
      </c>
      <c r="K30" s="212" t="s">
        <v>1002</v>
      </c>
      <c r="L30" s="212" t="s">
        <v>1003</v>
      </c>
    </row>
    <row r="31" spans="2:12">
      <c r="B31" s="212"/>
      <c r="C31" s="212"/>
      <c r="D31" s="212" t="s">
        <v>1004</v>
      </c>
      <c r="E31" s="212"/>
      <c r="F31" s="212"/>
      <c r="G31" s="212" t="s">
        <v>1005</v>
      </c>
      <c r="H31" s="214" t="s">
        <v>1006</v>
      </c>
      <c r="I31" s="212" t="s">
        <v>1007</v>
      </c>
      <c r="K31" s="212" t="s">
        <v>1008</v>
      </c>
      <c r="L31" s="212" t="s">
        <v>569</v>
      </c>
    </row>
    <row r="32" spans="2:12">
      <c r="B32" s="212"/>
      <c r="C32" s="212"/>
      <c r="D32" s="212" t="s">
        <v>320</v>
      </c>
      <c r="E32" s="212"/>
      <c r="F32" s="212"/>
      <c r="G32" s="212" t="s">
        <v>1009</v>
      </c>
      <c r="H32" s="214" t="s">
        <v>1010</v>
      </c>
      <c r="I32" s="212" t="s">
        <v>1011</v>
      </c>
      <c r="K32" s="212" t="s">
        <v>1012</v>
      </c>
      <c r="L32" s="212" t="s">
        <v>568</v>
      </c>
    </row>
    <row r="33" spans="2:12">
      <c r="B33" s="212"/>
      <c r="C33" s="212"/>
      <c r="D33" s="212" t="s">
        <v>272</v>
      </c>
      <c r="E33" s="212"/>
      <c r="F33" s="212"/>
      <c r="G33" s="212" t="s">
        <v>463</v>
      </c>
      <c r="H33" s="214" t="s">
        <v>1013</v>
      </c>
      <c r="I33" s="212" t="s">
        <v>1014</v>
      </c>
      <c r="K33" s="212" t="s">
        <v>1015</v>
      </c>
      <c r="L33" s="212" t="s">
        <v>500</v>
      </c>
    </row>
    <row r="34" spans="2:12">
      <c r="B34" s="212"/>
      <c r="C34" s="212"/>
      <c r="D34" s="212" t="s">
        <v>305</v>
      </c>
      <c r="E34" s="212"/>
      <c r="F34" s="212"/>
      <c r="G34" s="212" t="s">
        <v>694</v>
      </c>
      <c r="H34" s="214" t="s">
        <v>1016</v>
      </c>
      <c r="I34" s="212" t="s">
        <v>1017</v>
      </c>
      <c r="K34" s="213" t="s">
        <v>1018</v>
      </c>
      <c r="L34" s="212" t="s">
        <v>1019</v>
      </c>
    </row>
    <row r="35" spans="2:12">
      <c r="B35" s="212"/>
      <c r="C35" s="212"/>
      <c r="D35" s="212" t="s">
        <v>273</v>
      </c>
      <c r="E35" s="212"/>
      <c r="F35" s="212"/>
      <c r="G35" s="212" t="s">
        <v>686</v>
      </c>
      <c r="H35" s="214" t="s">
        <v>1020</v>
      </c>
      <c r="I35" s="212" t="s">
        <v>1021</v>
      </c>
      <c r="K35" s="212" t="s">
        <v>1022</v>
      </c>
      <c r="L35" s="212" t="s">
        <v>495</v>
      </c>
    </row>
    <row r="36" spans="2:12">
      <c r="B36" s="212"/>
      <c r="C36" s="212"/>
      <c r="D36" s="212" t="s">
        <v>1023</v>
      </c>
      <c r="E36" s="212"/>
      <c r="F36" s="212"/>
      <c r="G36" s="212" t="s">
        <v>1024</v>
      </c>
      <c r="H36" s="214" t="s">
        <v>1025</v>
      </c>
      <c r="I36" s="212" t="s">
        <v>1026</v>
      </c>
      <c r="K36" s="212" t="s">
        <v>1027</v>
      </c>
      <c r="L36" s="212" t="s">
        <v>1028</v>
      </c>
    </row>
    <row r="37" spans="2:12">
      <c r="B37" s="212"/>
      <c r="C37" s="212"/>
      <c r="D37" s="212" t="s">
        <v>274</v>
      </c>
      <c r="E37" s="212"/>
      <c r="F37" s="212"/>
      <c r="G37" s="212" t="s">
        <v>708</v>
      </c>
      <c r="H37" s="214" t="s">
        <v>232</v>
      </c>
      <c r="I37" s="212" t="s">
        <v>1029</v>
      </c>
      <c r="K37" s="212" t="s">
        <v>1030</v>
      </c>
      <c r="L37" s="212" t="s">
        <v>1031</v>
      </c>
    </row>
    <row r="38" spans="2:12">
      <c r="B38" s="212"/>
      <c r="C38" s="212"/>
      <c r="D38" s="212" t="s">
        <v>1032</v>
      </c>
      <c r="E38" s="212"/>
      <c r="F38" s="212"/>
      <c r="G38" s="212" t="s">
        <v>698</v>
      </c>
      <c r="H38" s="214" t="s">
        <v>188</v>
      </c>
      <c r="I38" s="212" t="s">
        <v>1033</v>
      </c>
      <c r="K38" s="212" t="s">
        <v>1034</v>
      </c>
      <c r="L38" s="212" t="s">
        <v>523</v>
      </c>
    </row>
    <row r="39" spans="2:12">
      <c r="B39" s="212"/>
      <c r="C39" s="212"/>
      <c r="D39" s="212" t="s">
        <v>1035</v>
      </c>
      <c r="E39" s="212"/>
      <c r="F39" s="212"/>
      <c r="G39" s="212" t="s">
        <v>706</v>
      </c>
      <c r="H39" s="214" t="s">
        <v>1036</v>
      </c>
      <c r="I39" s="212" t="s">
        <v>1037</v>
      </c>
      <c r="K39" s="212" t="s">
        <v>1038</v>
      </c>
      <c r="L39" s="212" t="s">
        <v>524</v>
      </c>
    </row>
    <row r="40" spans="2:12">
      <c r="B40" s="212"/>
      <c r="C40" s="212"/>
      <c r="D40" s="212" t="s">
        <v>1039</v>
      </c>
      <c r="E40" s="212"/>
      <c r="F40" s="212"/>
      <c r="G40" s="216" t="s">
        <v>704</v>
      </c>
      <c r="H40" s="214"/>
      <c r="I40" s="212" t="s">
        <v>1040</v>
      </c>
      <c r="K40" s="212" t="s">
        <v>1041</v>
      </c>
      <c r="L40" s="213" t="s">
        <v>542</v>
      </c>
    </row>
    <row r="41" spans="2:12">
      <c r="B41" s="212"/>
      <c r="C41" s="212"/>
      <c r="D41" s="212" t="s">
        <v>325</v>
      </c>
      <c r="E41" s="212"/>
      <c r="F41" s="212"/>
      <c r="G41" s="212" t="s">
        <v>361</v>
      </c>
      <c r="H41" s="214"/>
      <c r="I41" s="212" t="s">
        <v>1042</v>
      </c>
      <c r="K41" s="212" t="s">
        <v>1043</v>
      </c>
      <c r="L41" s="212" t="s">
        <v>1044</v>
      </c>
    </row>
    <row r="42" spans="2:12">
      <c r="B42" s="212"/>
      <c r="C42" s="212"/>
      <c r="D42" s="212" t="s">
        <v>1045</v>
      </c>
      <c r="E42" s="212"/>
      <c r="F42" s="212"/>
      <c r="G42" s="212" t="s">
        <v>177</v>
      </c>
      <c r="H42" s="214"/>
      <c r="I42" s="212" t="s">
        <v>1046</v>
      </c>
      <c r="K42" s="212" t="s">
        <v>486</v>
      </c>
      <c r="L42" s="212" t="s">
        <v>540</v>
      </c>
    </row>
    <row r="43" spans="2:12">
      <c r="B43" s="212"/>
      <c r="C43" s="212"/>
      <c r="D43" s="212" t="s">
        <v>278</v>
      </c>
      <c r="E43" s="212"/>
      <c r="F43" s="212"/>
      <c r="G43" s="216" t="s">
        <v>175</v>
      </c>
      <c r="H43" s="214"/>
      <c r="I43" s="212" t="s">
        <v>1047</v>
      </c>
      <c r="K43" s="215" t="s">
        <v>487</v>
      </c>
      <c r="L43" s="212" t="s">
        <v>538</v>
      </c>
    </row>
    <row r="44" spans="2:12">
      <c r="B44" s="212"/>
      <c r="C44" s="212"/>
      <c r="D44" s="212" t="s">
        <v>306</v>
      </c>
      <c r="E44" s="212"/>
      <c r="F44" s="212"/>
      <c r="G44" s="212" t="s">
        <v>469</v>
      </c>
      <c r="H44" s="214"/>
      <c r="I44" s="212" t="s">
        <v>1048</v>
      </c>
      <c r="K44" s="212" t="s">
        <v>1049</v>
      </c>
      <c r="L44" s="212" t="s">
        <v>537</v>
      </c>
    </row>
    <row r="45" spans="2:12">
      <c r="B45" s="212"/>
      <c r="C45" s="212"/>
      <c r="D45" s="212" t="s">
        <v>327</v>
      </c>
      <c r="E45" s="212"/>
      <c r="F45" s="212"/>
      <c r="G45" s="212" t="s">
        <v>1050</v>
      </c>
      <c r="H45" s="212"/>
      <c r="I45" s="212" t="s">
        <v>1051</v>
      </c>
      <c r="K45" s="212" t="s">
        <v>1052</v>
      </c>
      <c r="L45" s="213" t="s">
        <v>1053</v>
      </c>
    </row>
    <row r="46" spans="2:12">
      <c r="B46" s="212"/>
      <c r="C46" s="212"/>
      <c r="D46" s="213" t="s">
        <v>1054</v>
      </c>
      <c r="E46" s="212"/>
      <c r="F46" s="212"/>
      <c r="G46" s="214" t="s">
        <v>1055</v>
      </c>
      <c r="H46" s="213"/>
      <c r="I46" s="212" t="s">
        <v>1056</v>
      </c>
      <c r="K46" s="212" t="s">
        <v>1057</v>
      </c>
      <c r="L46" s="212" t="s">
        <v>535</v>
      </c>
    </row>
    <row r="47" spans="2:12">
      <c r="B47" s="212"/>
      <c r="C47" s="212"/>
      <c r="D47" s="213" t="s">
        <v>328</v>
      </c>
      <c r="E47" s="212"/>
      <c r="F47" s="212"/>
      <c r="G47" s="214" t="s">
        <v>467</v>
      </c>
      <c r="H47" s="212"/>
      <c r="I47" s="212" t="s">
        <v>1058</v>
      </c>
      <c r="K47" s="212" t="s">
        <v>1059</v>
      </c>
      <c r="L47" s="212" t="s">
        <v>1060</v>
      </c>
    </row>
    <row r="48" spans="2:12">
      <c r="B48" s="212"/>
      <c r="C48" s="212"/>
      <c r="D48" s="212" t="s">
        <v>308</v>
      </c>
      <c r="E48" s="212"/>
      <c r="F48" s="212"/>
      <c r="G48" s="214" t="s">
        <v>1061</v>
      </c>
      <c r="H48" s="212"/>
      <c r="I48" s="212" t="s">
        <v>1062</v>
      </c>
      <c r="K48" s="212" t="s">
        <v>1063</v>
      </c>
      <c r="L48" s="212" t="s">
        <v>1064</v>
      </c>
    </row>
    <row r="49" spans="2:12">
      <c r="B49" s="212"/>
      <c r="C49" s="212"/>
      <c r="D49" s="213" t="s">
        <v>1065</v>
      </c>
      <c r="E49" s="212"/>
      <c r="F49" s="212"/>
      <c r="G49" s="214"/>
      <c r="H49" s="212"/>
      <c r="I49" s="212" t="s">
        <v>1066</v>
      </c>
      <c r="K49" s="212" t="s">
        <v>1067</v>
      </c>
      <c r="L49" s="212" t="s">
        <v>533</v>
      </c>
    </row>
    <row r="50" spans="2:12">
      <c r="B50" s="212"/>
      <c r="C50" s="212"/>
      <c r="D50" s="212" t="s">
        <v>279</v>
      </c>
      <c r="E50" s="212"/>
      <c r="F50" s="212"/>
      <c r="G50" s="214"/>
      <c r="H50" s="212"/>
      <c r="I50" s="212" t="s">
        <v>1068</v>
      </c>
      <c r="K50" s="212" t="s">
        <v>1069</v>
      </c>
      <c r="L50" s="212" t="s">
        <v>527</v>
      </c>
    </row>
    <row r="51" spans="2:12">
      <c r="B51" s="212"/>
      <c r="C51" s="212"/>
      <c r="D51" s="212" t="s">
        <v>280</v>
      </c>
      <c r="G51" s="214"/>
      <c r="H51" s="212"/>
      <c r="I51" s="212" t="s">
        <v>1070</v>
      </c>
      <c r="K51" s="212" t="s">
        <v>1071</v>
      </c>
      <c r="L51" s="212" t="s">
        <v>1072</v>
      </c>
    </row>
    <row r="52" spans="2:12">
      <c r="B52" s="212"/>
      <c r="C52" s="212"/>
      <c r="D52" s="212" t="s">
        <v>329</v>
      </c>
      <c r="G52" s="214"/>
      <c r="H52" s="217"/>
      <c r="I52" s="213" t="s">
        <v>368</v>
      </c>
      <c r="K52" s="212" t="s">
        <v>1073</v>
      </c>
      <c r="L52" s="212" t="s">
        <v>1074</v>
      </c>
    </row>
    <row r="53" spans="2:12">
      <c r="B53" s="212"/>
      <c r="C53" s="212"/>
      <c r="D53" s="212" t="s">
        <v>330</v>
      </c>
      <c r="H53" s="214"/>
      <c r="I53" s="212" t="s">
        <v>1075</v>
      </c>
      <c r="K53" s="212" t="s">
        <v>1076</v>
      </c>
      <c r="L53" s="212" t="s">
        <v>1077</v>
      </c>
    </row>
    <row r="54" spans="2:12">
      <c r="B54" s="212"/>
      <c r="C54" s="212"/>
      <c r="D54" s="212" t="s">
        <v>309</v>
      </c>
      <c r="H54" s="214"/>
      <c r="I54" s="212" t="s">
        <v>1078</v>
      </c>
      <c r="K54" s="213" t="s">
        <v>1079</v>
      </c>
      <c r="L54" s="212" t="s">
        <v>1080</v>
      </c>
    </row>
    <row r="55" spans="2:12">
      <c r="B55" s="212"/>
      <c r="C55" s="212"/>
      <c r="D55" s="213" t="s">
        <v>1081</v>
      </c>
      <c r="H55" s="214"/>
      <c r="I55" s="213" t="s">
        <v>1082</v>
      </c>
      <c r="K55" s="212" t="s">
        <v>1083</v>
      </c>
      <c r="L55" s="212" t="s">
        <v>1084</v>
      </c>
    </row>
    <row r="56" spans="2:12">
      <c r="B56" s="212"/>
      <c r="C56" s="212"/>
      <c r="D56" s="212" t="s">
        <v>340</v>
      </c>
      <c r="H56" s="214"/>
      <c r="I56" s="212" t="s">
        <v>1085</v>
      </c>
      <c r="K56" s="212" t="s">
        <v>1086</v>
      </c>
      <c r="L56" s="212" t="s">
        <v>1087</v>
      </c>
    </row>
    <row r="57" spans="2:12" ht="14.5" customHeight="1">
      <c r="B57" s="212"/>
      <c r="C57" s="212"/>
      <c r="D57" s="212" t="s">
        <v>270</v>
      </c>
      <c r="H57" s="214"/>
      <c r="I57" s="212" t="s">
        <v>1088</v>
      </c>
      <c r="K57" s="212" t="s">
        <v>476</v>
      </c>
      <c r="L57" t="s">
        <v>573</v>
      </c>
    </row>
    <row r="58" spans="2:12">
      <c r="B58" s="212"/>
      <c r="C58" s="212"/>
      <c r="D58" s="212" t="s">
        <v>341</v>
      </c>
      <c r="H58" s="214"/>
      <c r="I58" s="212" t="s">
        <v>1089</v>
      </c>
      <c r="K58" s="212"/>
      <c r="L58" s="212"/>
    </row>
    <row r="59" spans="2:12">
      <c r="B59" s="212"/>
      <c r="C59" s="212"/>
      <c r="D59" s="212" t="s">
        <v>349</v>
      </c>
      <c r="H59" s="214"/>
      <c r="I59" s="212" t="s">
        <v>1090</v>
      </c>
      <c r="K59" s="212"/>
      <c r="L59" s="212"/>
    </row>
    <row r="60" spans="2:12">
      <c r="B60" s="212"/>
      <c r="C60" s="212"/>
      <c r="D60" s="212" t="s">
        <v>310</v>
      </c>
      <c r="H60" s="218"/>
      <c r="I60" s="212" t="s">
        <v>1091</v>
      </c>
      <c r="K60" s="212"/>
      <c r="L60" s="212"/>
    </row>
    <row r="61" spans="2:12">
      <c r="B61" s="212"/>
      <c r="C61" s="212"/>
      <c r="D61" s="213" t="s">
        <v>1092</v>
      </c>
      <c r="H61" s="214"/>
      <c r="I61" s="212" t="s">
        <v>1093</v>
      </c>
      <c r="K61" s="212"/>
      <c r="L61" s="212"/>
    </row>
    <row r="62" spans="2:12">
      <c r="B62" s="212"/>
      <c r="C62" s="212"/>
      <c r="D62" s="212" t="s">
        <v>258</v>
      </c>
      <c r="H62" s="214"/>
      <c r="I62" s="212" t="s">
        <v>1094</v>
      </c>
      <c r="K62" s="212"/>
      <c r="L62" s="212"/>
    </row>
    <row r="63" spans="2:12">
      <c r="B63" s="212"/>
      <c r="C63" s="212"/>
      <c r="D63" s="212" t="s">
        <v>350</v>
      </c>
      <c r="H63" s="214"/>
      <c r="I63" s="212" t="s">
        <v>1095</v>
      </c>
      <c r="K63" s="212"/>
      <c r="L63" s="212"/>
    </row>
    <row r="64" spans="2:12">
      <c r="B64" s="212"/>
      <c r="C64" s="212"/>
      <c r="D64" s="212" t="s">
        <v>261</v>
      </c>
      <c r="H64" s="214"/>
      <c r="I64" s="212" t="s">
        <v>1096</v>
      </c>
      <c r="K64" s="212"/>
      <c r="L64" s="212"/>
    </row>
    <row r="65" spans="2:12">
      <c r="B65" s="212"/>
      <c r="C65" s="212"/>
      <c r="D65" s="212" t="s">
        <v>352</v>
      </c>
      <c r="H65" s="214"/>
      <c r="I65" s="212" t="s">
        <v>1097</v>
      </c>
      <c r="K65" s="212"/>
      <c r="L65" s="212"/>
    </row>
    <row r="66" spans="2:12">
      <c r="B66" s="212"/>
      <c r="C66" s="212"/>
      <c r="D66" s="212" t="s">
        <v>353</v>
      </c>
      <c r="H66" s="219"/>
      <c r="I66" s="212" t="s">
        <v>1098</v>
      </c>
      <c r="K66" s="212"/>
      <c r="L66" s="212"/>
    </row>
    <row r="67" spans="2:12">
      <c r="B67" s="212"/>
      <c r="C67" s="212"/>
      <c r="D67" s="212" t="s">
        <v>1099</v>
      </c>
      <c r="H67" s="214"/>
      <c r="I67" s="212" t="s">
        <v>1100</v>
      </c>
      <c r="K67" s="212"/>
      <c r="L67" s="212"/>
    </row>
    <row r="68" spans="2:12">
      <c r="B68" s="212"/>
      <c r="C68" s="212"/>
      <c r="D68" s="212" t="s">
        <v>354</v>
      </c>
      <c r="H68" s="214"/>
      <c r="I68" s="212" t="s">
        <v>1101</v>
      </c>
      <c r="K68" s="212"/>
      <c r="L68" s="212"/>
    </row>
    <row r="69" spans="2:12">
      <c r="B69" s="212"/>
      <c r="C69" s="212"/>
      <c r="D69" s="212" t="s">
        <v>1102</v>
      </c>
      <c r="H69" s="214"/>
      <c r="I69" s="212" t="s">
        <v>1103</v>
      </c>
      <c r="K69" s="212"/>
      <c r="L69" s="212"/>
    </row>
    <row r="70" spans="2:12">
      <c r="B70" s="212"/>
      <c r="C70" s="212"/>
      <c r="D70" s="213" t="s">
        <v>1104</v>
      </c>
      <c r="H70" s="214"/>
      <c r="I70" s="212" t="s">
        <v>1105</v>
      </c>
      <c r="K70" s="212"/>
      <c r="L70" s="212"/>
    </row>
    <row r="71" spans="2:12">
      <c r="B71" s="212"/>
      <c r="C71" s="212"/>
      <c r="D71" s="212" t="s">
        <v>265</v>
      </c>
      <c r="H71" s="214"/>
      <c r="I71" s="212" t="s">
        <v>1106</v>
      </c>
      <c r="K71" s="212"/>
      <c r="L71" s="212"/>
    </row>
    <row r="72" spans="2:12">
      <c r="B72" s="212"/>
      <c r="C72" s="212"/>
      <c r="D72" s="212" t="s">
        <v>266</v>
      </c>
      <c r="H72" s="214"/>
      <c r="I72" s="212" t="s">
        <v>1107</v>
      </c>
      <c r="K72" s="212"/>
      <c r="L72" s="212"/>
    </row>
    <row r="73" spans="2:12">
      <c r="B73" s="212"/>
      <c r="C73" s="212"/>
      <c r="D73" s="212" t="s">
        <v>1108</v>
      </c>
      <c r="H73" s="214"/>
      <c r="I73" s="212" t="s">
        <v>1109</v>
      </c>
      <c r="K73" s="212"/>
      <c r="L73" s="212"/>
    </row>
    <row r="74" spans="2:12">
      <c r="B74" s="212"/>
      <c r="C74" s="212"/>
      <c r="D74" s="212"/>
      <c r="H74" s="214"/>
      <c r="I74" s="212" t="s">
        <v>1110</v>
      </c>
      <c r="K74" s="212"/>
      <c r="L74" s="212"/>
    </row>
    <row r="75" spans="2:12">
      <c r="B75" s="212"/>
      <c r="C75" s="212"/>
      <c r="D75" s="212"/>
      <c r="H75" s="214"/>
      <c r="I75" s="212" t="s">
        <v>1111</v>
      </c>
      <c r="K75" s="212"/>
      <c r="L75" s="212"/>
    </row>
    <row r="76" spans="2:12">
      <c r="B76" s="212"/>
      <c r="C76" s="212"/>
      <c r="D76" s="212"/>
      <c r="H76" s="214"/>
      <c r="I76" s="212" t="s">
        <v>1112</v>
      </c>
      <c r="K76" s="212"/>
      <c r="L76" s="212"/>
    </row>
    <row r="77" spans="2:12">
      <c r="B77" s="212"/>
      <c r="C77" s="212"/>
      <c r="D77" s="212"/>
      <c r="H77" s="214"/>
      <c r="I77" s="212" t="s">
        <v>1113</v>
      </c>
      <c r="K77" s="212"/>
      <c r="L77" s="212"/>
    </row>
    <row r="78" spans="2:12">
      <c r="B78" s="212"/>
      <c r="C78" s="212"/>
      <c r="D78" s="212"/>
      <c r="H78" s="214"/>
      <c r="I78" s="212" t="s">
        <v>1114</v>
      </c>
      <c r="K78" s="212"/>
      <c r="L78" s="212"/>
    </row>
    <row r="79" spans="2:12">
      <c r="B79" s="212"/>
      <c r="C79" s="212"/>
      <c r="D79" s="212"/>
      <c r="H79" s="214"/>
      <c r="I79" s="212" t="s">
        <v>1115</v>
      </c>
      <c r="K79" s="212"/>
      <c r="L79" s="212"/>
    </row>
    <row r="80" spans="2:12">
      <c r="B80" s="212"/>
      <c r="C80" s="212"/>
      <c r="D80" s="212"/>
      <c r="H80" s="214"/>
      <c r="I80" s="212" t="s">
        <v>1116</v>
      </c>
      <c r="K80" s="212"/>
      <c r="L80" s="212"/>
    </row>
    <row r="81" spans="2:12">
      <c r="B81" s="212"/>
      <c r="C81" s="212"/>
      <c r="D81" s="212"/>
      <c r="I81" s="212" t="s">
        <v>1117</v>
      </c>
      <c r="K81" s="212"/>
      <c r="L81" s="212"/>
    </row>
    <row r="82" spans="2:12">
      <c r="B82" s="212"/>
      <c r="C82" s="212"/>
      <c r="D82" s="212"/>
      <c r="I82" s="212" t="s">
        <v>1118</v>
      </c>
      <c r="K82" s="212"/>
      <c r="L82" s="212"/>
    </row>
    <row r="83" spans="2:12">
      <c r="B83" s="212"/>
      <c r="C83" s="212"/>
      <c r="D83" s="212"/>
      <c r="I83" s="212" t="s">
        <v>1119</v>
      </c>
      <c r="K83" s="212"/>
      <c r="L83" s="212"/>
    </row>
    <row r="84" spans="2:12">
      <c r="B84" s="212"/>
      <c r="C84" s="212"/>
      <c r="D84" s="212"/>
      <c r="I84" s="212" t="s">
        <v>1120</v>
      </c>
      <c r="K84" s="212"/>
      <c r="L84" s="212"/>
    </row>
    <row r="85" spans="2:12">
      <c r="B85" s="212"/>
      <c r="C85" s="212"/>
      <c r="D85" s="212"/>
      <c r="I85" s="212" t="s">
        <v>1121</v>
      </c>
      <c r="K85" s="212"/>
      <c r="L85" s="212"/>
    </row>
    <row r="86" spans="2:12">
      <c r="B86" s="212"/>
      <c r="C86" s="212"/>
      <c r="D86" s="212"/>
      <c r="I86" s="212" t="s">
        <v>1122</v>
      </c>
      <c r="K86" s="212"/>
      <c r="L86" s="212"/>
    </row>
    <row r="87" spans="2:12">
      <c r="B87" s="212"/>
      <c r="C87" s="212"/>
      <c r="D87" s="212"/>
      <c r="I87" s="212" t="s">
        <v>1123</v>
      </c>
      <c r="K87" s="212"/>
      <c r="L87" s="212"/>
    </row>
    <row r="88" spans="2:12">
      <c r="B88" s="212"/>
      <c r="C88" s="212"/>
      <c r="D88" s="212"/>
      <c r="I88" s="212" t="s">
        <v>1124</v>
      </c>
      <c r="K88" s="212"/>
      <c r="L88" s="212"/>
    </row>
    <row r="89" spans="2:12">
      <c r="B89" s="212"/>
      <c r="C89" s="212"/>
      <c r="D89" s="212"/>
      <c r="I89" s="212" t="s">
        <v>1125</v>
      </c>
      <c r="K89" s="212"/>
      <c r="L89" s="212"/>
    </row>
    <row r="90" spans="2:12">
      <c r="B90" s="212"/>
      <c r="C90" s="212"/>
      <c r="D90" s="212"/>
      <c r="I90" s="212" t="s">
        <v>1126</v>
      </c>
      <c r="K90" s="212"/>
      <c r="L90" s="212"/>
    </row>
    <row r="91" spans="2:12">
      <c r="B91" s="212"/>
      <c r="C91" s="212"/>
      <c r="D91" s="212"/>
      <c r="I91" s="212" t="s">
        <v>1127</v>
      </c>
      <c r="K91" s="212"/>
      <c r="L91" s="212"/>
    </row>
    <row r="92" spans="2:12">
      <c r="B92" s="212"/>
      <c r="C92" s="212"/>
      <c r="D92" s="212"/>
      <c r="I92" s="212" t="s">
        <v>1128</v>
      </c>
      <c r="K92" s="212"/>
      <c r="L92" s="212"/>
    </row>
    <row r="93" spans="2:12">
      <c r="B93" s="212"/>
      <c r="C93" s="212"/>
      <c r="D93" s="212"/>
      <c r="I93" s="212" t="s">
        <v>365</v>
      </c>
      <c r="K93" s="212"/>
      <c r="L93" s="212"/>
    </row>
    <row r="94" spans="2:12">
      <c r="B94" s="212"/>
      <c r="C94" s="212"/>
      <c r="D94" s="212"/>
      <c r="I94" s="212" t="s">
        <v>1129</v>
      </c>
      <c r="K94" s="212"/>
      <c r="L94" s="212"/>
    </row>
    <row r="95" spans="2:12">
      <c r="B95" s="212"/>
      <c r="C95" s="212"/>
      <c r="D95" s="212"/>
      <c r="I95" s="212" t="s">
        <v>1130</v>
      </c>
      <c r="K95" s="212"/>
      <c r="L95" s="212"/>
    </row>
    <row r="96" spans="2:12">
      <c r="B96" s="212"/>
      <c r="C96" s="212"/>
      <c r="D96" s="212"/>
      <c r="I96" s="212" t="s">
        <v>1131</v>
      </c>
      <c r="K96" s="212"/>
      <c r="L96" s="212"/>
    </row>
    <row r="97" spans="2:12">
      <c r="B97" s="212"/>
      <c r="C97" s="212"/>
      <c r="D97" s="212"/>
      <c r="I97" s="212" t="s">
        <v>1132</v>
      </c>
      <c r="K97" s="212"/>
      <c r="L97" s="212"/>
    </row>
    <row r="98" spans="2:12">
      <c r="B98" s="212"/>
      <c r="C98" s="212"/>
      <c r="D98" s="212"/>
      <c r="I98" s="212" t="s">
        <v>1133</v>
      </c>
      <c r="K98" s="212"/>
      <c r="L98" s="212"/>
    </row>
    <row r="99" spans="2:12">
      <c r="B99" s="212"/>
      <c r="C99" s="212"/>
      <c r="D99" s="212"/>
      <c r="I99" s="212" t="s">
        <v>1134</v>
      </c>
      <c r="K99" s="212"/>
      <c r="L99" s="212"/>
    </row>
    <row r="100" spans="2:12">
      <c r="B100" s="212"/>
      <c r="C100" s="212"/>
      <c r="D100" s="212"/>
      <c r="I100" s="212" t="s">
        <v>1135</v>
      </c>
      <c r="K100" s="212"/>
      <c r="L100" s="212"/>
    </row>
    <row r="101" spans="2:12">
      <c r="B101" s="212"/>
      <c r="C101" s="212"/>
      <c r="D101" s="212"/>
      <c r="I101" s="212" t="s">
        <v>1136</v>
      </c>
      <c r="K101" s="212"/>
      <c r="L101" s="212"/>
    </row>
    <row r="102" spans="2:12">
      <c r="B102" s="212"/>
      <c r="C102" s="212"/>
      <c r="D102" s="212"/>
      <c r="I102" s="212" t="s">
        <v>1137</v>
      </c>
      <c r="K102" s="212"/>
      <c r="L102" s="212"/>
    </row>
    <row r="103" spans="2:12">
      <c r="B103" s="212"/>
      <c r="C103" s="212"/>
      <c r="D103" s="212"/>
      <c r="I103" s="212" t="s">
        <v>1138</v>
      </c>
      <c r="K103" s="212"/>
      <c r="L103" s="212"/>
    </row>
    <row r="104" spans="2:12">
      <c r="B104" s="212"/>
      <c r="C104" s="212"/>
      <c r="D104" s="212"/>
      <c r="I104" s="212" t="s">
        <v>1139</v>
      </c>
      <c r="K104" s="212"/>
      <c r="L104" s="212"/>
    </row>
    <row r="105" spans="2:12">
      <c r="B105" s="212"/>
      <c r="C105" s="212"/>
      <c r="D105" s="212"/>
      <c r="I105" s="212" t="s">
        <v>1140</v>
      </c>
      <c r="K105" s="212"/>
      <c r="L105" s="212"/>
    </row>
    <row r="106" spans="2:12">
      <c r="C106" s="212"/>
      <c r="D106" s="212"/>
      <c r="I106" s="212" t="s">
        <v>1141</v>
      </c>
      <c r="K106" s="212"/>
      <c r="L106" s="212"/>
    </row>
    <row r="107" spans="2:12">
      <c r="B107" s="212"/>
      <c r="C107" s="212"/>
      <c r="D107" s="212"/>
      <c r="I107" s="213" t="s">
        <v>1142</v>
      </c>
      <c r="K107" s="212"/>
      <c r="L107" s="212"/>
    </row>
    <row r="108" spans="2:12">
      <c r="B108" s="212"/>
      <c r="C108" s="212"/>
      <c r="D108" s="212"/>
      <c r="I108" s="212" t="s">
        <v>1143</v>
      </c>
      <c r="K108" s="212"/>
      <c r="L108" s="212"/>
    </row>
    <row r="109" spans="2:12">
      <c r="B109" s="212"/>
      <c r="C109" s="212"/>
      <c r="D109" s="212"/>
      <c r="I109" s="212" t="s">
        <v>1144</v>
      </c>
      <c r="K109" s="212"/>
      <c r="L109" s="212"/>
    </row>
    <row r="110" spans="2:12">
      <c r="B110" s="212"/>
      <c r="C110" s="212"/>
      <c r="D110" s="212"/>
      <c r="I110" s="212" t="s">
        <v>1145</v>
      </c>
      <c r="K110" s="212"/>
      <c r="L110" s="212"/>
    </row>
    <row r="111" spans="2:12">
      <c r="B111" s="212"/>
      <c r="C111" s="212"/>
      <c r="D111" s="212"/>
      <c r="I111" s="212" t="s">
        <v>1146</v>
      </c>
      <c r="K111" s="212"/>
      <c r="L111" s="212"/>
    </row>
    <row r="112" spans="2:12">
      <c r="B112" s="212"/>
      <c r="C112" s="212"/>
      <c r="D112" s="212"/>
      <c r="I112" s="212" t="s">
        <v>1147</v>
      </c>
      <c r="K112" s="212"/>
      <c r="L112" s="212"/>
    </row>
    <row r="113" spans="2:12">
      <c r="B113" s="212"/>
      <c r="C113" s="212"/>
      <c r="D113" s="212"/>
      <c r="I113" s="212" t="s">
        <v>1148</v>
      </c>
      <c r="K113" s="212"/>
      <c r="L113" s="212"/>
    </row>
    <row r="114" spans="2:12">
      <c r="B114" s="212"/>
      <c r="C114" s="212"/>
      <c r="D114" s="212"/>
      <c r="I114" s="212" t="s">
        <v>1149</v>
      </c>
      <c r="K114" s="212"/>
      <c r="L114" s="212"/>
    </row>
    <row r="115" spans="2:12">
      <c r="B115" s="212"/>
      <c r="C115" s="212"/>
      <c r="D115" s="212"/>
      <c r="I115" s="213" t="s">
        <v>1150</v>
      </c>
      <c r="L115" s="212"/>
    </row>
    <row r="116" spans="2:12">
      <c r="B116" s="212"/>
      <c r="C116" s="212"/>
      <c r="D116" s="212"/>
      <c r="I116" s="212" t="s">
        <v>1151</v>
      </c>
      <c r="K116" s="212"/>
      <c r="L116" s="212"/>
    </row>
    <row r="117" spans="2:12">
      <c r="B117" s="212"/>
      <c r="C117" s="212"/>
      <c r="D117" s="212"/>
      <c r="I117" s="212" t="s">
        <v>1152</v>
      </c>
      <c r="K117" s="212"/>
      <c r="L117" s="212"/>
    </row>
    <row r="118" spans="2:12">
      <c r="B118" s="212"/>
      <c r="C118" s="212"/>
      <c r="D118" s="212"/>
      <c r="I118" s="212" t="s">
        <v>1153</v>
      </c>
      <c r="K118" s="212"/>
      <c r="L118" s="212"/>
    </row>
    <row r="119" spans="2:12">
      <c r="B119" s="212"/>
      <c r="C119" s="212"/>
      <c r="D119" s="212"/>
      <c r="I119" s="212" t="s">
        <v>1154</v>
      </c>
      <c r="K119" s="212"/>
      <c r="L119" s="212"/>
    </row>
    <row r="120" spans="2:12">
      <c r="B120" s="212"/>
      <c r="C120" s="212"/>
      <c r="D120" s="212"/>
      <c r="I120" s="212" t="s">
        <v>1155</v>
      </c>
      <c r="K120" s="212"/>
      <c r="L120" s="212"/>
    </row>
    <row r="121" spans="2:12">
      <c r="I121" s="212" t="s">
        <v>1156</v>
      </c>
    </row>
    <row r="122" spans="2:12">
      <c r="I122" s="212" t="s">
        <v>1157</v>
      </c>
    </row>
    <row r="123" spans="2:12">
      <c r="I123" s="213" t="s">
        <v>1158</v>
      </c>
    </row>
    <row r="124" spans="2:12">
      <c r="I124" s="212" t="s">
        <v>1159</v>
      </c>
    </row>
    <row r="125" spans="2:12">
      <c r="I125" s="212" t="s">
        <v>1160</v>
      </c>
    </row>
    <row r="126" spans="2:12">
      <c r="I126" s="212" t="s">
        <v>1161</v>
      </c>
    </row>
    <row r="127" spans="2:12">
      <c r="I127" s="212" t="s">
        <v>1162</v>
      </c>
    </row>
    <row r="128" spans="2:12">
      <c r="I128" s="212" t="s">
        <v>1163</v>
      </c>
    </row>
    <row r="129" spans="9:9">
      <c r="I129" s="212" t="s">
        <v>1164</v>
      </c>
    </row>
    <row r="130" spans="9:9">
      <c r="I130" s="212" t="s">
        <v>1165</v>
      </c>
    </row>
    <row r="131" spans="9:9">
      <c r="I131" s="212" t="s">
        <v>1166</v>
      </c>
    </row>
    <row r="132" spans="9:9">
      <c r="I132" s="212" t="s">
        <v>1167</v>
      </c>
    </row>
    <row r="133" spans="9:9">
      <c r="I133" s="212" t="s">
        <v>1168</v>
      </c>
    </row>
    <row r="134" spans="9:9">
      <c r="I134" s="212" t="s">
        <v>1169</v>
      </c>
    </row>
    <row r="135" spans="9:9">
      <c r="I135" s="212" t="s">
        <v>1170</v>
      </c>
    </row>
    <row r="136" spans="9:9">
      <c r="I136" s="212" t="s">
        <v>1171</v>
      </c>
    </row>
    <row r="137" spans="9:9">
      <c r="I137" s="212" t="s">
        <v>1172</v>
      </c>
    </row>
    <row r="138" spans="9:9">
      <c r="I138" s="212" t="s">
        <v>1173</v>
      </c>
    </row>
    <row r="139" spans="9:9">
      <c r="I139" s="212" t="s">
        <v>1174</v>
      </c>
    </row>
    <row r="140" spans="9:9">
      <c r="I140" s="212" t="s">
        <v>1175</v>
      </c>
    </row>
    <row r="141" spans="9:9">
      <c r="I141" s="212" t="s">
        <v>1176</v>
      </c>
    </row>
    <row r="142" spans="9:9">
      <c r="I142" s="212" t="s">
        <v>1177</v>
      </c>
    </row>
    <row r="143" spans="9:9">
      <c r="I143" s="212" t="s">
        <v>1178</v>
      </c>
    </row>
    <row r="144" spans="9:9">
      <c r="I144" s="212" t="s">
        <v>1179</v>
      </c>
    </row>
    <row r="145" spans="9:9">
      <c r="I145" s="212" t="s">
        <v>1180</v>
      </c>
    </row>
    <row r="146" spans="9:9">
      <c r="I146" s="212" t="s">
        <v>1181</v>
      </c>
    </row>
    <row r="147" spans="9:9">
      <c r="I147" s="212" t="s">
        <v>1182</v>
      </c>
    </row>
    <row r="148" spans="9:9">
      <c r="I148" s="213" t="s">
        <v>1183</v>
      </c>
    </row>
    <row r="149" spans="9:9">
      <c r="I149" s="212" t="s">
        <v>1184</v>
      </c>
    </row>
    <row r="150" spans="9:9">
      <c r="I150" s="212" t="s">
        <v>1185</v>
      </c>
    </row>
    <row r="151" spans="9:9">
      <c r="I151" s="212" t="s">
        <v>1186</v>
      </c>
    </row>
    <row r="152" spans="9:9">
      <c r="I152" s="212" t="s">
        <v>1187</v>
      </c>
    </row>
    <row r="153" spans="9:9">
      <c r="I153" s="212" t="s">
        <v>1188</v>
      </c>
    </row>
    <row r="154" spans="9:9">
      <c r="I154" s="212" t="s">
        <v>1189</v>
      </c>
    </row>
    <row r="155" spans="9:9">
      <c r="I155" s="212" t="s">
        <v>1190</v>
      </c>
    </row>
    <row r="156" spans="9:9">
      <c r="I156" s="212" t="s">
        <v>1191</v>
      </c>
    </row>
    <row r="157" spans="9:9">
      <c r="I157" s="212" t="s">
        <v>1192</v>
      </c>
    </row>
    <row r="158" spans="9:9">
      <c r="I158" s="212"/>
    </row>
    <row r="159" spans="9:9">
      <c r="I159" s="212"/>
    </row>
    <row r="160" spans="9:9">
      <c r="I160" s="212"/>
    </row>
    <row r="161" spans="9:9">
      <c r="I161" s="212"/>
    </row>
    <row r="162" spans="9:9">
      <c r="I162" s="212"/>
    </row>
    <row r="163" spans="9:9">
      <c r="I163" s="212"/>
    </row>
    <row r="164" spans="9:9">
      <c r="I164" s="212"/>
    </row>
    <row r="165" spans="9:9">
      <c r="I165" s="212"/>
    </row>
    <row r="166" spans="9:9">
      <c r="I166" s="212"/>
    </row>
    <row r="167" spans="9:9">
      <c r="I167" s="212"/>
    </row>
    <row r="168" spans="9:9">
      <c r="I168" s="212"/>
    </row>
    <row r="169" spans="9:9">
      <c r="I169" s="212"/>
    </row>
    <row r="170" spans="9:9">
      <c r="I170" s="212"/>
    </row>
    <row r="171" spans="9:9">
      <c r="I171" s="212"/>
    </row>
    <row r="172" spans="9:9">
      <c r="I172" s="212"/>
    </row>
    <row r="173" spans="9:9">
      <c r="I173" s="212"/>
    </row>
    <row r="174" spans="9:9">
      <c r="I174" s="212"/>
    </row>
    <row r="175" spans="9:9">
      <c r="I175" s="212"/>
    </row>
    <row r="176" spans="9:9">
      <c r="I176" s="212"/>
    </row>
    <row r="177" spans="9:9">
      <c r="I177" s="212"/>
    </row>
    <row r="178" spans="9:9">
      <c r="I178" s="212"/>
    </row>
    <row r="179" spans="9:9">
      <c r="I179" s="212"/>
    </row>
    <row r="180" spans="9:9">
      <c r="I180" s="212"/>
    </row>
    <row r="181" spans="9:9">
      <c r="I181" s="212"/>
    </row>
    <row r="182" spans="9:9">
      <c r="I182" s="212"/>
    </row>
    <row r="183" spans="9:9">
      <c r="I183" s="212"/>
    </row>
    <row r="184" spans="9:9">
      <c r="I184" s="212"/>
    </row>
    <row r="185" spans="9:9">
      <c r="I185" s="212"/>
    </row>
    <row r="186" spans="9:9">
      <c r="I186" s="212"/>
    </row>
    <row r="187" spans="9:9">
      <c r="I187" s="212"/>
    </row>
    <row r="188" spans="9:9">
      <c r="I188" s="212"/>
    </row>
    <row r="189" spans="9:9">
      <c r="I189" s="212"/>
    </row>
    <row r="190" spans="9:9">
      <c r="I190" s="212"/>
    </row>
    <row r="191" spans="9:9">
      <c r="I191" s="213"/>
    </row>
    <row r="192" spans="9:9">
      <c r="I192" s="212"/>
    </row>
    <row r="193" spans="9:9">
      <c r="I193" s="212"/>
    </row>
    <row r="194" spans="9:9">
      <c r="I194" s="212"/>
    </row>
    <row r="195" spans="9:9">
      <c r="I195" s="212"/>
    </row>
    <row r="196" spans="9:9">
      <c r="I196" s="212"/>
    </row>
    <row r="197" spans="9:9">
      <c r="I197" s="212"/>
    </row>
    <row r="198" spans="9:9">
      <c r="I198" s="212"/>
    </row>
    <row r="199" spans="9:9">
      <c r="I199" s="212"/>
    </row>
    <row r="200" spans="9:9">
      <c r="I200" s="212"/>
    </row>
    <row r="201" spans="9:9">
      <c r="I201" s="212"/>
    </row>
    <row r="202" spans="9:9">
      <c r="I202" s="212"/>
    </row>
    <row r="203" spans="9:9">
      <c r="I203" s="212"/>
    </row>
    <row r="204" spans="9:9">
      <c r="I204" s="212"/>
    </row>
    <row r="205" spans="9:9">
      <c r="I205" s="212"/>
    </row>
    <row r="206" spans="9:9">
      <c r="I206" s="212"/>
    </row>
    <row r="207" spans="9:9">
      <c r="I207" s="212"/>
    </row>
    <row r="208" spans="9:9">
      <c r="I208" s="212"/>
    </row>
    <row r="209" spans="9:9">
      <c r="I209" s="212"/>
    </row>
    <row r="210" spans="9:9">
      <c r="I210" s="212"/>
    </row>
    <row r="211" spans="9:9">
      <c r="I211" s="212"/>
    </row>
    <row r="212" spans="9:9">
      <c r="I212" s="212"/>
    </row>
    <row r="213" spans="9:9">
      <c r="I213" s="212"/>
    </row>
    <row r="214" spans="9:9">
      <c r="I214" s="212"/>
    </row>
    <row r="215" spans="9:9">
      <c r="I215" s="212"/>
    </row>
    <row r="216" spans="9:9">
      <c r="I216" s="212"/>
    </row>
    <row r="217" spans="9:9">
      <c r="I217" s="212"/>
    </row>
    <row r="218" spans="9:9">
      <c r="I218" s="212"/>
    </row>
    <row r="219" spans="9:9">
      <c r="I219" s="212"/>
    </row>
    <row r="220" spans="9:9">
      <c r="I220" s="212"/>
    </row>
    <row r="221" spans="9:9">
      <c r="I221" s="212"/>
    </row>
    <row r="222" spans="9:9">
      <c r="I222" s="212"/>
    </row>
    <row r="223" spans="9:9">
      <c r="I223" s="212"/>
    </row>
    <row r="224" spans="9:9">
      <c r="I224" s="212"/>
    </row>
    <row r="225" spans="9:9">
      <c r="I225" s="212"/>
    </row>
    <row r="226" spans="9:9">
      <c r="I226" s="214"/>
    </row>
    <row r="227" spans="9:9">
      <c r="I227" s="214"/>
    </row>
    <row r="228" spans="9:9">
      <c r="I228" s="214"/>
    </row>
    <row r="229" spans="9:9">
      <c r="I229" s="214"/>
    </row>
    <row r="230" spans="9:9">
      <c r="I230" s="214"/>
    </row>
    <row r="231" spans="9:9">
      <c r="I231" s="214"/>
    </row>
    <row r="232" spans="9:9">
      <c r="I232" s="214"/>
    </row>
    <row r="233" spans="9:9">
      <c r="I233" s="214"/>
    </row>
    <row r="234" spans="9:9">
      <c r="I234" s="218"/>
    </row>
    <row r="235" spans="9:9">
      <c r="I235" s="214"/>
    </row>
    <row r="236" spans="9:9">
      <c r="I236" s="218"/>
    </row>
    <row r="237" spans="9:9">
      <c r="I237" s="214"/>
    </row>
    <row r="238" spans="9:9">
      <c r="I238" s="214"/>
    </row>
    <row r="239" spans="9:9">
      <c r="I239" s="212"/>
    </row>
    <row r="240" spans="9:9">
      <c r="I240" s="214"/>
    </row>
    <row r="241" spans="9:9">
      <c r="I241" s="214"/>
    </row>
    <row r="242" spans="9:9">
      <c r="I242" s="214"/>
    </row>
    <row r="243" spans="9:9">
      <c r="I243" s="214"/>
    </row>
    <row r="244" spans="9:9">
      <c r="I244" s="214"/>
    </row>
    <row r="245" spans="9:9">
      <c r="I245" s="214"/>
    </row>
    <row r="246" spans="9:9">
      <c r="I246" s="212"/>
    </row>
    <row r="247" spans="9:9">
      <c r="I247" s="218"/>
    </row>
    <row r="248" spans="9:9">
      <c r="I248" s="214"/>
    </row>
    <row r="249" spans="9:9">
      <c r="I249" s="214"/>
    </row>
    <row r="250" spans="9:9">
      <c r="I250" s="214"/>
    </row>
    <row r="251" spans="9:9">
      <c r="I251" s="214"/>
    </row>
    <row r="252" spans="9:9">
      <c r="I252" s="214"/>
    </row>
    <row r="253" spans="9:9">
      <c r="I253" s="214"/>
    </row>
    <row r="254" spans="9:9">
      <c r="I254" s="214"/>
    </row>
    <row r="255" spans="9:9">
      <c r="I255" s="214"/>
    </row>
    <row r="256" spans="9:9">
      <c r="I256" s="214"/>
    </row>
    <row r="257" spans="9:9">
      <c r="I257" s="214"/>
    </row>
    <row r="258" spans="9:9">
      <c r="I258" s="214"/>
    </row>
    <row r="259" spans="9:9">
      <c r="I259" s="214"/>
    </row>
    <row r="260" spans="9:9">
      <c r="I260" s="214"/>
    </row>
    <row r="261" spans="9:9">
      <c r="I261" s="214"/>
    </row>
    <row r="262" spans="9:9">
      <c r="I262" s="214"/>
    </row>
    <row r="263" spans="9:9">
      <c r="I263" s="214"/>
    </row>
    <row r="264" spans="9:9">
      <c r="I264" s="214"/>
    </row>
    <row r="265" spans="9:9">
      <c r="I265" s="214"/>
    </row>
    <row r="266" spans="9:9">
      <c r="I266" s="214"/>
    </row>
    <row r="267" spans="9:9">
      <c r="I267" s="214"/>
    </row>
    <row r="268" spans="9:9">
      <c r="I268" s="214"/>
    </row>
    <row r="269" spans="9:9">
      <c r="I269" s="218"/>
    </row>
    <row r="270" spans="9:9">
      <c r="I270" s="214"/>
    </row>
    <row r="271" spans="9:9">
      <c r="I271" s="214"/>
    </row>
    <row r="272" spans="9:9">
      <c r="I272" s="214"/>
    </row>
    <row r="273" spans="9:9">
      <c r="I273" s="214"/>
    </row>
    <row r="274" spans="9:9">
      <c r="I274" s="214"/>
    </row>
    <row r="275" spans="9:9">
      <c r="I275" s="214"/>
    </row>
    <row r="276" spans="9:9">
      <c r="I276" s="214"/>
    </row>
    <row r="277" spans="9:9">
      <c r="I277" s="214"/>
    </row>
    <row r="278" spans="9:9">
      <c r="I278" s="214"/>
    </row>
    <row r="279" spans="9:9">
      <c r="I279" s="214"/>
    </row>
    <row r="280" spans="9:9">
      <c r="I280" s="214"/>
    </row>
    <row r="281" spans="9:9">
      <c r="I281" s="214"/>
    </row>
    <row r="282" spans="9:9">
      <c r="I282" s="214"/>
    </row>
    <row r="283" spans="9:9">
      <c r="I283" s="214"/>
    </row>
    <row r="284" spans="9:9">
      <c r="I284" s="214"/>
    </row>
    <row r="285" spans="9:9">
      <c r="I285" s="214"/>
    </row>
    <row r="286" spans="9:9">
      <c r="I286" s="214"/>
    </row>
    <row r="287" spans="9:9">
      <c r="I287" s="214"/>
    </row>
    <row r="288" spans="9:9">
      <c r="I288" s="214"/>
    </row>
    <row r="289" spans="9:9">
      <c r="I289" s="214"/>
    </row>
    <row r="290" spans="9:9">
      <c r="I290" s="214"/>
    </row>
    <row r="291" spans="9:9">
      <c r="I291" s="214"/>
    </row>
    <row r="292" spans="9:9">
      <c r="I292" s="214"/>
    </row>
    <row r="293" spans="9:9">
      <c r="I293" s="214"/>
    </row>
    <row r="294" spans="9:9">
      <c r="I294" s="214"/>
    </row>
    <row r="295" spans="9:9">
      <c r="I295" s="214"/>
    </row>
    <row r="296" spans="9:9">
      <c r="I296" s="214"/>
    </row>
    <row r="297" spans="9:9">
      <c r="I297" s="214"/>
    </row>
    <row r="298" spans="9:9">
      <c r="I298" s="214"/>
    </row>
    <row r="299" spans="9:9">
      <c r="I299" s="214"/>
    </row>
    <row r="300" spans="9:9">
      <c r="I300" s="214"/>
    </row>
  </sheetData>
  <autoFilter ref="A3:A156" xr:uid="{DC6DFBBE-9E36-4A79-B08F-C29FEABDDD81}"/>
  <sortState xmlns:xlrd2="http://schemas.microsoft.com/office/spreadsheetml/2017/richdata2" ref="L4:L112">
    <sortCondition ref="L112"/>
  </sortState>
  <phoneticPr fontId="65" type="noConversion"/>
  <conditionalFormatting sqref="C4:C61 C65">
    <cfRule type="duplicateValues" dxfId="68" priority="15"/>
  </conditionalFormatting>
  <conditionalFormatting sqref="C63:C64 B67:C105 B4:B66">
    <cfRule type="duplicateValues" dxfId="67" priority="440975"/>
  </conditionalFormatting>
  <conditionalFormatting sqref="C66">
    <cfRule type="duplicateValues" dxfId="66" priority="12"/>
  </conditionalFormatting>
  <conditionalFormatting sqref="D89 E51:F99 D91 D94:D96 D98:D99">
    <cfRule type="duplicateValues" dxfId="65" priority="29"/>
  </conditionalFormatting>
  <conditionalFormatting sqref="D97 D4:D88 D90 D92:D93">
    <cfRule type="duplicateValues" dxfId="64" priority="16"/>
  </conditionalFormatting>
  <conditionalFormatting sqref="E4:E9">
    <cfRule type="duplicateValues" dxfId="63" priority="17"/>
  </conditionalFormatting>
  <conditionalFormatting sqref="F5:F9">
    <cfRule type="duplicateValues" dxfId="62" priority="18"/>
  </conditionalFormatting>
  <conditionalFormatting sqref="G3:G26">
    <cfRule type="duplicateValues" dxfId="61" priority="28"/>
  </conditionalFormatting>
  <conditionalFormatting sqref="H4:H44">
    <cfRule type="duplicateValues" dxfId="60" priority="440982"/>
  </conditionalFormatting>
  <conditionalFormatting sqref="H45:H52">
    <cfRule type="duplicateValues" dxfId="59" priority="11"/>
  </conditionalFormatting>
  <conditionalFormatting sqref="H53">
    <cfRule type="duplicateValues" dxfId="58" priority="10"/>
  </conditionalFormatting>
  <conditionalFormatting sqref="I226:I245 I247:I300">
    <cfRule type="duplicateValues" dxfId="57" priority="8"/>
  </conditionalFormatting>
  <conditionalFormatting sqref="I239 I3:I226">
    <cfRule type="duplicateValues" dxfId="56" priority="440977"/>
  </conditionalFormatting>
  <conditionalFormatting sqref="I246">
    <cfRule type="duplicateValues" dxfId="55" priority="2"/>
  </conditionalFormatting>
  <conditionalFormatting sqref="J3:J24">
    <cfRule type="duplicateValues" dxfId="54" priority="25"/>
  </conditionalFormatting>
  <conditionalFormatting sqref="K4:K96 K99:K105 K107:K114">
    <cfRule type="duplicateValues" dxfId="53" priority="23"/>
  </conditionalFormatting>
  <conditionalFormatting sqref="K97:K98 K106">
    <cfRule type="duplicateValues" dxfId="52" priority="7"/>
  </conditionalFormatting>
  <conditionalFormatting sqref="K116:K1048576 K3:K96 K99:K105 K107:K114">
    <cfRule type="duplicateValues" dxfId="51" priority="440988"/>
  </conditionalFormatting>
  <conditionalFormatting sqref="L83:L84">
    <cfRule type="duplicateValues" dxfId="50" priority="13"/>
  </conditionalFormatting>
  <conditionalFormatting sqref="L85">
    <cfRule type="duplicateValues" dxfId="49" priority="5"/>
    <cfRule type="duplicateValues" dxfId="48" priority="6"/>
  </conditionalFormatting>
  <conditionalFormatting sqref="L86:L92 L95:L97 L99:L100 L102:L103 L4:L84">
    <cfRule type="duplicateValues" dxfId="47" priority="440985"/>
  </conditionalFormatting>
  <conditionalFormatting sqref="L3:M3">
    <cfRule type="duplicateValues" dxfId="46" priority="4"/>
  </conditionalFormatting>
  <conditionalFormatting sqref="M4:M11">
    <cfRule type="duplicateValues" dxfId="45" priority="1"/>
  </conditionalFormatting>
  <dataValidations count="1">
    <dataValidation type="list" allowBlank="1" showInputMessage="1" showErrorMessage="1" sqref="L57" xr:uid="{13DAA3C1-B130-4C7C-8680-0E5B41F5E5E8}">
      <formula1>INDIRECT(K57)</formula1>
    </dataValidation>
  </dataValidation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A3543-A266-4013-BE2C-EF0F2F58A8EB}">
  <sheetPr codeName="Sheet16">
    <tabColor theme="7" tint="0.39997558519241921"/>
  </sheetPr>
  <dimension ref="D3:H29"/>
  <sheetViews>
    <sheetView zoomScaleNormal="100" workbookViewId="0">
      <selection activeCell="G23" sqref="G23"/>
    </sheetView>
  </sheetViews>
  <sheetFormatPr defaultColWidth="9" defaultRowHeight="13"/>
  <cols>
    <col min="1" max="3" width="9" style="23"/>
    <col min="4" max="4" width="22.08984375" style="23" customWidth="1"/>
    <col min="5" max="5" width="53.90625" style="23" customWidth="1"/>
    <col min="6" max="6" width="16.08984375" style="23" customWidth="1"/>
    <col min="7" max="7" width="11.36328125" style="23" customWidth="1"/>
    <col min="8" max="8" width="17.08984375" style="23" customWidth="1"/>
    <col min="9" max="9" width="13.08984375" style="23" customWidth="1"/>
    <col min="10" max="16384" width="9" style="23"/>
  </cols>
  <sheetData>
    <row r="3" spans="4:8" ht="26">
      <c r="D3" s="27" t="s">
        <v>5</v>
      </c>
      <c r="E3" s="28" t="s">
        <v>1193</v>
      </c>
      <c r="F3" s="28" t="s">
        <v>1194</v>
      </c>
      <c r="G3" s="28" t="s">
        <v>1195</v>
      </c>
      <c r="H3" s="26" t="s">
        <v>1196</v>
      </c>
    </row>
    <row r="4" spans="4:8" ht="14.5">
      <c r="D4" s="220" t="s">
        <v>213</v>
      </c>
      <c r="E4" s="221" t="s">
        <v>1197</v>
      </c>
      <c r="F4" s="221" t="s">
        <v>1198</v>
      </c>
      <c r="G4" s="221" t="s">
        <v>1199</v>
      </c>
      <c r="H4" s="222">
        <v>0.04</v>
      </c>
    </row>
    <row r="5" spans="4:8" ht="14.5">
      <c r="D5" s="220" t="s">
        <v>115</v>
      </c>
      <c r="E5" s="221" t="s">
        <v>1200</v>
      </c>
      <c r="F5" s="221" t="s">
        <v>1198</v>
      </c>
      <c r="G5" s="221" t="s">
        <v>1201</v>
      </c>
      <c r="H5" s="222">
        <v>0.1</v>
      </c>
    </row>
    <row r="6" spans="4:8" ht="14.5">
      <c r="D6" s="223" t="s">
        <v>136</v>
      </c>
      <c r="E6" s="224" t="s">
        <v>1202</v>
      </c>
      <c r="F6" s="224" t="s">
        <v>1203</v>
      </c>
      <c r="G6" s="224" t="s">
        <v>1201</v>
      </c>
      <c r="H6" s="225">
        <v>0.3</v>
      </c>
    </row>
    <row r="7" spans="4:8" ht="14.5">
      <c r="D7" s="171" t="s">
        <v>154</v>
      </c>
      <c r="E7" s="172" t="s">
        <v>1204</v>
      </c>
      <c r="F7" s="224" t="s">
        <v>1203</v>
      </c>
      <c r="G7" s="172" t="s">
        <v>1205</v>
      </c>
      <c r="H7" s="173">
        <v>0.5</v>
      </c>
    </row>
    <row r="8" spans="4:8" ht="14.5">
      <c r="D8" s="226" t="s">
        <v>120</v>
      </c>
      <c r="E8" s="227" t="s">
        <v>1206</v>
      </c>
      <c r="F8" s="227" t="s">
        <v>1203</v>
      </c>
      <c r="G8" s="227" t="s">
        <v>1207</v>
      </c>
      <c r="H8" s="228">
        <v>0.7</v>
      </c>
    </row>
    <row r="9" spans="4:8" ht="16.5">
      <c r="D9" s="229" t="s">
        <v>156</v>
      </c>
      <c r="E9" s="230" t="s">
        <v>1208</v>
      </c>
      <c r="F9" s="230" t="s">
        <v>1209</v>
      </c>
      <c r="G9" s="231" t="s">
        <v>1210</v>
      </c>
      <c r="H9" s="232">
        <v>0.9</v>
      </c>
    </row>
    <row r="10" spans="4:8" ht="16.5">
      <c r="D10" s="229" t="s">
        <v>130</v>
      </c>
      <c r="E10" s="230" t="s">
        <v>1211</v>
      </c>
      <c r="F10" s="230" t="s">
        <v>1212</v>
      </c>
      <c r="G10" s="231" t="s">
        <v>1210</v>
      </c>
      <c r="H10" s="232">
        <v>1</v>
      </c>
    </row>
    <row r="11" spans="4:8" ht="16.5">
      <c r="D11" s="233" t="s">
        <v>634</v>
      </c>
      <c r="E11" s="234" t="s">
        <v>1213</v>
      </c>
      <c r="F11" s="234" t="s">
        <v>1214</v>
      </c>
      <c r="G11" s="235" t="s">
        <v>1213</v>
      </c>
      <c r="H11" s="236">
        <v>0</v>
      </c>
    </row>
    <row r="14" spans="4:8">
      <c r="D14" s="27" t="s">
        <v>1215</v>
      </c>
      <c r="E14" s="26" t="s">
        <v>1216</v>
      </c>
    </row>
    <row r="15" spans="4:8" ht="39">
      <c r="D15" s="237" t="s">
        <v>1217</v>
      </c>
      <c r="E15" s="238" t="s">
        <v>1218</v>
      </c>
    </row>
    <row r="16" spans="4:8">
      <c r="D16" s="237" t="s">
        <v>1219</v>
      </c>
      <c r="E16" s="239" t="s">
        <v>1220</v>
      </c>
    </row>
    <row r="17" spans="4:5">
      <c r="D17" s="237" t="s">
        <v>878</v>
      </c>
      <c r="E17" s="239" t="s">
        <v>1221</v>
      </c>
    </row>
    <row r="18" spans="4:5">
      <c r="D18" s="237" t="s">
        <v>1222</v>
      </c>
      <c r="E18" s="239" t="s">
        <v>1223</v>
      </c>
    </row>
    <row r="19" spans="4:5">
      <c r="D19" s="240" t="s">
        <v>1224</v>
      </c>
      <c r="E19" s="241" t="s">
        <v>1225</v>
      </c>
    </row>
    <row r="22" spans="4:5">
      <c r="D22" s="24" t="s">
        <v>1226</v>
      </c>
      <c r="E22" s="24" t="s">
        <v>1227</v>
      </c>
    </row>
    <row r="23" spans="4:5">
      <c r="D23" s="242" t="s">
        <v>1228</v>
      </c>
      <c r="E23" s="25"/>
    </row>
    <row r="24" spans="4:5">
      <c r="D24" s="242" t="s">
        <v>1229</v>
      </c>
      <c r="E24" s="243"/>
    </row>
    <row r="25" spans="4:5">
      <c r="D25" s="242" t="s">
        <v>1230</v>
      </c>
      <c r="E25" s="243"/>
    </row>
    <row r="26" spans="4:5">
      <c r="D26" s="242" t="s">
        <v>1231</v>
      </c>
      <c r="E26" s="243"/>
    </row>
    <row r="27" spans="4:5">
      <c r="D27" s="242" t="s">
        <v>1232</v>
      </c>
      <c r="E27" s="243"/>
    </row>
    <row r="28" spans="4:5">
      <c r="D28" s="242" t="s">
        <v>1233</v>
      </c>
      <c r="E28" s="243"/>
    </row>
    <row r="29" spans="4:5">
      <c r="D29" s="244" t="s">
        <v>1234</v>
      </c>
      <c r="E29" s="245"/>
    </row>
  </sheetData>
  <phoneticPr fontId="65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067F6-0270-44B9-8C8E-EF6E74343B6F}">
  <sheetPr>
    <tabColor rgb="FFFFFF00"/>
    <pageSetUpPr fitToPage="1"/>
  </sheetPr>
  <dimension ref="A1:U80"/>
  <sheetViews>
    <sheetView topLeftCell="C46" zoomScaleNormal="100" workbookViewId="0">
      <selection activeCell="D6" sqref="D6:Q80"/>
    </sheetView>
  </sheetViews>
  <sheetFormatPr defaultColWidth="8.08984375" defaultRowHeight="14.25" customHeight="1" outlineLevelCol="1"/>
  <cols>
    <col min="1" max="1" width="11.36328125" style="86" customWidth="1"/>
    <col min="2" max="2" width="11.08984375" style="87" customWidth="1"/>
    <col min="3" max="3" width="9.36328125" style="86" customWidth="1" outlineLevel="1"/>
    <col min="4" max="4" width="15.36328125" style="86" bestFit="1" customWidth="1"/>
    <col min="5" max="5" width="18.08984375" style="86" bestFit="1" customWidth="1"/>
    <col min="6" max="6" width="17" style="86" bestFit="1" customWidth="1"/>
    <col min="7" max="7" width="48.36328125" style="87" customWidth="1"/>
    <col min="8" max="8" width="17.08984375" style="282" customWidth="1"/>
    <col min="9" max="10" width="10.08984375" style="2" customWidth="1"/>
    <col min="11" max="17" width="10.08984375" style="2" customWidth="1" outlineLevel="1"/>
    <col min="18" max="20" width="12.08984375" style="5" customWidth="1"/>
    <col min="21" max="16384" width="8.08984375" style="2"/>
  </cols>
  <sheetData>
    <row r="1" spans="1:21" ht="13">
      <c r="B1" s="86"/>
      <c r="F1" s="86" t="s">
        <v>5</v>
      </c>
      <c r="H1" s="41"/>
      <c r="I1" s="2" t="s">
        <v>623</v>
      </c>
      <c r="J1" s="2" t="s">
        <v>623</v>
      </c>
      <c r="K1" s="2" t="s">
        <v>623</v>
      </c>
      <c r="L1" s="2" t="s">
        <v>623</v>
      </c>
      <c r="M1" s="2" t="s">
        <v>623</v>
      </c>
      <c r="N1" s="2" t="s">
        <v>623</v>
      </c>
      <c r="O1" s="2" t="s">
        <v>623</v>
      </c>
      <c r="P1" s="2" t="s">
        <v>623</v>
      </c>
      <c r="Q1" s="2" t="s">
        <v>623</v>
      </c>
      <c r="R1" s="5" t="s">
        <v>623</v>
      </c>
      <c r="S1" s="5" t="s">
        <v>623</v>
      </c>
      <c r="T1" s="5" t="s">
        <v>623</v>
      </c>
    </row>
    <row r="2" spans="1:21" ht="13.5">
      <c r="A2" s="88"/>
      <c r="B2" s="88"/>
      <c r="C2" s="88"/>
      <c r="D2" s="88"/>
      <c r="E2" s="88"/>
      <c r="F2" s="88"/>
      <c r="G2" s="89" t="s">
        <v>27</v>
      </c>
      <c r="H2" s="278"/>
      <c r="I2" s="200">
        <f>SUMIFS(EM_24[26M04],EM_24[Product Category],$G2)</f>
        <v>0</v>
      </c>
      <c r="J2" s="200">
        <f>SUMIFS(EM_24[26M05],EM_24[Product Category],$G2)</f>
        <v>0</v>
      </c>
      <c r="K2" s="200">
        <f>SUMIFS(EM_24[26M06],EM_24[Product Category],$G2)</f>
        <v>0</v>
      </c>
      <c r="L2" s="200">
        <f>SUMIFS(EM_24[26M07],EM_24[Product Category],$G2)</f>
        <v>0</v>
      </c>
      <c r="M2" s="200">
        <f>SUMIFS(EM_24[26M08],EM_24[Product Category],$G2)</f>
        <v>0</v>
      </c>
      <c r="N2" s="200">
        <f>SUMIFS(EM_24[26M09],EM_24[Product Category],$G2)</f>
        <v>0</v>
      </c>
      <c r="O2" s="200"/>
      <c r="P2" s="200">
        <f>SUMIFS(EM_24[26M11],EM_24[Country],$G2)</f>
        <v>0</v>
      </c>
      <c r="Q2" s="200">
        <f>SUMIFS(EM_24[26M12],EM_24[Customer name],$G2)</f>
        <v>0</v>
      </c>
      <c r="R2" s="200">
        <f>SUMIFS(EM_24[26Q2],EM_24[Product Category],$G2)</f>
        <v>0</v>
      </c>
      <c r="S2" s="200">
        <f>SUMIFS(EM_24[26Q2],EM_24[Product Category],$G2)</f>
        <v>0</v>
      </c>
      <c r="T2" s="200"/>
    </row>
    <row r="3" spans="1:21" ht="13.5">
      <c r="A3" s="88"/>
      <c r="B3" s="88"/>
      <c r="C3" s="88"/>
      <c r="D3" s="88"/>
      <c r="E3" s="88"/>
      <c r="F3" s="88"/>
      <c r="G3" s="89" t="s">
        <v>87</v>
      </c>
      <c r="H3" s="278"/>
      <c r="I3" s="200">
        <f>SUMIFS(EM_24[26M04],EM_24[Product Category],$G3)</f>
        <v>0</v>
      </c>
      <c r="J3" s="200">
        <f>SUMIFS(EM_24[26M05],EM_24[Product Category],$G3)</f>
        <v>0</v>
      </c>
      <c r="K3" s="200">
        <f>SUMIFS(EM_24[26M06],EM_24[Product Category],$G3)</f>
        <v>0</v>
      </c>
      <c r="L3" s="200">
        <f>SUMIFS(EM_24[26M07],EM_24[Product Category],$G3)</f>
        <v>0</v>
      </c>
      <c r="M3" s="200">
        <f>SUMIFS(EM_24[26M08],EM_24[Product Category],$G3)</f>
        <v>0</v>
      </c>
      <c r="N3" s="200">
        <f>SUMIFS(EM_24[26M09],EM_24[Product Category],$G3)</f>
        <v>0</v>
      </c>
      <c r="O3" s="200"/>
      <c r="P3" s="200">
        <f>SUMIFS(EM_24[26M11],EM_24[Country],$G3)</f>
        <v>0</v>
      </c>
      <c r="Q3" s="200">
        <f>SUMIFS(EM_24[26M12],EM_24[Customer name],$G3)</f>
        <v>0</v>
      </c>
      <c r="R3" s="200">
        <f>SUMIFS(EM_24[26Q2],EM_24[Product Category],$G3)</f>
        <v>0</v>
      </c>
      <c r="S3" s="200">
        <f>SUMIFS(EM_24[26Q2],EM_24[Product Category],$G3)</f>
        <v>0</v>
      </c>
      <c r="T3" s="200"/>
    </row>
    <row r="4" spans="1:21" ht="13.5">
      <c r="A4" s="88"/>
      <c r="B4" s="88"/>
      <c r="C4" s="88"/>
      <c r="D4" s="88"/>
      <c r="E4" s="88"/>
      <c r="F4" s="88"/>
      <c r="G4" s="89" t="s">
        <v>70</v>
      </c>
      <c r="H4" s="278"/>
      <c r="I4" s="200">
        <f>SUMIFS(EM_24[26M04],EM_24[Product Category],$G4)</f>
        <v>34</v>
      </c>
      <c r="J4" s="200">
        <f>SUMIFS(EM_24[26M05],EM_24[Product Category],$G4)</f>
        <v>47.85</v>
      </c>
      <c r="K4" s="200">
        <f>SUMIFS(EM_24[26M06],EM_24[Product Category],$G4)</f>
        <v>55.249999999999993</v>
      </c>
      <c r="L4" s="200">
        <f>SUMIFS(EM_24[26M07],EM_24[Product Category],$G4)</f>
        <v>111.59999999999998</v>
      </c>
      <c r="M4" s="200">
        <f>SUMIFS(EM_24[26M08],EM_24[Product Category],$G4)</f>
        <v>33</v>
      </c>
      <c r="N4" s="200">
        <f>SUMIFS(EM_24[26M09],EM_24[Product Category],$G4)</f>
        <v>519.29999999999995</v>
      </c>
      <c r="O4" s="200"/>
      <c r="P4" s="200">
        <f>SUMIFS(EM_24[26M11],EM_24[Country],$G4)</f>
        <v>0</v>
      </c>
      <c r="Q4" s="200">
        <f>SUMIFS(EM_24[26M12],EM_24[Customer name],$G4)</f>
        <v>0</v>
      </c>
      <c r="R4" s="200">
        <f>SUMIFS(EM_24[26Q2],EM_24[Product Category],$G4)</f>
        <v>137.10000000000002</v>
      </c>
      <c r="S4" s="200">
        <f>SUMIFS(EM_24[26Q2],EM_24[Product Category],$G4)</f>
        <v>137.10000000000002</v>
      </c>
      <c r="T4" s="200"/>
    </row>
    <row r="5" spans="1:21" s="8" customFormat="1" ht="26.25" customHeight="1">
      <c r="A5" s="90" t="s">
        <v>45</v>
      </c>
      <c r="B5" s="91" t="s">
        <v>1</v>
      </c>
      <c r="C5" s="90" t="s">
        <v>92</v>
      </c>
      <c r="D5" s="90" t="s">
        <v>3</v>
      </c>
      <c r="E5" s="90" t="s">
        <v>28</v>
      </c>
      <c r="F5" s="90" t="s">
        <v>5</v>
      </c>
      <c r="G5" s="92" t="s">
        <v>93</v>
      </c>
      <c r="H5" s="9" t="s">
        <v>94</v>
      </c>
      <c r="I5" s="12" t="s">
        <v>95</v>
      </c>
      <c r="J5" s="12" t="s">
        <v>96</v>
      </c>
      <c r="K5" s="12" t="s">
        <v>97</v>
      </c>
      <c r="L5" s="12" t="s">
        <v>98</v>
      </c>
      <c r="M5" s="12" t="s">
        <v>99</v>
      </c>
      <c r="N5" s="12" t="s">
        <v>100</v>
      </c>
      <c r="O5" s="12" t="s">
        <v>34</v>
      </c>
      <c r="P5" s="12" t="s">
        <v>101</v>
      </c>
      <c r="Q5" s="12" t="s">
        <v>36</v>
      </c>
      <c r="R5" s="203" t="s">
        <v>626</v>
      </c>
      <c r="S5" s="203" t="s">
        <v>627</v>
      </c>
      <c r="T5" s="283" t="s">
        <v>628</v>
      </c>
      <c r="U5" s="78" t="s">
        <v>26</v>
      </c>
    </row>
    <row r="6" spans="1:21" ht="14.5">
      <c r="A6" s="93" t="s">
        <v>88</v>
      </c>
      <c r="B6" s="87" t="s">
        <v>675</v>
      </c>
      <c r="D6" s="86" t="s">
        <v>54</v>
      </c>
      <c r="E6" s="86" t="s">
        <v>121</v>
      </c>
      <c r="F6" s="94" t="s">
        <v>634</v>
      </c>
      <c r="G6" s="87" t="s">
        <v>676</v>
      </c>
      <c r="H6" s="43" t="s">
        <v>132</v>
      </c>
      <c r="I6" s="13">
        <v>5.2</v>
      </c>
      <c r="J6" s="13">
        <v>5.2</v>
      </c>
      <c r="K6" s="13">
        <v>5.2</v>
      </c>
      <c r="L6" s="13"/>
      <c r="M6" s="13"/>
      <c r="N6" s="13"/>
      <c r="O6" s="13"/>
      <c r="P6" s="13"/>
      <c r="Q6" s="13"/>
      <c r="R6" s="32">
        <f>SUM(EM_24[[#This Row],[26M04]:[26M06]])</f>
        <v>15.600000000000001</v>
      </c>
      <c r="S6" s="32">
        <f>SUM(EM_24[[#This Row],[26M07]:[26M09]])</f>
        <v>0</v>
      </c>
      <c r="T6" s="280">
        <f>O6++EM_24[[#This Row],[26M11]]+EM_24[[#This Row],[26M12]]</f>
        <v>0</v>
      </c>
      <c r="U6" s="85" t="str">
        <f>VLOOKUP(EM_24[[#This Row],[Product Line]],Prod_T6[],4,0)</f>
        <v>PV</v>
      </c>
    </row>
    <row r="7" spans="1:21" ht="14.5">
      <c r="A7" s="93" t="s">
        <v>88</v>
      </c>
      <c r="B7" s="87" t="s">
        <v>675</v>
      </c>
      <c r="D7" s="86" t="s">
        <v>54</v>
      </c>
      <c r="E7" s="86" t="s">
        <v>170</v>
      </c>
      <c r="F7" s="86" t="s">
        <v>634</v>
      </c>
      <c r="G7" s="87" t="s">
        <v>677</v>
      </c>
      <c r="H7" s="43" t="s">
        <v>132</v>
      </c>
      <c r="I7" s="13">
        <v>3</v>
      </c>
      <c r="J7" s="13">
        <v>3</v>
      </c>
      <c r="K7" s="13">
        <v>3</v>
      </c>
      <c r="L7" s="13"/>
      <c r="M7" s="13"/>
      <c r="N7" s="13"/>
      <c r="O7" s="13"/>
      <c r="P7" s="13"/>
      <c r="Q7" s="13"/>
      <c r="R7" s="32">
        <f>SUM(EM_24[[#This Row],[26M04]:[26M06]])</f>
        <v>9</v>
      </c>
      <c r="S7" s="32">
        <f>SUM(EM_24[[#This Row],[26M07]:[26M09]])</f>
        <v>0</v>
      </c>
      <c r="T7" s="280">
        <f>O7++EM_24[[#This Row],[26M11]]+EM_24[[#This Row],[26M12]]</f>
        <v>0</v>
      </c>
      <c r="U7" s="85" t="str">
        <f>VLOOKUP(EM_24[[#This Row],[Product Line]],Prod_T6[],4,0)</f>
        <v>PV</v>
      </c>
    </row>
    <row r="8" spans="1:21" ht="14.5">
      <c r="A8" s="93" t="s">
        <v>88</v>
      </c>
      <c r="B8" s="87" t="s">
        <v>448</v>
      </c>
      <c r="D8" s="86" t="s">
        <v>118</v>
      </c>
      <c r="E8" s="96" t="s">
        <v>255</v>
      </c>
      <c r="F8" s="86" t="s">
        <v>115</v>
      </c>
      <c r="G8" s="95" t="s">
        <v>449</v>
      </c>
      <c r="H8" s="43" t="s">
        <v>117</v>
      </c>
      <c r="I8" s="13"/>
      <c r="J8" s="13"/>
      <c r="K8" s="13">
        <v>1.4</v>
      </c>
      <c r="L8" s="13"/>
      <c r="M8" s="13"/>
      <c r="N8" s="13"/>
      <c r="O8" s="13"/>
      <c r="P8" s="13"/>
      <c r="Q8" s="13"/>
      <c r="R8" s="32">
        <f>SUM(EM_24[[#This Row],[26M04]:[26M06]])</f>
        <v>1.4</v>
      </c>
      <c r="S8" s="32">
        <f>SUM(EM_24[[#This Row],[26M07]:[26M09]])</f>
        <v>0</v>
      </c>
      <c r="T8" s="280">
        <f>O8++EM_24[[#This Row],[26M11]]+EM_24[[#This Row],[26M12]]</f>
        <v>0</v>
      </c>
      <c r="U8" s="85" t="str">
        <f>VLOOKUP(EM_24[[#This Row],[Product Line]],Prod_T6[],4,0)</f>
        <v>PV</v>
      </c>
    </row>
    <row r="9" spans="1:21" ht="14.5">
      <c r="A9" s="93" t="s">
        <v>88</v>
      </c>
      <c r="B9" s="87" t="s">
        <v>461</v>
      </c>
      <c r="D9" s="86" t="s">
        <v>54</v>
      </c>
      <c r="E9" s="86" t="s">
        <v>121</v>
      </c>
      <c r="F9" s="86" t="s">
        <v>120</v>
      </c>
      <c r="G9" s="87" t="s">
        <v>462</v>
      </c>
      <c r="H9" s="43" t="s">
        <v>132</v>
      </c>
      <c r="I9" s="13">
        <v>5.2</v>
      </c>
      <c r="J9" s="13">
        <v>5.2</v>
      </c>
      <c r="K9" s="13">
        <v>7.8</v>
      </c>
      <c r="L9" s="67">
        <v>4</v>
      </c>
      <c r="M9" s="67">
        <v>4</v>
      </c>
      <c r="N9" s="67">
        <v>4</v>
      </c>
      <c r="O9" s="13">
        <v>4</v>
      </c>
      <c r="P9" s="13">
        <v>4</v>
      </c>
      <c r="Q9" s="13"/>
      <c r="R9" s="32">
        <f>SUM(EM_24[[#This Row],[26M04]:[26M06]])</f>
        <v>18.2</v>
      </c>
      <c r="S9" s="32">
        <f>SUM(EM_24[[#This Row],[26M07]:[26M09]])</f>
        <v>12</v>
      </c>
      <c r="T9" s="280">
        <f>O9++EM_24[[#This Row],[26M11]]+EM_24[[#This Row],[26M12]]</f>
        <v>8</v>
      </c>
      <c r="U9" s="85" t="str">
        <f>VLOOKUP(EM_24[[#This Row],[Product Line]],Prod_T6[],4,0)</f>
        <v>PV</v>
      </c>
    </row>
    <row r="10" spans="1:21" ht="14.5">
      <c r="A10" s="93" t="s">
        <v>88</v>
      </c>
      <c r="B10" s="87" t="s">
        <v>450</v>
      </c>
      <c r="D10" s="86" t="s">
        <v>54</v>
      </c>
      <c r="E10" s="86" t="s">
        <v>121</v>
      </c>
      <c r="F10" s="86" t="s">
        <v>120</v>
      </c>
      <c r="G10" s="87" t="s">
        <v>460</v>
      </c>
      <c r="H10" s="43" t="s">
        <v>132</v>
      </c>
      <c r="I10" s="13">
        <v>6</v>
      </c>
      <c r="J10" s="13">
        <v>6</v>
      </c>
      <c r="K10" s="13">
        <v>6</v>
      </c>
      <c r="L10" s="67">
        <v>4</v>
      </c>
      <c r="M10" s="67">
        <v>4</v>
      </c>
      <c r="N10" s="67">
        <v>4</v>
      </c>
      <c r="O10" s="13">
        <v>5</v>
      </c>
      <c r="P10" s="13">
        <v>5</v>
      </c>
      <c r="Q10" s="13"/>
      <c r="R10" s="32">
        <f>SUM(EM_24[[#This Row],[26M04]:[26M06]])</f>
        <v>18</v>
      </c>
      <c r="S10" s="32">
        <f>SUM(EM_24[[#This Row],[26M07]:[26M09]])</f>
        <v>12</v>
      </c>
      <c r="T10" s="280">
        <f>O10++EM_24[[#This Row],[26M11]]+EM_24[[#This Row],[26M12]]</f>
        <v>10</v>
      </c>
      <c r="U10" s="85" t="str">
        <f>VLOOKUP(EM_24[[#This Row],[Product Line]],Prod_T6[],4,0)</f>
        <v>PV</v>
      </c>
    </row>
    <row r="11" spans="1:21" ht="14.5">
      <c r="A11" s="93" t="s">
        <v>88</v>
      </c>
      <c r="B11" s="87" t="s">
        <v>456</v>
      </c>
      <c r="D11" s="86" t="s">
        <v>54</v>
      </c>
      <c r="E11" s="86" t="s">
        <v>299</v>
      </c>
      <c r="F11" s="86" t="s">
        <v>115</v>
      </c>
      <c r="G11" s="87" t="s">
        <v>457</v>
      </c>
      <c r="H11" s="43" t="s">
        <v>132</v>
      </c>
      <c r="I11" s="13"/>
      <c r="J11" s="13"/>
      <c r="K11" s="13"/>
      <c r="L11" s="13"/>
      <c r="M11" s="13"/>
      <c r="N11" s="13"/>
      <c r="O11" s="13">
        <v>20</v>
      </c>
      <c r="P11" s="13"/>
      <c r="Q11" s="13"/>
      <c r="R11" s="32">
        <f>SUM(EM_24[[#This Row],[26M04]:[26M06]])</f>
        <v>0</v>
      </c>
      <c r="S11" s="32">
        <f>SUM(EM_24[[#This Row],[26M07]:[26M09]])</f>
        <v>0</v>
      </c>
      <c r="T11" s="280">
        <f>O11++EM_24[[#This Row],[26M11]]+EM_24[[#This Row],[26M12]]</f>
        <v>20</v>
      </c>
      <c r="U11" s="85" t="str">
        <f>VLOOKUP(EM_24[[#This Row],[Product Line]],Prod_T6[],4,0)</f>
        <v>PV</v>
      </c>
    </row>
    <row r="12" spans="1:21" ht="14.5">
      <c r="A12" s="93" t="s">
        <v>88</v>
      </c>
      <c r="B12" s="87" t="s">
        <v>450</v>
      </c>
      <c r="D12" s="86" t="s">
        <v>54</v>
      </c>
      <c r="E12" s="86" t="s">
        <v>299</v>
      </c>
      <c r="F12" s="86" t="s">
        <v>115</v>
      </c>
      <c r="G12" s="87" t="s">
        <v>451</v>
      </c>
      <c r="H12" s="43" t="s">
        <v>132</v>
      </c>
      <c r="I12" s="13"/>
      <c r="J12" s="13"/>
      <c r="K12" s="13"/>
      <c r="L12" s="13"/>
      <c r="M12" s="13">
        <v>5</v>
      </c>
      <c r="N12" s="13">
        <v>5</v>
      </c>
      <c r="O12" s="13">
        <v>5</v>
      </c>
      <c r="P12" s="13"/>
      <c r="Q12" s="13"/>
      <c r="R12" s="32">
        <f>SUM(EM_24[[#This Row],[26M04]:[26M06]])</f>
        <v>0</v>
      </c>
      <c r="S12" s="32">
        <f>SUM(EM_24[[#This Row],[26M07]:[26M09]])</f>
        <v>10</v>
      </c>
      <c r="T12" s="280">
        <f>O12++EM_24[[#This Row],[26M11]]+EM_24[[#This Row],[26M12]]</f>
        <v>5</v>
      </c>
      <c r="U12" s="85" t="str">
        <f>VLOOKUP(EM_24[[#This Row],[Product Line]],Prod_T6[],4,0)</f>
        <v>PV</v>
      </c>
    </row>
    <row r="13" spans="1:21" ht="26">
      <c r="A13" s="93" t="s">
        <v>88</v>
      </c>
      <c r="B13" s="87" t="s">
        <v>452</v>
      </c>
      <c r="D13" s="86" t="s">
        <v>54</v>
      </c>
      <c r="E13" s="86" t="s">
        <v>170</v>
      </c>
      <c r="F13" s="86" t="s">
        <v>136</v>
      </c>
      <c r="G13" s="95" t="s">
        <v>453</v>
      </c>
      <c r="H13" s="43" t="s">
        <v>132</v>
      </c>
      <c r="I13" s="13"/>
      <c r="J13" s="13">
        <v>1</v>
      </c>
      <c r="K13" s="13"/>
      <c r="L13" s="13"/>
      <c r="M13" s="13"/>
      <c r="N13" s="13">
        <v>1</v>
      </c>
      <c r="O13" s="13"/>
      <c r="P13" s="13"/>
      <c r="Q13" s="13"/>
      <c r="R13" s="32">
        <f>SUM(EM_24[[#This Row],[26M04]:[26M06]])</f>
        <v>1</v>
      </c>
      <c r="S13" s="32">
        <f>SUM(EM_24[[#This Row],[26M07]:[26M09]])</f>
        <v>1</v>
      </c>
      <c r="T13" s="280">
        <f>O13++EM_24[[#This Row],[26M11]]+EM_24[[#This Row],[26M12]]</f>
        <v>0</v>
      </c>
      <c r="U13" s="85" t="str">
        <f>VLOOKUP(EM_24[[#This Row],[Product Line]],Prod_T6[],4,0)</f>
        <v>PV</v>
      </c>
    </row>
    <row r="14" spans="1:21" ht="26">
      <c r="A14" s="93" t="s">
        <v>88</v>
      </c>
      <c r="B14" s="87" t="s">
        <v>452</v>
      </c>
      <c r="D14" s="86" t="s">
        <v>54</v>
      </c>
      <c r="E14" s="86" t="s">
        <v>170</v>
      </c>
      <c r="F14" s="86" t="s">
        <v>136</v>
      </c>
      <c r="G14" s="95" t="s">
        <v>453</v>
      </c>
      <c r="H14" s="43" t="s">
        <v>132</v>
      </c>
      <c r="I14" s="13"/>
      <c r="J14" s="13"/>
      <c r="K14" s="13"/>
      <c r="L14" s="13"/>
      <c r="M14" s="13"/>
      <c r="N14" s="13"/>
      <c r="O14" s="13">
        <v>4</v>
      </c>
      <c r="P14" s="13"/>
      <c r="Q14" s="13"/>
      <c r="R14" s="32">
        <f>SUM(EM_24[[#This Row],[26M04]:[26M06]])</f>
        <v>0</v>
      </c>
      <c r="S14" s="32">
        <f>SUM(EM_24[[#This Row],[26M07]:[26M09]])</f>
        <v>0</v>
      </c>
      <c r="T14" s="280">
        <f>O14++EM_24[[#This Row],[26M11]]+EM_24[[#This Row],[26M12]]</f>
        <v>4</v>
      </c>
      <c r="U14" s="85" t="str">
        <f>VLOOKUP(EM_24[[#This Row],[Product Line]],Prod_T6[],4,0)</f>
        <v>PV</v>
      </c>
    </row>
    <row r="15" spans="1:21" ht="26">
      <c r="A15" s="93" t="s">
        <v>88</v>
      </c>
      <c r="B15" s="87" t="s">
        <v>452</v>
      </c>
      <c r="D15" s="86" t="s">
        <v>54</v>
      </c>
      <c r="E15" s="86" t="s">
        <v>170</v>
      </c>
      <c r="F15" s="86" t="s">
        <v>136</v>
      </c>
      <c r="G15" s="95" t="s">
        <v>453</v>
      </c>
      <c r="H15" s="43" t="s">
        <v>132</v>
      </c>
      <c r="I15" s="13"/>
      <c r="J15" s="13"/>
      <c r="K15" s="13"/>
      <c r="L15" s="13"/>
      <c r="M15" s="13"/>
      <c r="N15" s="13"/>
      <c r="O15" s="13">
        <v>4</v>
      </c>
      <c r="P15" s="13"/>
      <c r="Q15" s="13"/>
      <c r="R15" s="32">
        <f>SUM(EM_24[[#This Row],[26M04]:[26M06]])</f>
        <v>0</v>
      </c>
      <c r="S15" s="32">
        <f>SUM(EM_24[[#This Row],[26M07]:[26M09]])</f>
        <v>0</v>
      </c>
      <c r="T15" s="280">
        <f>O15++EM_24[[#This Row],[26M11]]+EM_24[[#This Row],[26M12]]</f>
        <v>4</v>
      </c>
      <c r="U15" s="85" t="str">
        <f>VLOOKUP(EM_24[[#This Row],[Product Line]],Prod_T6[],4,0)</f>
        <v>PV</v>
      </c>
    </row>
    <row r="16" spans="1:21" ht="14.5">
      <c r="A16" s="93" t="s">
        <v>88</v>
      </c>
      <c r="B16" s="87" t="s">
        <v>678</v>
      </c>
      <c r="D16" s="86" t="s">
        <v>54</v>
      </c>
      <c r="E16" s="86" t="s">
        <v>170</v>
      </c>
      <c r="F16" s="86" t="s">
        <v>634</v>
      </c>
      <c r="G16" s="87" t="s">
        <v>679</v>
      </c>
      <c r="H16" s="43" t="s">
        <v>132</v>
      </c>
      <c r="I16" s="13"/>
      <c r="J16" s="13"/>
      <c r="K16" s="13"/>
      <c r="L16" s="13"/>
      <c r="M16" s="13"/>
      <c r="N16" s="13">
        <v>12</v>
      </c>
      <c r="O16" s="13"/>
      <c r="P16" s="13"/>
      <c r="Q16" s="13"/>
      <c r="R16" s="32">
        <f>SUM(EM_24[[#This Row],[26M04]:[26M06]])</f>
        <v>0</v>
      </c>
      <c r="S16" s="32">
        <f>SUM(EM_24[[#This Row],[26M07]:[26M09]])</f>
        <v>12</v>
      </c>
      <c r="T16" s="280">
        <f>O16++EM_24[[#This Row],[26M11]]+EM_24[[#This Row],[26M12]]</f>
        <v>0</v>
      </c>
      <c r="U16" s="85" t="str">
        <f>VLOOKUP(EM_24[[#This Row],[Product Line]],Prod_T6[],4,0)</f>
        <v>PV</v>
      </c>
    </row>
    <row r="17" spans="1:21" ht="14.5">
      <c r="A17" s="93" t="s">
        <v>88</v>
      </c>
      <c r="B17" s="87" t="s">
        <v>452</v>
      </c>
      <c r="D17" s="86" t="s">
        <v>54</v>
      </c>
      <c r="E17" s="86" t="s">
        <v>170</v>
      </c>
      <c r="F17" s="86" t="s">
        <v>634</v>
      </c>
      <c r="G17" s="87" t="s">
        <v>679</v>
      </c>
      <c r="H17" s="43" t="s">
        <v>132</v>
      </c>
      <c r="I17" s="13"/>
      <c r="J17" s="13"/>
      <c r="K17" s="13"/>
      <c r="L17" s="13"/>
      <c r="M17" s="13"/>
      <c r="N17" s="13">
        <v>16</v>
      </c>
      <c r="O17" s="13"/>
      <c r="P17" s="13"/>
      <c r="Q17" s="13"/>
      <c r="R17" s="32">
        <f>SUM(EM_24[[#This Row],[26M04]:[26M06]])</f>
        <v>0</v>
      </c>
      <c r="S17" s="32">
        <f>SUM(EM_24[[#This Row],[26M07]:[26M09]])</f>
        <v>16</v>
      </c>
      <c r="T17" s="280">
        <f>O17++EM_24[[#This Row],[26M11]]+EM_24[[#This Row],[26M12]]</f>
        <v>0</v>
      </c>
      <c r="U17" s="85" t="str">
        <f>VLOOKUP(EM_24[[#This Row],[Product Line]],Prod_T6[],4,0)</f>
        <v>PV</v>
      </c>
    </row>
    <row r="18" spans="1:21" ht="14.5">
      <c r="A18" s="93" t="s">
        <v>88</v>
      </c>
      <c r="B18" s="87" t="s">
        <v>452</v>
      </c>
      <c r="D18" s="86" t="s">
        <v>54</v>
      </c>
      <c r="E18" s="86" t="s">
        <v>170</v>
      </c>
      <c r="F18" s="86" t="s">
        <v>115</v>
      </c>
      <c r="G18" s="95" t="s">
        <v>454</v>
      </c>
      <c r="H18" s="43" t="s">
        <v>132</v>
      </c>
      <c r="I18" s="13"/>
      <c r="J18" s="13"/>
      <c r="K18" s="13"/>
      <c r="L18" s="13"/>
      <c r="M18" s="13"/>
      <c r="N18" s="13">
        <v>5.2</v>
      </c>
      <c r="O18" s="13"/>
      <c r="P18" s="13"/>
      <c r="Q18" s="13"/>
      <c r="R18" s="32">
        <f>SUM(EM_24[[#This Row],[26M04]:[26M06]])</f>
        <v>0</v>
      </c>
      <c r="S18" s="32">
        <f>SUM(EM_24[[#This Row],[26M07]:[26M09]])</f>
        <v>5.2</v>
      </c>
      <c r="T18" s="280">
        <f>O18++EM_24[[#This Row],[26M11]]+EM_24[[#This Row],[26M12]]</f>
        <v>0</v>
      </c>
      <c r="U18" s="85" t="str">
        <f>VLOOKUP(EM_24[[#This Row],[Product Line]],Prod_T6[],4,0)</f>
        <v>PV</v>
      </c>
    </row>
    <row r="19" spans="1:21" ht="14.5">
      <c r="A19" s="93" t="s">
        <v>88</v>
      </c>
      <c r="B19" s="87" t="s">
        <v>461</v>
      </c>
      <c r="D19" s="86" t="s">
        <v>314</v>
      </c>
      <c r="E19" s="86" t="s">
        <v>680</v>
      </c>
      <c r="F19" s="86" t="s">
        <v>634</v>
      </c>
      <c r="G19" s="87" t="s">
        <v>681</v>
      </c>
      <c r="H19" s="43" t="s">
        <v>132</v>
      </c>
      <c r="I19" s="13"/>
      <c r="J19" s="13">
        <v>3</v>
      </c>
      <c r="K19" s="13"/>
      <c r="L19" s="13">
        <v>17</v>
      </c>
      <c r="M19" s="13"/>
      <c r="N19" s="13"/>
      <c r="O19" s="13"/>
      <c r="P19" s="13"/>
      <c r="Q19" s="13"/>
      <c r="R19" s="32">
        <f>SUM(EM_24[[#This Row],[26M04]:[26M06]])</f>
        <v>3</v>
      </c>
      <c r="S19" s="32">
        <f>SUM(EM_24[[#This Row],[26M07]:[26M09]])</f>
        <v>17</v>
      </c>
      <c r="T19" s="280">
        <f>O19++EM_24[[#This Row],[26M11]]+EM_24[[#This Row],[26M12]]</f>
        <v>0</v>
      </c>
      <c r="U19" s="85" t="str">
        <f>VLOOKUP(EM_24[[#This Row],[Product Line]],Prod_T6[],4,0)</f>
        <v>PV</v>
      </c>
    </row>
    <row r="20" spans="1:21" ht="14.5">
      <c r="A20" s="93" t="s">
        <v>88</v>
      </c>
      <c r="B20" s="87" t="s">
        <v>452</v>
      </c>
      <c r="D20" s="86" t="s">
        <v>54</v>
      </c>
      <c r="E20" s="86" t="s">
        <v>129</v>
      </c>
      <c r="F20" s="86" t="s">
        <v>115</v>
      </c>
      <c r="G20" s="95" t="s">
        <v>454</v>
      </c>
      <c r="H20" s="43" t="s">
        <v>132</v>
      </c>
      <c r="I20" s="13"/>
      <c r="J20" s="13"/>
      <c r="K20" s="13"/>
      <c r="L20" s="13"/>
      <c r="M20" s="13"/>
      <c r="N20" s="13">
        <v>0.7</v>
      </c>
      <c r="O20" s="13"/>
      <c r="P20" s="13"/>
      <c r="Q20" s="13"/>
      <c r="R20" s="32">
        <f>SUM(EM_24[[#This Row],[26M04]:[26M06]])</f>
        <v>0</v>
      </c>
      <c r="S20" s="32">
        <f>SUM(EM_24[[#This Row],[26M07]:[26M09]])</f>
        <v>0.7</v>
      </c>
      <c r="T20" s="280">
        <f>O20++EM_24[[#This Row],[26M11]]+EM_24[[#This Row],[26M12]]</f>
        <v>0</v>
      </c>
      <c r="U20" s="85" t="str">
        <f>VLOOKUP(EM_24[[#This Row],[Product Line]],Prod_T6[],4,0)</f>
        <v>PV</v>
      </c>
    </row>
    <row r="21" spans="1:21" ht="14.5">
      <c r="A21" s="93" t="s">
        <v>88</v>
      </c>
      <c r="B21" s="87" t="s">
        <v>682</v>
      </c>
      <c r="D21" s="86" t="s">
        <v>54</v>
      </c>
      <c r="E21" s="86" t="s">
        <v>170</v>
      </c>
      <c r="F21" s="86" t="s">
        <v>634</v>
      </c>
      <c r="G21" s="87" t="s">
        <v>683</v>
      </c>
      <c r="H21" s="43" t="s">
        <v>132</v>
      </c>
      <c r="I21" s="13"/>
      <c r="J21" s="13"/>
      <c r="K21" s="13"/>
      <c r="L21" s="13"/>
      <c r="M21" s="13"/>
      <c r="N21" s="13">
        <v>4</v>
      </c>
      <c r="O21" s="13"/>
      <c r="P21" s="13"/>
      <c r="Q21" s="13"/>
      <c r="R21" s="32">
        <f>SUM(EM_24[[#This Row],[26M04]:[26M06]])</f>
        <v>0</v>
      </c>
      <c r="S21" s="32">
        <f>SUM(EM_24[[#This Row],[26M07]:[26M09]])</f>
        <v>4</v>
      </c>
      <c r="T21" s="280">
        <f>O21++EM_24[[#This Row],[26M11]]+EM_24[[#This Row],[26M12]]</f>
        <v>0</v>
      </c>
      <c r="U21" s="85" t="str">
        <f>VLOOKUP(EM_24[[#This Row],[Product Line]],Prod_T6[],4,0)</f>
        <v>PV</v>
      </c>
    </row>
    <row r="22" spans="1:21" ht="14.5">
      <c r="A22" s="93" t="s">
        <v>88</v>
      </c>
      <c r="B22" s="87" t="s">
        <v>452</v>
      </c>
      <c r="D22" s="86" t="s">
        <v>314</v>
      </c>
      <c r="E22" s="86" t="s">
        <v>442</v>
      </c>
      <c r="F22" s="86" t="s">
        <v>634</v>
      </c>
      <c r="G22" s="87" t="s">
        <v>684</v>
      </c>
      <c r="H22" s="43" t="s">
        <v>132</v>
      </c>
      <c r="I22" s="13"/>
      <c r="J22" s="13"/>
      <c r="K22" s="13">
        <v>19</v>
      </c>
      <c r="L22" s="13"/>
      <c r="M22" s="13"/>
      <c r="N22" s="13"/>
      <c r="O22" s="13"/>
      <c r="P22" s="13"/>
      <c r="Q22" s="13"/>
      <c r="R22" s="32">
        <f>SUM(EM_24[[#This Row],[26M04]:[26M06]])</f>
        <v>19</v>
      </c>
      <c r="S22" s="32">
        <f>SUM(EM_24[[#This Row],[26M07]:[26M09]])</f>
        <v>0</v>
      </c>
      <c r="T22" s="280">
        <f>O22++EM_24[[#This Row],[26M11]]+EM_24[[#This Row],[26M12]]</f>
        <v>0</v>
      </c>
      <c r="U22" s="85" t="str">
        <f>VLOOKUP(EM_24[[#This Row],[Product Line]],Prod_T6[],4,0)</f>
        <v>PV</v>
      </c>
    </row>
    <row r="23" spans="1:21" ht="14.5">
      <c r="A23" s="93" t="s">
        <v>88</v>
      </c>
      <c r="B23" s="87" t="s">
        <v>452</v>
      </c>
      <c r="D23" s="86" t="s">
        <v>314</v>
      </c>
      <c r="E23" s="86" t="s">
        <v>442</v>
      </c>
      <c r="F23" s="86" t="s">
        <v>115</v>
      </c>
      <c r="G23" s="95" t="s">
        <v>455</v>
      </c>
      <c r="H23" s="43" t="s">
        <v>132</v>
      </c>
      <c r="I23" s="13"/>
      <c r="J23" s="13"/>
      <c r="K23" s="13"/>
      <c r="L23" s="13"/>
      <c r="M23" s="13"/>
      <c r="N23" s="13">
        <v>1</v>
      </c>
      <c r="O23" s="13"/>
      <c r="P23" s="13"/>
      <c r="Q23" s="13"/>
      <c r="R23" s="32">
        <f>SUM(EM_24[[#This Row],[26M04]:[26M06]])</f>
        <v>0</v>
      </c>
      <c r="S23" s="32">
        <f>SUM(EM_24[[#This Row],[26M07]:[26M09]])</f>
        <v>1</v>
      </c>
      <c r="T23" s="280">
        <f>O23++EM_24[[#This Row],[26M11]]+EM_24[[#This Row],[26M12]]</f>
        <v>0</v>
      </c>
      <c r="U23" s="85" t="str">
        <f>VLOOKUP(EM_24[[#This Row],[Product Line]],Prod_T6[],4,0)</f>
        <v>PV</v>
      </c>
    </row>
    <row r="24" spans="1:21" ht="14.5">
      <c r="A24" s="93" t="s">
        <v>88</v>
      </c>
      <c r="B24" s="87" t="s">
        <v>452</v>
      </c>
      <c r="D24" s="86" t="s">
        <v>54</v>
      </c>
      <c r="E24" s="86" t="s">
        <v>170</v>
      </c>
      <c r="F24" s="86" t="s">
        <v>213</v>
      </c>
      <c r="G24" s="95" t="s">
        <v>458</v>
      </c>
      <c r="H24" s="43" t="s">
        <v>132</v>
      </c>
      <c r="I24" s="13"/>
      <c r="J24" s="13"/>
      <c r="K24" s="13"/>
      <c r="L24" s="13"/>
      <c r="M24" s="13"/>
      <c r="N24" s="13">
        <v>1</v>
      </c>
      <c r="O24" s="13"/>
      <c r="P24" s="13"/>
      <c r="Q24" s="13"/>
      <c r="R24" s="32">
        <f>SUM(EM_24[[#This Row],[26M04]:[26M06]])</f>
        <v>0</v>
      </c>
      <c r="S24" s="32">
        <f>SUM(EM_24[[#This Row],[26M07]:[26M09]])</f>
        <v>1</v>
      </c>
      <c r="T24" s="280">
        <f>O24++EM_24[[#This Row],[26M11]]+EM_24[[#This Row],[26M12]]</f>
        <v>0</v>
      </c>
      <c r="U24" s="85" t="str">
        <f>VLOOKUP(EM_24[[#This Row],[Product Line]],Prod_T6[],4,0)</f>
        <v>PV</v>
      </c>
    </row>
    <row r="25" spans="1:21" ht="14.5">
      <c r="A25" s="93" t="s">
        <v>88</v>
      </c>
      <c r="B25" s="87" t="s">
        <v>461</v>
      </c>
      <c r="D25" s="86" t="s">
        <v>54</v>
      </c>
      <c r="E25" s="86" t="s">
        <v>170</v>
      </c>
      <c r="F25" s="86" t="s">
        <v>634</v>
      </c>
      <c r="G25" s="87" t="s">
        <v>685</v>
      </c>
      <c r="H25" s="43" t="s">
        <v>132</v>
      </c>
      <c r="I25" s="13"/>
      <c r="J25" s="13"/>
      <c r="K25" s="13"/>
      <c r="L25" s="13"/>
      <c r="M25" s="13"/>
      <c r="N25" s="13">
        <v>90</v>
      </c>
      <c r="O25" s="13"/>
      <c r="P25" s="13"/>
      <c r="Q25" s="13"/>
      <c r="R25" s="32">
        <f>SUM(EM_24[[#This Row],[26M04]:[26M06]])</f>
        <v>0</v>
      </c>
      <c r="S25" s="32">
        <f>SUM(EM_24[[#This Row],[26M07]:[26M09]])</f>
        <v>90</v>
      </c>
      <c r="T25" s="280">
        <f>O25++EM_24[[#This Row],[26M11]]+EM_24[[#This Row],[26M12]]</f>
        <v>0</v>
      </c>
      <c r="U25" s="85" t="str">
        <f>VLOOKUP(EM_24[[#This Row],[Product Line]],Prod_T6[],4,0)</f>
        <v>PV</v>
      </c>
    </row>
    <row r="26" spans="1:21" ht="14.5">
      <c r="A26" s="93" t="s">
        <v>88</v>
      </c>
      <c r="B26" s="87" t="s">
        <v>686</v>
      </c>
      <c r="D26" s="86" t="s">
        <v>149</v>
      </c>
      <c r="E26" s="86" t="s">
        <v>433</v>
      </c>
      <c r="F26" s="86" t="s">
        <v>634</v>
      </c>
      <c r="G26" s="87" t="s">
        <v>687</v>
      </c>
      <c r="H26" s="43" t="s">
        <v>132</v>
      </c>
      <c r="I26" s="13"/>
      <c r="J26" s="13"/>
      <c r="K26" s="13"/>
      <c r="L26" s="13"/>
      <c r="M26" s="13"/>
      <c r="N26" s="13">
        <v>303</v>
      </c>
      <c r="O26" s="13"/>
      <c r="P26" s="13"/>
      <c r="Q26" s="13"/>
      <c r="R26" s="32">
        <f>SUM(EM_24[[#This Row],[26M04]:[26M06]])</f>
        <v>0</v>
      </c>
      <c r="S26" s="32">
        <f>SUM(EM_24[[#This Row],[26M07]:[26M09]])</f>
        <v>303</v>
      </c>
      <c r="T26" s="280">
        <f>O26++EM_24[[#This Row],[26M11]]+EM_24[[#This Row],[26M12]]</f>
        <v>0</v>
      </c>
      <c r="U26" s="85" t="str">
        <f>VLOOKUP(EM_24[[#This Row],[Product Line]],Prod_T6[],4,0)</f>
        <v>PV</v>
      </c>
    </row>
    <row r="27" spans="1:21" ht="14.5">
      <c r="A27" s="93" t="s">
        <v>88</v>
      </c>
      <c r="B27" s="87" t="s">
        <v>452</v>
      </c>
      <c r="D27" s="86" t="s">
        <v>54</v>
      </c>
      <c r="E27" s="86" t="s">
        <v>170</v>
      </c>
      <c r="F27" s="86" t="s">
        <v>213</v>
      </c>
      <c r="G27" s="95" t="s">
        <v>459</v>
      </c>
      <c r="H27" s="43" t="s">
        <v>132</v>
      </c>
      <c r="I27" s="13"/>
      <c r="J27" s="13"/>
      <c r="K27" s="13"/>
      <c r="L27" s="13"/>
      <c r="M27" s="13"/>
      <c r="N27" s="13">
        <v>1</v>
      </c>
      <c r="O27" s="13"/>
      <c r="P27" s="13"/>
      <c r="Q27" s="13"/>
      <c r="R27" s="32">
        <f>SUM(EM_24[[#This Row],[26M04]:[26M06]])</f>
        <v>0</v>
      </c>
      <c r="S27" s="32">
        <f>SUM(EM_24[[#This Row],[26M07]:[26M09]])</f>
        <v>1</v>
      </c>
      <c r="T27" s="280">
        <f>O27++EM_24[[#This Row],[26M11]]+EM_24[[#This Row],[26M12]]</f>
        <v>0</v>
      </c>
      <c r="U27" s="85" t="str">
        <f>VLOOKUP(EM_24[[#This Row],[Product Line]],Prod_T6[],4,0)</f>
        <v>PV</v>
      </c>
    </row>
    <row r="28" spans="1:21" ht="14.5">
      <c r="A28" s="93" t="s">
        <v>88</v>
      </c>
      <c r="B28" s="87" t="s">
        <v>688</v>
      </c>
      <c r="D28" s="86" t="s">
        <v>54</v>
      </c>
      <c r="E28" s="86" t="s">
        <v>121</v>
      </c>
      <c r="F28" s="86" t="s">
        <v>634</v>
      </c>
      <c r="G28" s="87" t="s">
        <v>689</v>
      </c>
      <c r="H28" s="43" t="s">
        <v>132</v>
      </c>
      <c r="I28" s="13">
        <v>8</v>
      </c>
      <c r="J28" s="13"/>
      <c r="K28" s="13"/>
      <c r="L28" s="13"/>
      <c r="M28" s="13"/>
      <c r="N28" s="13"/>
      <c r="O28" s="13"/>
      <c r="P28" s="13"/>
      <c r="Q28" s="13"/>
      <c r="R28" s="32">
        <f>SUM(EM_24[[#This Row],[26M04]:[26M06]])</f>
        <v>8</v>
      </c>
      <c r="S28" s="32">
        <f>SUM(EM_24[[#This Row],[26M07]:[26M09]])</f>
        <v>0</v>
      </c>
      <c r="T28" s="280">
        <f>O28++EM_24[[#This Row],[26M11]]+EM_24[[#This Row],[26M12]]</f>
        <v>0</v>
      </c>
      <c r="U28" s="85" t="str">
        <f>VLOOKUP(EM_24[[#This Row],[Product Line]],Prod_T6[],4,0)</f>
        <v>PV</v>
      </c>
    </row>
    <row r="29" spans="1:21" ht="14.5">
      <c r="A29" s="93" t="s">
        <v>88</v>
      </c>
      <c r="B29" s="87" t="s">
        <v>688</v>
      </c>
      <c r="D29" s="86" t="s">
        <v>54</v>
      </c>
      <c r="E29" s="86" t="s">
        <v>121</v>
      </c>
      <c r="F29" s="86" t="s">
        <v>634</v>
      </c>
      <c r="G29" s="87" t="s">
        <v>689</v>
      </c>
      <c r="H29" s="43" t="s">
        <v>132</v>
      </c>
      <c r="I29" s="13"/>
      <c r="J29" s="13">
        <v>3</v>
      </c>
      <c r="K29" s="13"/>
      <c r="L29" s="13"/>
      <c r="M29" s="13"/>
      <c r="N29" s="13"/>
      <c r="O29" s="13"/>
      <c r="P29" s="13"/>
      <c r="Q29" s="13"/>
      <c r="R29" s="32">
        <f>SUM(EM_24[[#This Row],[26M04]:[26M06]])</f>
        <v>3</v>
      </c>
      <c r="S29" s="32">
        <f>SUM(EM_24[[#This Row],[26M07]:[26M09]])</f>
        <v>0</v>
      </c>
      <c r="T29" s="280">
        <f>O29++EM_24[[#This Row],[26M11]]+EM_24[[#This Row],[26M12]]</f>
        <v>0</v>
      </c>
      <c r="U29" s="85" t="str">
        <f>VLOOKUP(EM_24[[#This Row],[Product Line]],Prod_T6[],4,0)</f>
        <v>PV</v>
      </c>
    </row>
    <row r="30" spans="1:21" ht="14.5">
      <c r="A30" s="93" t="s">
        <v>690</v>
      </c>
      <c r="B30" s="87" t="s">
        <v>691</v>
      </c>
      <c r="D30" s="86" t="s">
        <v>54</v>
      </c>
      <c r="E30" s="86" t="s">
        <v>692</v>
      </c>
      <c r="F30" s="86" t="s">
        <v>634</v>
      </c>
      <c r="G30" s="87" t="s">
        <v>693</v>
      </c>
      <c r="H30" s="43" t="s">
        <v>132</v>
      </c>
      <c r="I30" s="13"/>
      <c r="J30" s="13"/>
      <c r="K30" s="13"/>
      <c r="L30" s="13">
        <v>75</v>
      </c>
      <c r="M30" s="13"/>
      <c r="N30" s="13"/>
      <c r="O30" s="13"/>
      <c r="P30" s="13"/>
      <c r="Q30" s="13"/>
      <c r="R30" s="32">
        <f>SUM(EM_24[[#This Row],[26M04]:[26M06]])</f>
        <v>0</v>
      </c>
      <c r="S30" s="32">
        <f>SUM(EM_24[[#This Row],[26M07]:[26M09]])</f>
        <v>75</v>
      </c>
      <c r="T30" s="280">
        <f>O30++EM_24[[#This Row],[26M11]]+EM_24[[#This Row],[26M12]]</f>
        <v>0</v>
      </c>
      <c r="U30" s="85" t="str">
        <f>VLOOKUP(EM_24[[#This Row],[Product Line]],Prod_T6[],4,0)</f>
        <v>PV</v>
      </c>
    </row>
    <row r="31" spans="1:21" ht="14.5">
      <c r="A31" s="93" t="s">
        <v>88</v>
      </c>
      <c r="B31" s="87" t="s">
        <v>694</v>
      </c>
      <c r="D31" s="86" t="s">
        <v>54</v>
      </c>
      <c r="E31" s="86" t="s">
        <v>692</v>
      </c>
      <c r="F31" s="86" t="s">
        <v>634</v>
      </c>
      <c r="G31" s="87" t="s">
        <v>695</v>
      </c>
      <c r="H31" s="43" t="s">
        <v>132</v>
      </c>
      <c r="I31" s="13"/>
      <c r="J31" s="13"/>
      <c r="K31" s="13">
        <v>1</v>
      </c>
      <c r="L31" s="13"/>
      <c r="M31" s="13"/>
      <c r="N31" s="13"/>
      <c r="O31" s="13"/>
      <c r="P31" s="13"/>
      <c r="Q31" s="13"/>
      <c r="R31" s="32">
        <f>SUM(EM_24[[#This Row],[26M04]:[26M06]])</f>
        <v>1</v>
      </c>
      <c r="S31" s="32">
        <f>SUM(EM_24[[#This Row],[26M07]:[26M09]])</f>
        <v>0</v>
      </c>
      <c r="T31" s="280">
        <f>O31++EM_24[[#This Row],[26M11]]+EM_24[[#This Row],[26M12]]</f>
        <v>0</v>
      </c>
      <c r="U31" s="85" t="str">
        <f>VLOOKUP(EM_24[[#This Row],[Product Line]],Prod_T6[],4,0)</f>
        <v>PV</v>
      </c>
    </row>
    <row r="32" spans="1:21" ht="14.25" customHeight="1">
      <c r="A32" s="97" t="s">
        <v>89</v>
      </c>
      <c r="B32" s="87" t="s">
        <v>696</v>
      </c>
      <c r="D32" s="86" t="s">
        <v>118</v>
      </c>
      <c r="E32" s="86" t="s">
        <v>145</v>
      </c>
      <c r="F32" s="86" t="s">
        <v>634</v>
      </c>
      <c r="G32" s="95" t="s">
        <v>697</v>
      </c>
      <c r="H32" s="43" t="s">
        <v>117</v>
      </c>
      <c r="I32" s="13">
        <v>0.8</v>
      </c>
      <c r="J32" s="13"/>
      <c r="K32" s="13"/>
      <c r="L32" s="13"/>
      <c r="M32" s="13"/>
      <c r="N32" s="13"/>
      <c r="O32" s="13"/>
      <c r="P32" s="13"/>
      <c r="Q32" s="13"/>
      <c r="R32" s="32">
        <f>SUM(EM_24[[#This Row],[26M04]:[26M06]])</f>
        <v>0.8</v>
      </c>
      <c r="S32" s="32">
        <f>SUM(EM_24[[#This Row],[26M07]:[26M09]])</f>
        <v>0</v>
      </c>
      <c r="T32" s="280">
        <f>O32++EM_24[[#This Row],[26M11]]+EM_24[[#This Row],[26M12]]</f>
        <v>0</v>
      </c>
      <c r="U32" s="85" t="str">
        <f>VLOOKUP(EM_24[[#This Row],[Product Line]],Prod_T6[],4,0)</f>
        <v>PV</v>
      </c>
    </row>
    <row r="33" spans="1:21" ht="14.25" customHeight="1">
      <c r="A33" s="97" t="s">
        <v>89</v>
      </c>
      <c r="B33" s="98" t="s">
        <v>698</v>
      </c>
      <c r="D33" s="86" t="s">
        <v>54</v>
      </c>
      <c r="E33" s="86" t="s">
        <v>160</v>
      </c>
      <c r="F33" s="86" t="s">
        <v>634</v>
      </c>
      <c r="G33" s="87" t="s">
        <v>699</v>
      </c>
      <c r="H33" s="43" t="s">
        <v>132</v>
      </c>
      <c r="I33" s="13">
        <v>1</v>
      </c>
      <c r="J33" s="13"/>
      <c r="K33" s="13">
        <v>2</v>
      </c>
      <c r="L33" s="13"/>
      <c r="M33" s="13"/>
      <c r="N33" s="13"/>
      <c r="O33" s="13"/>
      <c r="P33" s="13"/>
      <c r="Q33" s="13"/>
      <c r="R33" s="32">
        <f>SUM(EM_24[[#This Row],[26M04]:[26M06]])</f>
        <v>3</v>
      </c>
      <c r="S33" s="32">
        <f>SUM(EM_24[[#This Row],[26M07]:[26M09]])</f>
        <v>0</v>
      </c>
      <c r="T33" s="280">
        <f>O33++EM_24[[#This Row],[26M11]]+EM_24[[#This Row],[26M12]]</f>
        <v>0</v>
      </c>
      <c r="U33" s="85" t="str">
        <f>VLOOKUP(EM_24[[#This Row],[Product Line]],Prod_T6[],4,0)</f>
        <v>PV</v>
      </c>
    </row>
    <row r="34" spans="1:21" ht="14.25" customHeight="1">
      <c r="A34" s="97" t="s">
        <v>89</v>
      </c>
      <c r="B34" s="98" t="s">
        <v>700</v>
      </c>
      <c r="D34" s="86" t="s">
        <v>54</v>
      </c>
      <c r="E34" s="86" t="s">
        <v>160</v>
      </c>
      <c r="F34" s="86" t="s">
        <v>634</v>
      </c>
      <c r="G34" s="95" t="s">
        <v>701</v>
      </c>
      <c r="H34" s="43" t="s">
        <v>132</v>
      </c>
      <c r="I34" s="13">
        <v>2</v>
      </c>
      <c r="J34" s="13">
        <v>2</v>
      </c>
      <c r="K34" s="13"/>
      <c r="L34" s="13"/>
      <c r="M34" s="13"/>
      <c r="N34" s="13"/>
      <c r="O34" s="13"/>
      <c r="P34" s="13"/>
      <c r="Q34" s="13"/>
      <c r="R34" s="32">
        <f>SUM(EM_24[[#This Row],[26M04]:[26M06]])</f>
        <v>4</v>
      </c>
      <c r="S34" s="32">
        <f>SUM(EM_24[[#This Row],[26M07]:[26M09]])</f>
        <v>0</v>
      </c>
      <c r="T34" s="280">
        <f>O34++EM_24[[#This Row],[26M11]]+EM_24[[#This Row],[26M12]]</f>
        <v>0</v>
      </c>
      <c r="U34" s="85" t="str">
        <f>VLOOKUP(EM_24[[#This Row],[Product Line]],Prod_T6[],4,0)</f>
        <v>PV</v>
      </c>
    </row>
    <row r="35" spans="1:21" ht="14.25" customHeight="1">
      <c r="A35" s="97" t="s">
        <v>89</v>
      </c>
      <c r="B35" s="98" t="s">
        <v>702</v>
      </c>
      <c r="D35" s="86" t="s">
        <v>54</v>
      </c>
      <c r="E35" s="86" t="s">
        <v>121</v>
      </c>
      <c r="F35" s="86" t="s">
        <v>634</v>
      </c>
      <c r="G35" s="95" t="s">
        <v>703</v>
      </c>
      <c r="H35" s="43" t="s">
        <v>132</v>
      </c>
      <c r="I35" s="13"/>
      <c r="J35" s="13"/>
      <c r="K35" s="13">
        <v>1</v>
      </c>
      <c r="L35" s="13"/>
      <c r="M35" s="13"/>
      <c r="N35" s="13"/>
      <c r="O35" s="13"/>
      <c r="P35" s="13"/>
      <c r="Q35" s="13"/>
      <c r="R35" s="32">
        <f>SUM(EM_24[[#This Row],[26M04]:[26M06]])</f>
        <v>1</v>
      </c>
      <c r="S35" s="32">
        <f>SUM(EM_24[[#This Row],[26M07]:[26M09]])</f>
        <v>0</v>
      </c>
      <c r="T35" s="280">
        <f>O35++EM_24[[#This Row],[26M11]]+EM_24[[#This Row],[26M12]]</f>
        <v>0</v>
      </c>
      <c r="U35" s="85" t="str">
        <f>VLOOKUP(EM_24[[#This Row],[Product Line]],Prod_T6[],4,0)</f>
        <v>PV</v>
      </c>
    </row>
    <row r="36" spans="1:21" ht="14.25" customHeight="1">
      <c r="A36" s="97" t="s">
        <v>89</v>
      </c>
      <c r="B36" s="98" t="s">
        <v>704</v>
      </c>
      <c r="D36" s="86" t="s">
        <v>54</v>
      </c>
      <c r="E36" s="86" t="s">
        <v>121</v>
      </c>
      <c r="F36" s="86" t="s">
        <v>634</v>
      </c>
      <c r="G36" s="95" t="s">
        <v>705</v>
      </c>
      <c r="H36" s="43" t="s">
        <v>132</v>
      </c>
      <c r="I36" s="13"/>
      <c r="J36" s="13">
        <v>2</v>
      </c>
      <c r="K36" s="13"/>
      <c r="L36" s="13"/>
      <c r="M36" s="13"/>
      <c r="N36" s="13"/>
      <c r="O36" s="13"/>
      <c r="P36" s="13"/>
      <c r="Q36" s="13"/>
      <c r="R36" s="32">
        <f>SUM(EM_24[[#This Row],[26M04]:[26M06]])</f>
        <v>2</v>
      </c>
      <c r="S36" s="32">
        <f>SUM(EM_24[[#This Row],[26M07]:[26M09]])</f>
        <v>0</v>
      </c>
      <c r="T36" s="280">
        <f>O36++EM_24[[#This Row],[26M11]]+EM_24[[#This Row],[26M12]]</f>
        <v>0</v>
      </c>
      <c r="U36" s="85" t="str">
        <f>VLOOKUP(EM_24[[#This Row],[Product Line]],Prod_T6[],4,0)</f>
        <v>PV</v>
      </c>
    </row>
    <row r="37" spans="1:21" ht="14.25" customHeight="1">
      <c r="A37" s="97" t="s">
        <v>89</v>
      </c>
      <c r="B37" s="98" t="s">
        <v>706</v>
      </c>
      <c r="D37" s="86" t="s">
        <v>54</v>
      </c>
      <c r="E37" s="86" t="s">
        <v>159</v>
      </c>
      <c r="F37" s="86" t="s">
        <v>634</v>
      </c>
      <c r="G37" s="95" t="s">
        <v>707</v>
      </c>
      <c r="H37" s="43" t="s">
        <v>132</v>
      </c>
      <c r="I37" s="13"/>
      <c r="J37" s="13">
        <v>2</v>
      </c>
      <c r="K37" s="13"/>
      <c r="L37" s="13"/>
      <c r="M37" s="13"/>
      <c r="N37" s="13"/>
      <c r="O37" s="13"/>
      <c r="P37" s="13"/>
      <c r="Q37" s="13"/>
      <c r="R37" s="32">
        <f>SUM(EM_24[[#This Row],[26M04]:[26M06]])</f>
        <v>2</v>
      </c>
      <c r="S37" s="32">
        <f>SUM(EM_24[[#This Row],[26M07]:[26M09]])</f>
        <v>0</v>
      </c>
      <c r="T37" s="280">
        <f>O37++EM_24[[#This Row],[26M11]]+EM_24[[#This Row],[26M12]]</f>
        <v>0</v>
      </c>
      <c r="U37" s="85" t="str">
        <f>VLOOKUP(EM_24[[#This Row],[Product Line]],Prod_T6[],4,0)</f>
        <v>PV</v>
      </c>
    </row>
    <row r="38" spans="1:21" ht="14.25" customHeight="1">
      <c r="A38" s="97" t="s">
        <v>90</v>
      </c>
      <c r="B38" s="87" t="s">
        <v>471</v>
      </c>
      <c r="D38" s="86" t="s">
        <v>54</v>
      </c>
      <c r="E38" s="86" t="s">
        <v>126</v>
      </c>
      <c r="F38" s="86" t="s">
        <v>115</v>
      </c>
      <c r="G38" s="95" t="s">
        <v>472</v>
      </c>
      <c r="H38" s="43" t="s">
        <v>132</v>
      </c>
      <c r="I38" s="13"/>
      <c r="J38" s="13"/>
      <c r="K38" s="13"/>
      <c r="L38" s="13"/>
      <c r="M38" s="13"/>
      <c r="N38" s="13"/>
      <c r="O38" s="13"/>
      <c r="P38" s="13">
        <v>2</v>
      </c>
      <c r="Q38" s="13"/>
      <c r="R38" s="32">
        <f>SUM(EM_24[[#This Row],[26M04]:[26M06]])</f>
        <v>0</v>
      </c>
      <c r="S38" s="32">
        <f>SUM(EM_24[[#This Row],[26M07]:[26M09]])</f>
        <v>0</v>
      </c>
      <c r="T38" s="280">
        <f>O38++EM_24[[#This Row],[26M11]]+EM_24[[#This Row],[26M12]]</f>
        <v>2</v>
      </c>
      <c r="U38" s="85" t="str">
        <f>VLOOKUP(EM_24[[#This Row],[Product Line]],Prod_T6[],4,0)</f>
        <v>PV</v>
      </c>
    </row>
    <row r="39" spans="1:21" ht="14.25" customHeight="1">
      <c r="A39" s="97" t="s">
        <v>174</v>
      </c>
      <c r="B39" s="87" t="s">
        <v>175</v>
      </c>
      <c r="D39" s="86" t="s">
        <v>54</v>
      </c>
      <c r="E39" s="86" t="s">
        <v>170</v>
      </c>
      <c r="F39" s="86" t="s">
        <v>115</v>
      </c>
      <c r="G39" s="95" t="s">
        <v>176</v>
      </c>
      <c r="H39" s="43" t="s">
        <v>132</v>
      </c>
      <c r="I39" s="13"/>
      <c r="J39" s="13"/>
      <c r="K39" s="13"/>
      <c r="L39" s="13"/>
      <c r="M39" s="13">
        <v>5</v>
      </c>
      <c r="N39" s="13"/>
      <c r="O39" s="13"/>
      <c r="P39" s="13"/>
      <c r="Q39" s="13"/>
      <c r="R39" s="32">
        <f>SUM(EM_24[[#This Row],[26M04]:[26M06]])</f>
        <v>0</v>
      </c>
      <c r="S39" s="32">
        <f>SUM(EM_24[[#This Row],[26M07]:[26M09]])</f>
        <v>5</v>
      </c>
      <c r="T39" s="280">
        <f>O39++EM_24[[#This Row],[26M11]]+EM_24[[#This Row],[26M12]]</f>
        <v>0</v>
      </c>
      <c r="U39" s="85" t="str">
        <f>VLOOKUP(EM_24[[#This Row],[Product Line]],Prod_T6[],4,0)</f>
        <v>PV</v>
      </c>
    </row>
    <row r="40" spans="1:21" ht="14.25" customHeight="1">
      <c r="A40" s="97" t="s">
        <v>253</v>
      </c>
      <c r="B40" s="87" t="s">
        <v>254</v>
      </c>
      <c r="D40" s="86" t="s">
        <v>118</v>
      </c>
      <c r="E40" s="86" t="s">
        <v>255</v>
      </c>
      <c r="F40" s="86" t="s">
        <v>115</v>
      </c>
      <c r="G40" s="95" t="s">
        <v>256</v>
      </c>
      <c r="H40" s="43" t="s">
        <v>117</v>
      </c>
      <c r="I40" s="13"/>
      <c r="J40" s="13"/>
      <c r="K40" s="13" t="s">
        <v>257</v>
      </c>
      <c r="L40" s="13"/>
      <c r="M40" s="13">
        <v>0.6</v>
      </c>
      <c r="N40" s="13"/>
      <c r="O40" s="13"/>
      <c r="P40" s="13"/>
      <c r="Q40" s="13"/>
      <c r="R40" s="32">
        <f>SUM(EM_24[[#This Row],[26M04]:[26M06]])</f>
        <v>0</v>
      </c>
      <c r="S40" s="32">
        <f>SUM(EM_24[[#This Row],[26M07]:[26M09]])</f>
        <v>0.6</v>
      </c>
      <c r="T40" s="280">
        <f>O40++EM_24[[#This Row],[26M11]]+EM_24[[#This Row],[26M12]]</f>
        <v>0</v>
      </c>
      <c r="U40" s="85" t="str">
        <f>VLOOKUP(EM_24[[#This Row],[Product Line]],Prod_T6[],4,0)</f>
        <v>PV</v>
      </c>
    </row>
    <row r="41" spans="1:21" ht="14.25" customHeight="1">
      <c r="A41" s="97" t="s">
        <v>85</v>
      </c>
      <c r="B41" s="87" t="s">
        <v>708</v>
      </c>
      <c r="D41" s="86" t="s">
        <v>54</v>
      </c>
      <c r="E41" s="86" t="s">
        <v>126</v>
      </c>
      <c r="F41" s="86" t="s">
        <v>634</v>
      </c>
      <c r="G41" s="99" t="s">
        <v>709</v>
      </c>
      <c r="H41" s="43" t="s">
        <v>132</v>
      </c>
      <c r="I41" s="13"/>
      <c r="J41" s="13"/>
      <c r="K41" s="13"/>
      <c r="L41" s="13"/>
      <c r="M41" s="13"/>
      <c r="N41" s="13">
        <v>15</v>
      </c>
      <c r="O41" s="13"/>
      <c r="P41" s="13"/>
      <c r="Q41" s="13"/>
      <c r="R41" s="32">
        <f>SUM(EM_24[[#This Row],[26M04]:[26M06]])</f>
        <v>0</v>
      </c>
      <c r="S41" s="32">
        <f>SUM(EM_24[[#This Row],[26M07]:[26M09]])</f>
        <v>15</v>
      </c>
      <c r="T41" s="280">
        <f>O41++EM_24[[#This Row],[26M11]]+EM_24[[#This Row],[26M12]]</f>
        <v>0</v>
      </c>
      <c r="U41" s="85" t="str">
        <f>VLOOKUP(EM_24[[#This Row],[Product Line]],Prod_T6[],4,0)</f>
        <v>PV</v>
      </c>
    </row>
    <row r="42" spans="1:21" ht="14.25" customHeight="1">
      <c r="A42" s="97" t="s">
        <v>85</v>
      </c>
      <c r="B42" s="87" t="s">
        <v>386</v>
      </c>
      <c r="D42" s="86" t="s">
        <v>54</v>
      </c>
      <c r="E42" s="86" t="s">
        <v>129</v>
      </c>
      <c r="F42" s="86" t="s">
        <v>634</v>
      </c>
      <c r="G42" s="98" t="s">
        <v>710</v>
      </c>
      <c r="H42" s="43" t="s">
        <v>132</v>
      </c>
      <c r="I42" s="13"/>
      <c r="J42" s="13">
        <v>2.95</v>
      </c>
      <c r="K42" s="13">
        <v>2.95</v>
      </c>
      <c r="L42" s="13">
        <v>2.1</v>
      </c>
      <c r="M42" s="13"/>
      <c r="N42" s="13"/>
      <c r="O42" s="13"/>
      <c r="P42" s="13"/>
      <c r="Q42" s="13"/>
      <c r="R42" s="32">
        <f>SUM(EM_24[[#This Row],[26M04]:[26M06]])</f>
        <v>5.9</v>
      </c>
      <c r="S42" s="32">
        <f>SUM(EM_24[[#This Row],[26M07]:[26M09]])</f>
        <v>2.1</v>
      </c>
      <c r="T42" s="280">
        <f>O42++EM_24[[#This Row],[26M11]]+EM_24[[#This Row],[26M12]]</f>
        <v>0</v>
      </c>
      <c r="U42" s="85" t="str">
        <f>VLOOKUP(EM_24[[#This Row],[Product Line]],Prod_T6[],4,0)</f>
        <v>PV</v>
      </c>
    </row>
    <row r="43" spans="1:21" ht="14.25" customHeight="1">
      <c r="A43" s="97" t="s">
        <v>85</v>
      </c>
      <c r="B43" s="87" t="s">
        <v>386</v>
      </c>
      <c r="D43" s="86" t="s">
        <v>54</v>
      </c>
      <c r="E43" s="86" t="s">
        <v>121</v>
      </c>
      <c r="F43" s="86" t="s">
        <v>634</v>
      </c>
      <c r="G43" s="98" t="s">
        <v>711</v>
      </c>
      <c r="H43" s="43" t="s">
        <v>132</v>
      </c>
      <c r="I43" s="13"/>
      <c r="J43" s="13">
        <v>1.3</v>
      </c>
      <c r="K43" s="13">
        <v>1.3</v>
      </c>
      <c r="L43" s="13">
        <v>1.3</v>
      </c>
      <c r="M43" s="13"/>
      <c r="N43" s="13"/>
      <c r="O43" s="13"/>
      <c r="P43" s="13"/>
      <c r="Q43" s="13"/>
      <c r="R43" s="32">
        <f>SUM(EM_24[[#This Row],[26M04]:[26M06]])</f>
        <v>2.6</v>
      </c>
      <c r="S43" s="32">
        <f>SUM(EM_24[[#This Row],[26M07]:[26M09]])</f>
        <v>1.3</v>
      </c>
      <c r="T43" s="280">
        <f>O43++EM_24[[#This Row],[26M11]]+EM_24[[#This Row],[26M12]]</f>
        <v>0</v>
      </c>
      <c r="U43" s="85" t="str">
        <f>VLOOKUP(EM_24[[#This Row],[Product Line]],Prod_T6[],4,0)</f>
        <v>PV</v>
      </c>
    </row>
    <row r="44" spans="1:21" ht="14.25" customHeight="1">
      <c r="A44" s="97" t="s">
        <v>81</v>
      </c>
      <c r="B44" s="87" t="s">
        <v>168</v>
      </c>
      <c r="D44" s="86" t="s">
        <v>54</v>
      </c>
      <c r="E44" s="86" t="s">
        <v>129</v>
      </c>
      <c r="F44" s="86" t="s">
        <v>634</v>
      </c>
      <c r="G44" s="98" t="s">
        <v>712</v>
      </c>
      <c r="H44" s="43" t="s">
        <v>132</v>
      </c>
      <c r="I44" s="13"/>
      <c r="J44" s="13">
        <v>0.4</v>
      </c>
      <c r="K44" s="13"/>
      <c r="L44" s="13"/>
      <c r="M44" s="13"/>
      <c r="N44" s="13"/>
      <c r="O44" s="13"/>
      <c r="P44" s="13"/>
      <c r="Q44" s="13"/>
      <c r="R44" s="32">
        <f>SUM(EM_24[[#This Row],[26M04]:[26M06]])</f>
        <v>0.4</v>
      </c>
      <c r="S44" s="32">
        <f>SUM(EM_24[[#This Row],[26M07]:[26M09]])</f>
        <v>0</v>
      </c>
      <c r="T44" s="280">
        <f>O44++EM_24[[#This Row],[26M11]]+EM_24[[#This Row],[26M12]]</f>
        <v>0</v>
      </c>
      <c r="U44" s="85" t="str">
        <f>VLOOKUP(EM_24[[#This Row],[Product Line]],Prod_T6[],4,0)</f>
        <v>PV</v>
      </c>
    </row>
    <row r="45" spans="1:21" ht="14.25" customHeight="1">
      <c r="A45" s="97" t="s">
        <v>85</v>
      </c>
      <c r="B45" s="87" t="s">
        <v>379</v>
      </c>
      <c r="D45" s="86" t="s">
        <v>54</v>
      </c>
      <c r="E45" s="86" t="s">
        <v>339</v>
      </c>
      <c r="F45" s="86" t="s">
        <v>130</v>
      </c>
      <c r="G45" s="87" t="s">
        <v>385</v>
      </c>
      <c r="H45" s="43" t="s">
        <v>132</v>
      </c>
      <c r="I45" s="13">
        <v>0.8</v>
      </c>
      <c r="J45" s="13"/>
      <c r="K45" s="13"/>
      <c r="L45" s="13"/>
      <c r="M45" s="13"/>
      <c r="N45" s="13"/>
      <c r="O45" s="13"/>
      <c r="P45" s="13"/>
      <c r="Q45" s="13"/>
      <c r="R45" s="32">
        <f>SUM(EM_24[[#This Row],[26M04]:[26M06]])</f>
        <v>0.8</v>
      </c>
      <c r="S45" s="32">
        <f>SUM(EM_24[[#This Row],[26M07]:[26M09]])</f>
        <v>0</v>
      </c>
      <c r="T45" s="280">
        <f>O45++EM_24[[#This Row],[26M11]]+EM_24[[#This Row],[26M12]]</f>
        <v>0</v>
      </c>
      <c r="U45" s="85" t="str">
        <f>VLOOKUP(EM_24[[#This Row],[Product Line]],Prod_T6[],4,0)</f>
        <v>PV</v>
      </c>
    </row>
    <row r="46" spans="1:21" ht="14.25" customHeight="1">
      <c r="A46" s="97" t="s">
        <v>85</v>
      </c>
      <c r="B46" s="87" t="s">
        <v>379</v>
      </c>
      <c r="D46" s="86" t="s">
        <v>54</v>
      </c>
      <c r="E46" s="86" t="s">
        <v>121</v>
      </c>
      <c r="F46" s="86" t="s">
        <v>130</v>
      </c>
      <c r="G46" s="87" t="s">
        <v>384</v>
      </c>
      <c r="H46" s="43" t="s">
        <v>132</v>
      </c>
      <c r="I46" s="13"/>
      <c r="J46" s="13"/>
      <c r="K46" s="13">
        <v>1.2</v>
      </c>
      <c r="L46" s="13"/>
      <c r="M46" s="13"/>
      <c r="N46" s="13"/>
      <c r="O46" s="13"/>
      <c r="P46" s="13"/>
      <c r="Q46" s="13"/>
      <c r="R46" s="32">
        <f>SUM(EM_24[[#This Row],[26M04]:[26M06]])</f>
        <v>1.2</v>
      </c>
      <c r="S46" s="32">
        <f>SUM(EM_24[[#This Row],[26M07]:[26M09]])</f>
        <v>0</v>
      </c>
      <c r="T46" s="280">
        <f>O46++EM_24[[#This Row],[26M11]]+EM_24[[#This Row],[26M12]]</f>
        <v>0</v>
      </c>
      <c r="U46" s="85" t="str">
        <f>VLOOKUP(EM_24[[#This Row],[Product Line]],Prod_T6[],4,0)</f>
        <v>PV</v>
      </c>
    </row>
    <row r="47" spans="1:21" ht="14.25" customHeight="1">
      <c r="A47" s="97" t="s">
        <v>81</v>
      </c>
      <c r="B47" s="87" t="s">
        <v>168</v>
      </c>
      <c r="D47" s="86" t="s">
        <v>54</v>
      </c>
      <c r="E47" s="86" t="s">
        <v>126</v>
      </c>
      <c r="F47" s="86" t="s">
        <v>130</v>
      </c>
      <c r="G47" s="87" t="s">
        <v>169</v>
      </c>
      <c r="H47" s="43" t="s">
        <v>132</v>
      </c>
      <c r="I47" s="13"/>
      <c r="J47" s="13">
        <v>1.2</v>
      </c>
      <c r="K47" s="13"/>
      <c r="L47" s="13"/>
      <c r="M47" s="13"/>
      <c r="N47" s="13"/>
      <c r="O47" s="13"/>
      <c r="P47" s="13"/>
      <c r="Q47" s="13"/>
      <c r="R47" s="32">
        <f>SUM(EM_24[[#This Row],[26M04]:[26M06]])</f>
        <v>1.2</v>
      </c>
      <c r="S47" s="32">
        <f>SUM(EM_24[[#This Row],[26M07]:[26M09]])</f>
        <v>0</v>
      </c>
      <c r="T47" s="280">
        <f>O47++EM_24[[#This Row],[26M11]]+EM_24[[#This Row],[26M12]]</f>
        <v>0</v>
      </c>
      <c r="U47" s="85" t="str">
        <f>VLOOKUP(EM_24[[#This Row],[Product Line]],Prod_T6[],4,0)</f>
        <v>PV</v>
      </c>
    </row>
    <row r="48" spans="1:21" ht="14.25" customHeight="1">
      <c r="A48" s="97" t="s">
        <v>585</v>
      </c>
      <c r="B48" s="87" t="s">
        <v>586</v>
      </c>
      <c r="D48" s="86" t="s">
        <v>118</v>
      </c>
      <c r="E48" s="86" t="s">
        <v>119</v>
      </c>
      <c r="F48" s="86" t="s">
        <v>213</v>
      </c>
      <c r="G48" s="87" t="s">
        <v>587</v>
      </c>
      <c r="H48" s="43" t="s">
        <v>117</v>
      </c>
      <c r="I48" s="13"/>
      <c r="J48" s="13" t="s">
        <v>257</v>
      </c>
      <c r="K48" s="13">
        <v>0.8</v>
      </c>
      <c r="L48" s="13"/>
      <c r="M48" s="13"/>
      <c r="N48" s="13"/>
      <c r="O48" s="13"/>
      <c r="P48" s="13"/>
      <c r="Q48" s="13"/>
      <c r="R48" s="32">
        <f>SUM(EM_24[[#This Row],[26M04]:[26M06]])</f>
        <v>0.8</v>
      </c>
      <c r="S48" s="32">
        <f>SUM(EM_24[[#This Row],[26M07]:[26M09]])</f>
        <v>0</v>
      </c>
      <c r="T48" s="280">
        <f>O48++EM_24[[#This Row],[26M11]]+EM_24[[#This Row],[26M12]]</f>
        <v>0</v>
      </c>
      <c r="U48" s="85" t="str">
        <f>VLOOKUP(EM_24[[#This Row],[Product Line]],Prod_T6[],4,0)</f>
        <v>PV</v>
      </c>
    </row>
    <row r="49" spans="1:21" ht="14.25" customHeight="1">
      <c r="A49" s="97" t="s">
        <v>585</v>
      </c>
      <c r="B49" s="87" t="s">
        <v>586</v>
      </c>
      <c r="D49" s="86" t="s">
        <v>118</v>
      </c>
      <c r="E49" s="86" t="s">
        <v>255</v>
      </c>
      <c r="F49" s="86" t="s">
        <v>213</v>
      </c>
      <c r="G49" s="87" t="s">
        <v>588</v>
      </c>
      <c r="H49" s="43" t="s">
        <v>117</v>
      </c>
      <c r="I49" s="13"/>
      <c r="J49" s="13" t="s">
        <v>257</v>
      </c>
      <c r="K49" s="13">
        <v>0.8</v>
      </c>
      <c r="L49" s="13"/>
      <c r="M49" s="13"/>
      <c r="N49" s="13"/>
      <c r="O49" s="13"/>
      <c r="P49" s="13"/>
      <c r="Q49" s="13"/>
      <c r="R49" s="32">
        <f>SUM(EM_24[[#This Row],[26M04]:[26M06]])</f>
        <v>0.8</v>
      </c>
      <c r="S49" s="32">
        <f>SUM(EM_24[[#This Row],[26M07]:[26M09]])</f>
        <v>0</v>
      </c>
      <c r="T49" s="280">
        <f>O49++EM_24[[#This Row],[26M11]]+EM_24[[#This Row],[26M12]]</f>
        <v>0</v>
      </c>
      <c r="U49" s="85" t="str">
        <f>VLOOKUP(EM_24[[#This Row],[Product Line]],Prod_T6[],4,0)</f>
        <v>PV</v>
      </c>
    </row>
    <row r="50" spans="1:21" ht="14.25" customHeight="1">
      <c r="A50" s="97" t="s">
        <v>85</v>
      </c>
      <c r="B50" s="87" t="s">
        <v>386</v>
      </c>
      <c r="D50" s="86" t="s">
        <v>54</v>
      </c>
      <c r="E50" s="86" t="s">
        <v>339</v>
      </c>
      <c r="F50" s="86" t="s">
        <v>130</v>
      </c>
      <c r="G50" s="87" t="s">
        <v>387</v>
      </c>
      <c r="H50" s="43" t="s">
        <v>132</v>
      </c>
      <c r="I50" s="13">
        <v>2</v>
      </c>
      <c r="J50" s="13"/>
      <c r="K50" s="13"/>
      <c r="L50" s="13"/>
      <c r="M50" s="13"/>
      <c r="N50" s="13"/>
      <c r="O50" s="13"/>
      <c r="P50" s="13"/>
      <c r="Q50" s="13"/>
      <c r="R50" s="32">
        <f>SUM(EM_24[[#This Row],[26M04]:[26M06]])</f>
        <v>2</v>
      </c>
      <c r="S50" s="32">
        <f>SUM(EM_24[[#This Row],[26M07]:[26M09]])</f>
        <v>0</v>
      </c>
      <c r="T50" s="280">
        <f>O50++EM_24[[#This Row],[26M11]]+EM_24[[#This Row],[26M12]]</f>
        <v>0</v>
      </c>
      <c r="U50" s="85" t="str">
        <f>VLOOKUP(EM_24[[#This Row],[Product Line]],Prod_T6[],4,0)</f>
        <v>PV</v>
      </c>
    </row>
    <row r="51" spans="1:21" ht="14.25" customHeight="1">
      <c r="A51" s="97" t="s">
        <v>174</v>
      </c>
      <c r="B51" s="87" t="s">
        <v>177</v>
      </c>
      <c r="D51" s="86" t="s">
        <v>54</v>
      </c>
      <c r="E51" s="86" t="s">
        <v>126</v>
      </c>
      <c r="F51" s="86" t="s">
        <v>115</v>
      </c>
      <c r="G51" s="87" t="s">
        <v>178</v>
      </c>
      <c r="H51" s="43" t="s">
        <v>132</v>
      </c>
      <c r="I51" s="13"/>
      <c r="J51" s="13"/>
      <c r="K51" s="13"/>
      <c r="L51" s="13"/>
      <c r="M51" s="13"/>
      <c r="N51" s="13">
        <v>43.3</v>
      </c>
      <c r="O51" s="13">
        <v>43.3</v>
      </c>
      <c r="P51" s="13">
        <v>43.3</v>
      </c>
      <c r="Q51" s="13"/>
      <c r="R51" s="32">
        <f>SUM(EM_24[[#This Row],[26M04]:[26M06]])</f>
        <v>0</v>
      </c>
      <c r="S51" s="32">
        <f>SUM(EM_24[[#This Row],[26M07]:[26M09]])</f>
        <v>43.3</v>
      </c>
      <c r="T51" s="280">
        <f>O51++EM_24[[#This Row],[26M11]]+EM_24[[#This Row],[26M12]]</f>
        <v>86.6</v>
      </c>
      <c r="U51" s="85" t="str">
        <f>VLOOKUP(EM_24[[#This Row],[Product Line]],Prod_T6[],4,0)</f>
        <v>PV</v>
      </c>
    </row>
    <row r="52" spans="1:21" ht="14.25" customHeight="1">
      <c r="A52" s="97" t="s">
        <v>84</v>
      </c>
      <c r="B52" s="87" t="s">
        <v>363</v>
      </c>
      <c r="D52" s="86" t="s">
        <v>54</v>
      </c>
      <c r="E52" s="86" t="s">
        <v>339</v>
      </c>
      <c r="F52" s="86" t="s">
        <v>130</v>
      </c>
      <c r="G52" s="87" t="s">
        <v>364</v>
      </c>
      <c r="H52" s="43" t="s">
        <v>117</v>
      </c>
      <c r="I52" s="13"/>
      <c r="J52" s="13">
        <v>0.4</v>
      </c>
      <c r="K52" s="13"/>
      <c r="L52" s="13"/>
      <c r="M52" s="13"/>
      <c r="N52" s="13"/>
      <c r="O52" s="13"/>
      <c r="P52" s="13"/>
      <c r="Q52" s="13"/>
      <c r="R52" s="32">
        <f>SUM(EM_24[[#This Row],[26M04]:[26M06]])</f>
        <v>0.4</v>
      </c>
      <c r="S52" s="32">
        <f>SUM(EM_24[[#This Row],[26M07]:[26M09]])</f>
        <v>0</v>
      </c>
      <c r="T52" s="280">
        <f>O52++EM_24[[#This Row],[26M11]]+EM_24[[#This Row],[26M12]]</f>
        <v>0</v>
      </c>
      <c r="U52" s="85" t="str">
        <f>VLOOKUP(EM_24[[#This Row],[Product Line]],Prod_T6[],4,0)</f>
        <v>PV</v>
      </c>
    </row>
    <row r="53" spans="1:21" ht="14.25" customHeight="1">
      <c r="A53" s="97" t="s">
        <v>89</v>
      </c>
      <c r="B53" s="87" t="s">
        <v>467</v>
      </c>
      <c r="D53" s="86" t="s">
        <v>118</v>
      </c>
      <c r="E53" s="86" t="s">
        <v>145</v>
      </c>
      <c r="F53" s="86" t="s">
        <v>156</v>
      </c>
      <c r="G53" s="87" t="s">
        <v>468</v>
      </c>
      <c r="H53" s="43" t="s">
        <v>117</v>
      </c>
      <c r="I53" s="13"/>
      <c r="J53" s="13">
        <v>3.5</v>
      </c>
      <c r="K53" s="13"/>
      <c r="L53" s="13"/>
      <c r="M53" s="13"/>
      <c r="N53" s="13"/>
      <c r="O53" s="13"/>
      <c r="P53" s="13"/>
      <c r="Q53" s="13"/>
      <c r="R53" s="32">
        <f>SUM(EM_24[[#This Row],[26M04]:[26M06]])</f>
        <v>3.5</v>
      </c>
      <c r="S53" s="32">
        <f>SUM(EM_24[[#This Row],[26M07]:[26M09]])</f>
        <v>0</v>
      </c>
      <c r="T53" s="280">
        <f>O53++EM_24[[#This Row],[26M11]]+EM_24[[#This Row],[26M12]]</f>
        <v>0</v>
      </c>
      <c r="U53" s="85" t="str">
        <f>VLOOKUP(EM_24[[#This Row],[Product Line]],Prod_T6[],4,0)</f>
        <v>PV</v>
      </c>
    </row>
    <row r="54" spans="1:21" ht="14.25" customHeight="1">
      <c r="A54" s="97" t="s">
        <v>85</v>
      </c>
      <c r="B54" s="87" t="s">
        <v>379</v>
      </c>
      <c r="D54" s="86" t="s">
        <v>54</v>
      </c>
      <c r="E54" s="86" t="s">
        <v>339</v>
      </c>
      <c r="F54" s="86" t="s">
        <v>130</v>
      </c>
      <c r="G54" s="87" t="s">
        <v>382</v>
      </c>
      <c r="H54" s="43" t="s">
        <v>117</v>
      </c>
      <c r="I54" s="13"/>
      <c r="J54" s="13">
        <v>0.4</v>
      </c>
      <c r="K54" s="13"/>
      <c r="L54" s="13"/>
      <c r="M54" s="13"/>
      <c r="N54" s="13"/>
      <c r="O54" s="13"/>
      <c r="P54" s="13"/>
      <c r="Q54" s="13"/>
      <c r="R54" s="32">
        <f>SUM(EM_24[[#This Row],[26M04]:[26M06]])</f>
        <v>0.4</v>
      </c>
      <c r="S54" s="32">
        <f>SUM(EM_24[[#This Row],[26M07]:[26M09]])</f>
        <v>0</v>
      </c>
      <c r="T54" s="280">
        <f>O54++EM_24[[#This Row],[26M11]]+EM_24[[#This Row],[26M12]]</f>
        <v>0</v>
      </c>
      <c r="U54" s="85" t="str">
        <f>VLOOKUP(EM_24[[#This Row],[Product Line]],Prod_T6[],4,0)</f>
        <v>PV</v>
      </c>
    </row>
    <row r="55" spans="1:21" ht="14.25" customHeight="1">
      <c r="A55" s="97" t="s">
        <v>85</v>
      </c>
      <c r="B55" s="87" t="s">
        <v>379</v>
      </c>
      <c r="D55" s="86" t="s">
        <v>54</v>
      </c>
      <c r="E55" s="86" t="s">
        <v>129</v>
      </c>
      <c r="F55" s="86" t="s">
        <v>130</v>
      </c>
      <c r="G55" s="87" t="s">
        <v>380</v>
      </c>
      <c r="H55" s="43" t="s">
        <v>117</v>
      </c>
      <c r="I55" s="13"/>
      <c r="J55" s="13">
        <v>0.4</v>
      </c>
      <c r="K55" s="13"/>
      <c r="L55" s="13"/>
      <c r="M55" s="13"/>
      <c r="N55" s="13"/>
      <c r="O55" s="13"/>
      <c r="P55" s="13"/>
      <c r="Q55" s="13"/>
      <c r="R55" s="32">
        <f>SUM(EM_24[[#This Row],[26M04]:[26M06]])</f>
        <v>0.4</v>
      </c>
      <c r="S55" s="32">
        <f>SUM(EM_24[[#This Row],[26M07]:[26M09]])</f>
        <v>0</v>
      </c>
      <c r="T55" s="280">
        <f>O55++EM_24[[#This Row],[26M11]]+EM_24[[#This Row],[26M12]]</f>
        <v>0</v>
      </c>
      <c r="U55" s="85" t="str">
        <f>VLOOKUP(EM_24[[#This Row],[Product Line]],Prod_T6[],4,0)</f>
        <v>PV</v>
      </c>
    </row>
    <row r="56" spans="1:21" ht="14.25" customHeight="1">
      <c r="A56" s="97" t="s">
        <v>85</v>
      </c>
      <c r="B56" s="87" t="s">
        <v>377</v>
      </c>
      <c r="D56" s="86" t="s">
        <v>54</v>
      </c>
      <c r="E56" s="86" t="s">
        <v>160</v>
      </c>
      <c r="F56" s="86" t="s">
        <v>130</v>
      </c>
      <c r="G56" s="87" t="s">
        <v>381</v>
      </c>
      <c r="H56" s="43" t="s">
        <v>117</v>
      </c>
      <c r="I56" s="13"/>
      <c r="J56" s="13">
        <v>1.7</v>
      </c>
      <c r="K56" s="13"/>
      <c r="L56" s="13"/>
      <c r="M56" s="13"/>
      <c r="N56" s="13"/>
      <c r="O56" s="13"/>
      <c r="P56" s="13"/>
      <c r="Q56" s="13"/>
      <c r="R56" s="32">
        <f>SUM(EM_24[[#This Row],[26M04]:[26M06]])</f>
        <v>1.7</v>
      </c>
      <c r="S56" s="32">
        <f>SUM(EM_24[[#This Row],[26M07]:[26M09]])</f>
        <v>0</v>
      </c>
      <c r="T56" s="280">
        <f>O56++EM_24[[#This Row],[26M11]]+EM_24[[#This Row],[26M12]]</f>
        <v>0</v>
      </c>
      <c r="U56" s="85" t="str">
        <f>VLOOKUP(EM_24[[#This Row],[Product Line]],Prod_T6[],4,0)</f>
        <v>PV</v>
      </c>
    </row>
    <row r="57" spans="1:21" ht="14.25" customHeight="1">
      <c r="A57" s="97" t="s">
        <v>83</v>
      </c>
      <c r="B57" s="87" t="s">
        <v>359</v>
      </c>
      <c r="D57" s="86" t="s">
        <v>54</v>
      </c>
      <c r="E57" s="86" t="s">
        <v>166</v>
      </c>
      <c r="F57" s="86" t="s">
        <v>136</v>
      </c>
      <c r="G57" s="87" t="s">
        <v>360</v>
      </c>
      <c r="H57" s="43" t="s">
        <v>132</v>
      </c>
      <c r="I57" s="13"/>
      <c r="J57" s="13"/>
      <c r="K57" s="13"/>
      <c r="L57" s="13"/>
      <c r="M57" s="13">
        <v>8</v>
      </c>
      <c r="N57" s="13"/>
      <c r="O57" s="13"/>
      <c r="P57" s="13"/>
      <c r="Q57" s="13"/>
      <c r="R57" s="32">
        <f>SUM(EM_24[[#This Row],[26M04]:[26M06]])</f>
        <v>0</v>
      </c>
      <c r="S57" s="32">
        <f>SUM(EM_24[[#This Row],[26M07]:[26M09]])</f>
        <v>8</v>
      </c>
      <c r="T57" s="280">
        <f>O57++EM_24[[#This Row],[26M11]]+EM_24[[#This Row],[26M12]]</f>
        <v>0</v>
      </c>
      <c r="U57" s="85" t="str">
        <f>VLOOKUP(EM_24[[#This Row],[Product Line]],Prod_T6[],4,0)</f>
        <v>PV</v>
      </c>
    </row>
    <row r="58" spans="1:21" ht="14.25" customHeight="1">
      <c r="A58" s="97" t="s">
        <v>90</v>
      </c>
      <c r="B58" s="87" t="s">
        <v>473</v>
      </c>
      <c r="D58" s="86" t="s">
        <v>54</v>
      </c>
      <c r="E58" s="86" t="s">
        <v>297</v>
      </c>
      <c r="F58" s="86" t="s">
        <v>136</v>
      </c>
      <c r="G58" s="87" t="s">
        <v>474</v>
      </c>
      <c r="H58" s="43" t="s">
        <v>132</v>
      </c>
      <c r="I58" s="13"/>
      <c r="J58" s="13"/>
      <c r="K58" s="13"/>
      <c r="L58" s="13"/>
      <c r="M58" s="13"/>
      <c r="N58" s="13"/>
      <c r="O58" s="13"/>
      <c r="P58" s="13">
        <v>8</v>
      </c>
      <c r="Q58" s="13"/>
      <c r="R58" s="32">
        <f>SUM(EM_24[[#This Row],[26M04]:[26M06]])</f>
        <v>0</v>
      </c>
      <c r="S58" s="32">
        <f>SUM(EM_24[[#This Row],[26M07]:[26M09]])</f>
        <v>0</v>
      </c>
      <c r="T58" s="280">
        <f>O58++EM_24[[#This Row],[26M11]]+EM_24[[#This Row],[26M12]]</f>
        <v>8</v>
      </c>
      <c r="U58" s="85" t="str">
        <f>VLOOKUP(EM_24[[#This Row],[Product Line]],Prod_T6[],4,0)</f>
        <v>PV</v>
      </c>
    </row>
    <row r="59" spans="1:21" ht="14.25" customHeight="1">
      <c r="A59" s="97" t="s">
        <v>82</v>
      </c>
      <c r="B59" s="87" t="s">
        <v>172</v>
      </c>
      <c r="D59" s="86" t="s">
        <v>54</v>
      </c>
      <c r="E59" s="86" t="s">
        <v>159</v>
      </c>
      <c r="F59" s="86" t="s">
        <v>136</v>
      </c>
      <c r="G59" s="87" t="s">
        <v>173</v>
      </c>
      <c r="H59" s="43" t="s">
        <v>132</v>
      </c>
      <c r="I59" s="13"/>
      <c r="J59" s="13"/>
      <c r="K59" s="13"/>
      <c r="L59" s="13"/>
      <c r="M59" s="13"/>
      <c r="N59" s="13">
        <v>1</v>
      </c>
      <c r="O59" s="13"/>
      <c r="P59" s="13"/>
      <c r="Q59" s="13"/>
      <c r="R59" s="32">
        <f>SUM(EM_24[[#This Row],[26M04]:[26M06]])</f>
        <v>0</v>
      </c>
      <c r="S59" s="32">
        <f>SUM(EM_24[[#This Row],[26M07]:[26M09]])</f>
        <v>1</v>
      </c>
      <c r="T59" s="280">
        <f>O59++EM_24[[#This Row],[26M11]]+EM_24[[#This Row],[26M12]]</f>
        <v>0</v>
      </c>
      <c r="U59" s="85" t="str">
        <f>VLOOKUP(EM_24[[#This Row],[Product Line]],Prod_T6[],4,0)</f>
        <v>PV</v>
      </c>
    </row>
    <row r="60" spans="1:21" ht="14.25" customHeight="1">
      <c r="A60" s="97" t="s">
        <v>164</v>
      </c>
      <c r="B60" s="87" t="s">
        <v>165</v>
      </c>
      <c r="D60" s="86" t="s">
        <v>54</v>
      </c>
      <c r="E60" s="86" t="s">
        <v>129</v>
      </c>
      <c r="F60" s="86" t="s">
        <v>115</v>
      </c>
      <c r="G60" s="87" t="s">
        <v>167</v>
      </c>
      <c r="H60" s="43" t="s">
        <v>132</v>
      </c>
      <c r="I60" s="13"/>
      <c r="J60" s="13"/>
      <c r="K60" s="13"/>
      <c r="L60" s="13">
        <v>0.8</v>
      </c>
      <c r="M60" s="13"/>
      <c r="N60" s="13"/>
      <c r="O60" s="13"/>
      <c r="P60" s="13"/>
      <c r="Q60" s="13"/>
      <c r="R60" s="32">
        <f>SUM(EM_24[[#This Row],[26M04]:[26M06]])</f>
        <v>0</v>
      </c>
      <c r="S60" s="32">
        <f>SUM(EM_24[[#This Row],[26M07]:[26M09]])</f>
        <v>0.8</v>
      </c>
      <c r="T60" s="280">
        <f>O60++EM_24[[#This Row],[26M11]]+EM_24[[#This Row],[26M12]]</f>
        <v>0</v>
      </c>
      <c r="U60" s="85" t="str">
        <f>VLOOKUP(EM_24[[#This Row],[Product Line]],Prod_T6[],4,0)</f>
        <v>PV</v>
      </c>
    </row>
    <row r="61" spans="1:21" ht="14.25" customHeight="1">
      <c r="A61" s="97" t="s">
        <v>164</v>
      </c>
      <c r="B61" s="87" t="s">
        <v>165</v>
      </c>
      <c r="D61" s="86" t="s">
        <v>54</v>
      </c>
      <c r="E61" s="86" t="s">
        <v>166</v>
      </c>
      <c r="F61" s="86" t="s">
        <v>115</v>
      </c>
      <c r="G61" s="87" t="s">
        <v>167</v>
      </c>
      <c r="H61" s="43" t="s">
        <v>132</v>
      </c>
      <c r="I61" s="13"/>
      <c r="J61" s="13"/>
      <c r="K61" s="13"/>
      <c r="L61" s="13">
        <v>0.8</v>
      </c>
      <c r="M61" s="13"/>
      <c r="N61" s="13"/>
      <c r="O61" s="13"/>
      <c r="P61" s="13"/>
      <c r="Q61" s="13"/>
      <c r="R61" s="32">
        <f>SUM(EM_24[[#This Row],[26M04]:[26M06]])</f>
        <v>0</v>
      </c>
      <c r="S61" s="32">
        <f>SUM(EM_24[[#This Row],[26M07]:[26M09]])</f>
        <v>0.8</v>
      </c>
      <c r="T61" s="280">
        <f>O61++EM_24[[#This Row],[26M11]]+EM_24[[#This Row],[26M12]]</f>
        <v>0</v>
      </c>
      <c r="U61" s="85" t="str">
        <f>VLOOKUP(EM_24[[#This Row],[Product Line]],Prod_T6[],4,0)</f>
        <v>PV</v>
      </c>
    </row>
    <row r="62" spans="1:21" ht="14.25" customHeight="1">
      <c r="A62" s="97" t="s">
        <v>85</v>
      </c>
      <c r="B62" s="87" t="s">
        <v>377</v>
      </c>
      <c r="D62" s="86" t="s">
        <v>54</v>
      </c>
      <c r="E62" s="86" t="s">
        <v>129</v>
      </c>
      <c r="F62" s="86" t="s">
        <v>156</v>
      </c>
      <c r="G62" s="87" t="s">
        <v>378</v>
      </c>
      <c r="H62" s="43" t="s">
        <v>117</v>
      </c>
      <c r="I62" s="13"/>
      <c r="J62" s="13">
        <v>1.2</v>
      </c>
      <c r="K62" s="13"/>
      <c r="L62" s="13"/>
      <c r="M62" s="13"/>
      <c r="N62" s="13"/>
      <c r="O62" s="13"/>
      <c r="P62" s="13"/>
      <c r="Q62" s="13"/>
      <c r="R62" s="32">
        <f>SUM(EM_24[[#This Row],[26M04]:[26M06]])</f>
        <v>1.2</v>
      </c>
      <c r="S62" s="32">
        <f>SUM(EM_24[[#This Row],[26M07]:[26M09]])</f>
        <v>0</v>
      </c>
      <c r="T62" s="280">
        <f>O62++EM_24[[#This Row],[26M11]]+EM_24[[#This Row],[26M12]]</f>
        <v>0</v>
      </c>
      <c r="U62" s="85" t="str">
        <f>VLOOKUP(EM_24[[#This Row],[Product Line]],Prod_T6[],4,0)</f>
        <v>PV</v>
      </c>
    </row>
    <row r="63" spans="1:21" ht="14.25" customHeight="1">
      <c r="A63" s="97" t="s">
        <v>83</v>
      </c>
      <c r="B63" s="87" t="s">
        <v>165</v>
      </c>
      <c r="D63" s="86" t="s">
        <v>54</v>
      </c>
      <c r="E63" s="86" t="s">
        <v>166</v>
      </c>
      <c r="F63" s="86" t="s">
        <v>115</v>
      </c>
      <c r="G63" s="87" t="s">
        <v>356</v>
      </c>
      <c r="H63" s="43" t="s">
        <v>132</v>
      </c>
      <c r="I63" s="13"/>
      <c r="J63" s="13"/>
      <c r="K63" s="13"/>
      <c r="L63" s="13"/>
      <c r="M63" s="13"/>
      <c r="N63" s="13">
        <v>7.2</v>
      </c>
      <c r="O63" s="13"/>
      <c r="P63" s="13"/>
      <c r="Q63" s="13"/>
      <c r="R63" s="32">
        <f>SUM(EM_24[[#This Row],[26M04]:[26M06]])</f>
        <v>0</v>
      </c>
      <c r="S63" s="32">
        <f>SUM(EM_24[[#This Row],[26M07]:[26M09]])</f>
        <v>7.2</v>
      </c>
      <c r="T63" s="280">
        <f>O63++EM_24[[#This Row],[26M11]]+EM_24[[#This Row],[26M12]]</f>
        <v>0</v>
      </c>
      <c r="U63" s="85" t="str">
        <f>VLOOKUP(EM_24[[#This Row],[Product Line]],Prod_T6[],4,0)</f>
        <v>PV</v>
      </c>
    </row>
    <row r="64" spans="1:21" ht="14.25" customHeight="1">
      <c r="A64" s="97" t="s">
        <v>90</v>
      </c>
      <c r="B64" s="87" t="s">
        <v>469</v>
      </c>
      <c r="D64" s="86" t="s">
        <v>54</v>
      </c>
      <c r="E64" s="86" t="s">
        <v>297</v>
      </c>
      <c r="F64" s="86" t="s">
        <v>136</v>
      </c>
      <c r="G64" s="87" t="s">
        <v>470</v>
      </c>
      <c r="H64" s="43" t="s">
        <v>132</v>
      </c>
      <c r="I64" s="13"/>
      <c r="J64" s="13"/>
      <c r="K64" s="13"/>
      <c r="L64" s="13"/>
      <c r="M64" s="13"/>
      <c r="N64" s="13"/>
      <c r="O64" s="13"/>
      <c r="P64" s="13">
        <v>8</v>
      </c>
      <c r="Q64" s="13"/>
      <c r="R64" s="32">
        <f>SUM(EM_24[[#This Row],[26M04]:[26M06]])</f>
        <v>0</v>
      </c>
      <c r="S64" s="32">
        <f>SUM(EM_24[[#This Row],[26M07]:[26M09]])</f>
        <v>0</v>
      </c>
      <c r="T64" s="280">
        <f>O64++EM_24[[#This Row],[26M11]]+EM_24[[#This Row],[26M12]]</f>
        <v>8</v>
      </c>
      <c r="U64" s="85" t="str">
        <f>VLOOKUP(EM_24[[#This Row],[Product Line]],Prod_T6[],4,0)</f>
        <v>PV</v>
      </c>
    </row>
    <row r="65" spans="1:21" ht="14.25" customHeight="1">
      <c r="A65" s="97" t="s">
        <v>375</v>
      </c>
      <c r="B65" s="87" t="s">
        <v>165</v>
      </c>
      <c r="D65" s="86" t="s">
        <v>54</v>
      </c>
      <c r="E65" s="86" t="s">
        <v>166</v>
      </c>
      <c r="F65" s="86" t="s">
        <v>115</v>
      </c>
      <c r="G65" s="87" t="s">
        <v>376</v>
      </c>
      <c r="H65" s="43" t="s">
        <v>132</v>
      </c>
      <c r="I65" s="13"/>
      <c r="J65" s="13"/>
      <c r="K65" s="13"/>
      <c r="L65" s="13"/>
      <c r="M65" s="13">
        <v>1.6</v>
      </c>
      <c r="N65" s="13"/>
      <c r="O65" s="13"/>
      <c r="P65" s="13"/>
      <c r="Q65" s="13"/>
      <c r="R65" s="32">
        <f>SUM(EM_24[[#This Row],[26M04]:[26M06]])</f>
        <v>0</v>
      </c>
      <c r="S65" s="32">
        <f>SUM(EM_24[[#This Row],[26M07]:[26M09]])</f>
        <v>1.6</v>
      </c>
      <c r="T65" s="280">
        <f>O65++EM_24[[#This Row],[26M11]]+EM_24[[#This Row],[26M12]]</f>
        <v>0</v>
      </c>
      <c r="U65" s="85" t="str">
        <f>VLOOKUP(EM_24[[#This Row],[Product Line]],Prod_T6[],4,0)</f>
        <v>PV</v>
      </c>
    </row>
    <row r="66" spans="1:21" ht="14.25" customHeight="1">
      <c r="A66" s="97" t="s">
        <v>446</v>
      </c>
      <c r="B66" s="87" t="s">
        <v>165</v>
      </c>
      <c r="D66" s="86" t="s">
        <v>54</v>
      </c>
      <c r="E66" s="86" t="s">
        <v>166</v>
      </c>
      <c r="F66" s="86" t="s">
        <v>213</v>
      </c>
      <c r="G66" s="87" t="s">
        <v>447</v>
      </c>
      <c r="H66" s="43" t="s">
        <v>132</v>
      </c>
      <c r="I66" s="13"/>
      <c r="J66" s="13"/>
      <c r="K66" s="13"/>
      <c r="L66" s="13"/>
      <c r="M66" s="13"/>
      <c r="N66" s="13"/>
      <c r="O66" s="13"/>
      <c r="P66" s="13">
        <v>1.2</v>
      </c>
      <c r="Q66" s="13"/>
      <c r="R66" s="32">
        <f>SUM(EM_24[[#This Row],[26M04]:[26M06]])</f>
        <v>0</v>
      </c>
      <c r="S66" s="32">
        <f>SUM(EM_24[[#This Row],[26M07]:[26M09]])</f>
        <v>0</v>
      </c>
      <c r="T66" s="280">
        <f>O66++EM_24[[#This Row],[26M11]]+EM_24[[#This Row],[26M12]]</f>
        <v>1.2</v>
      </c>
      <c r="U66" s="85" t="str">
        <f>VLOOKUP(EM_24[[#This Row],[Product Line]],Prod_T6[],4,0)</f>
        <v>PV</v>
      </c>
    </row>
    <row r="67" spans="1:21" ht="14.25" customHeight="1">
      <c r="A67" s="97" t="s">
        <v>83</v>
      </c>
      <c r="B67" s="87" t="s">
        <v>361</v>
      </c>
      <c r="D67" s="86" t="s">
        <v>54</v>
      </c>
      <c r="E67" s="86" t="s">
        <v>297</v>
      </c>
      <c r="F67" s="86" t="s">
        <v>213</v>
      </c>
      <c r="G67" s="87" t="s">
        <v>362</v>
      </c>
      <c r="H67" s="43" t="s">
        <v>132</v>
      </c>
      <c r="I67" s="13"/>
      <c r="J67" s="13"/>
      <c r="K67" s="13"/>
      <c r="L67" s="13"/>
      <c r="M67" s="13"/>
      <c r="N67" s="13"/>
      <c r="O67" s="13"/>
      <c r="P67" s="13"/>
      <c r="Q67" s="13">
        <v>10</v>
      </c>
      <c r="R67" s="32">
        <f>SUM(EM_24[[#This Row],[26M04]:[26M06]])</f>
        <v>0</v>
      </c>
      <c r="S67" s="32">
        <f>SUM(EM_24[[#This Row],[26M07]:[26M09]])</f>
        <v>0</v>
      </c>
      <c r="T67" s="280">
        <f>O67++EM_24[[#This Row],[26M11]]+EM_24[[#This Row],[26M12]]</f>
        <v>10</v>
      </c>
      <c r="U67" s="85" t="str">
        <f>VLOOKUP(EM_24[[#This Row],[Product Line]],Prod_T6[],4,0)</f>
        <v>PV</v>
      </c>
    </row>
    <row r="68" spans="1:21" ht="14.25" customHeight="1">
      <c r="A68" s="97" t="s">
        <v>81</v>
      </c>
      <c r="B68" s="87" t="s">
        <v>168</v>
      </c>
      <c r="D68" s="86" t="s">
        <v>54</v>
      </c>
      <c r="E68" s="86" t="s">
        <v>170</v>
      </c>
      <c r="F68" s="86" t="s">
        <v>115</v>
      </c>
      <c r="G68" s="87" t="s">
        <v>171</v>
      </c>
      <c r="H68" s="43" t="s">
        <v>132</v>
      </c>
      <c r="I68" s="13"/>
      <c r="J68" s="13"/>
      <c r="K68" s="13"/>
      <c r="L68" s="13"/>
      <c r="M68" s="13"/>
      <c r="N68" s="13">
        <v>4.9000000000000004</v>
      </c>
      <c r="O68" s="13"/>
      <c r="P68" s="13"/>
      <c r="Q68" s="13"/>
      <c r="R68" s="32">
        <f>SUM(EM_24[[#This Row],[26M04]:[26M06]])</f>
        <v>0</v>
      </c>
      <c r="S68" s="32">
        <f>SUM(EM_24[[#This Row],[26M07]:[26M09]])</f>
        <v>4.9000000000000004</v>
      </c>
      <c r="T68" s="280">
        <f>O68++EM_24[[#This Row],[26M11]]+EM_24[[#This Row],[26M12]]</f>
        <v>0</v>
      </c>
      <c r="U68" s="85" t="str">
        <f>VLOOKUP(EM_24[[#This Row],[Product Line]],Prod_T6[],4,0)</f>
        <v>PV</v>
      </c>
    </row>
    <row r="69" spans="1:21" ht="14.25" customHeight="1">
      <c r="A69" s="97" t="s">
        <v>83</v>
      </c>
      <c r="B69" s="87" t="s">
        <v>357</v>
      </c>
      <c r="D69" s="86" t="s">
        <v>54</v>
      </c>
      <c r="E69" s="86" t="s">
        <v>166</v>
      </c>
      <c r="F69" s="86" t="s">
        <v>154</v>
      </c>
      <c r="G69" s="87" t="s">
        <v>358</v>
      </c>
      <c r="H69" s="43" t="s">
        <v>117</v>
      </c>
      <c r="I69" s="13"/>
      <c r="J69" s="13">
        <v>1.2</v>
      </c>
      <c r="K69" s="13"/>
      <c r="L69" s="13"/>
      <c r="M69" s="13"/>
      <c r="N69" s="13"/>
      <c r="O69" s="13"/>
      <c r="P69" s="13"/>
      <c r="Q69" s="13"/>
      <c r="R69" s="32">
        <f>SUM(EM_24[[#This Row],[26M04]:[26M06]])</f>
        <v>1.2</v>
      </c>
      <c r="S69" s="32">
        <f>SUM(EM_24[[#This Row],[26M07]:[26M09]])</f>
        <v>0</v>
      </c>
      <c r="T69" s="280">
        <f>O69++EM_24[[#This Row],[26M11]]+EM_24[[#This Row],[26M12]]</f>
        <v>0</v>
      </c>
      <c r="U69" s="85" t="str">
        <f>VLOOKUP(EM_24[[#This Row],[Product Line]],Prod_T6[],4,0)</f>
        <v>PV</v>
      </c>
    </row>
    <row r="70" spans="1:21" ht="14.25" customHeight="1">
      <c r="A70" s="97" t="s">
        <v>174</v>
      </c>
      <c r="B70" s="87" t="s">
        <v>179</v>
      </c>
      <c r="D70" s="86" t="s">
        <v>54</v>
      </c>
      <c r="E70" s="86" t="s">
        <v>160</v>
      </c>
      <c r="F70" s="86" t="s">
        <v>634</v>
      </c>
      <c r="G70" s="87" t="s">
        <v>713</v>
      </c>
      <c r="H70" s="43" t="s">
        <v>117</v>
      </c>
      <c r="I70" s="13"/>
      <c r="J70" s="13">
        <v>0.8</v>
      </c>
      <c r="K70" s="13"/>
      <c r="L70" s="13"/>
      <c r="M70" s="13"/>
      <c r="N70" s="13"/>
      <c r="O70" s="13"/>
      <c r="P70" s="13"/>
      <c r="Q70" s="13"/>
      <c r="R70" s="32">
        <f>SUM(EM_24[[#This Row],[26M04]:[26M06]])</f>
        <v>0.8</v>
      </c>
      <c r="S70" s="32">
        <f>SUM(EM_24[[#This Row],[26M07]:[26M09]])</f>
        <v>0</v>
      </c>
      <c r="T70" s="280">
        <f>O70++EM_24[[#This Row],[26M11]]+EM_24[[#This Row],[26M12]]</f>
        <v>0</v>
      </c>
      <c r="U70" s="85" t="str">
        <f>VLOOKUP(EM_24[[#This Row],[Product Line]],Prod_T6[],4,0)</f>
        <v>PV</v>
      </c>
    </row>
    <row r="71" spans="1:21" ht="14.25" customHeight="1">
      <c r="A71" s="97" t="s">
        <v>174</v>
      </c>
      <c r="B71" s="87" t="s">
        <v>179</v>
      </c>
      <c r="D71" s="86" t="s">
        <v>54</v>
      </c>
      <c r="E71" s="86" t="s">
        <v>170</v>
      </c>
      <c r="F71" s="86" t="s">
        <v>634</v>
      </c>
      <c r="G71" s="87" t="s">
        <v>714</v>
      </c>
      <c r="H71" s="43" t="s">
        <v>117</v>
      </c>
      <c r="I71" s="13"/>
      <c r="J71" s="13"/>
      <c r="K71" s="13"/>
      <c r="L71" s="13"/>
      <c r="M71" s="13">
        <v>1.8</v>
      </c>
      <c r="N71" s="13"/>
      <c r="O71" s="13"/>
      <c r="P71" s="13"/>
      <c r="Q71" s="13"/>
      <c r="R71" s="32">
        <f>SUM(EM_24[[#This Row],[26M04]:[26M06]])</f>
        <v>0</v>
      </c>
      <c r="S71" s="32">
        <f>SUM(EM_24[[#This Row],[26M07]:[26M09]])</f>
        <v>1.8</v>
      </c>
      <c r="T71" s="280">
        <f>O71++EM_24[[#This Row],[26M11]]+EM_24[[#This Row],[26M12]]</f>
        <v>0</v>
      </c>
      <c r="U71" s="85" t="str">
        <f>VLOOKUP(EM_24[[#This Row],[Product Line]],Prod_T6[],4,0)</f>
        <v>PV</v>
      </c>
    </row>
    <row r="72" spans="1:21" ht="14.25" customHeight="1">
      <c r="A72" s="97" t="s">
        <v>174</v>
      </c>
      <c r="B72" s="87" t="s">
        <v>179</v>
      </c>
      <c r="D72" s="86" t="s">
        <v>118</v>
      </c>
      <c r="E72" s="86" t="s">
        <v>180</v>
      </c>
      <c r="F72" s="86" t="s">
        <v>115</v>
      </c>
      <c r="G72" s="87" t="s">
        <v>181</v>
      </c>
      <c r="H72" s="43" t="s">
        <v>117</v>
      </c>
      <c r="I72" s="13"/>
      <c r="J72" s="13"/>
      <c r="K72" s="13">
        <v>1.8</v>
      </c>
      <c r="L72" s="13"/>
      <c r="M72" s="13"/>
      <c r="N72" s="13"/>
      <c r="O72" s="13"/>
      <c r="P72" s="13"/>
      <c r="Q72" s="13"/>
      <c r="R72" s="32">
        <f>SUM(EM_24[[#This Row],[26M04]:[26M06]])</f>
        <v>1.8</v>
      </c>
      <c r="S72" s="32">
        <f>SUM(EM_24[[#This Row],[26M07]:[26M09]])</f>
        <v>0</v>
      </c>
      <c r="T72" s="280">
        <f>O72++EM_24[[#This Row],[26M11]]+EM_24[[#This Row],[26M12]]</f>
        <v>0</v>
      </c>
      <c r="U72" s="85" t="str">
        <f>VLOOKUP(EM_24[[#This Row],[Product Line]],Prod_T6[],4,0)</f>
        <v>PV</v>
      </c>
    </row>
    <row r="73" spans="1:21" ht="14.25" customHeight="1">
      <c r="A73" s="97" t="s">
        <v>88</v>
      </c>
      <c r="B73" s="87" t="s">
        <v>463</v>
      </c>
      <c r="D73" s="86" t="s">
        <v>118</v>
      </c>
      <c r="E73" s="86" t="s">
        <v>145</v>
      </c>
      <c r="F73" s="86" t="s">
        <v>115</v>
      </c>
      <c r="G73" s="87" t="s">
        <v>464</v>
      </c>
      <c r="H73" s="43" t="s">
        <v>132</v>
      </c>
      <c r="I73" s="13"/>
      <c r="J73" s="13"/>
      <c r="K73" s="13"/>
      <c r="L73" s="13"/>
      <c r="M73" s="13">
        <v>3</v>
      </c>
      <c r="N73" s="13"/>
      <c r="O73" s="13"/>
      <c r="P73" s="13"/>
      <c r="Q73" s="13"/>
      <c r="R73" s="32">
        <f>SUM(EM_24[[#This Row],[26M04]:[26M06]])</f>
        <v>0</v>
      </c>
      <c r="S73" s="32">
        <f>SUM(EM_24[[#This Row],[26M07]:[26M09]])</f>
        <v>3</v>
      </c>
      <c r="T73" s="280">
        <f>O73++EM_24[[#This Row],[26M11]]+EM_24[[#This Row],[26M12]]</f>
        <v>0</v>
      </c>
      <c r="U73" s="85" t="str">
        <f>VLOOKUP(EM_24[[#This Row],[Product Line]],Prod_T6[],4,0)</f>
        <v>PV</v>
      </c>
    </row>
    <row r="74" spans="1:21" ht="14.25" customHeight="1">
      <c r="A74" s="97" t="s">
        <v>89</v>
      </c>
      <c r="B74" s="87" t="s">
        <v>465</v>
      </c>
      <c r="D74" s="86" t="s">
        <v>149</v>
      </c>
      <c r="E74" s="86" t="s">
        <v>433</v>
      </c>
      <c r="F74" s="86" t="s">
        <v>115</v>
      </c>
      <c r="G74" s="87" t="s">
        <v>466</v>
      </c>
      <c r="H74" s="43" t="s">
        <v>117</v>
      </c>
      <c r="I74" s="13"/>
      <c r="J74" s="13"/>
      <c r="K74" s="13"/>
      <c r="L74" s="13">
        <v>2.6</v>
      </c>
      <c r="M74" s="13"/>
      <c r="N74" s="13"/>
      <c r="O74" s="13"/>
      <c r="P74" s="13"/>
      <c r="Q74" s="13"/>
      <c r="R74" s="32">
        <f>SUM(EM_24[[#This Row],[26M04]:[26M06]])</f>
        <v>0</v>
      </c>
      <c r="S74" s="32">
        <f>SUM(EM_24[[#This Row],[26M07]:[26M09]])</f>
        <v>2.6</v>
      </c>
      <c r="T74" s="280">
        <f>O74++EM_24[[#This Row],[26M11]]+EM_24[[#This Row],[26M12]]</f>
        <v>0</v>
      </c>
      <c r="U74" s="85" t="str">
        <f>VLOOKUP(EM_24[[#This Row],[Product Line]],Prod_T6[],4,0)</f>
        <v>PV</v>
      </c>
    </row>
    <row r="75" spans="1:21" ht="14.25" customHeight="1">
      <c r="A75" s="97" t="s">
        <v>85</v>
      </c>
      <c r="B75" s="87" t="s">
        <v>386</v>
      </c>
      <c r="D75" s="86" t="s">
        <v>54</v>
      </c>
      <c r="E75" s="86" t="s">
        <v>129</v>
      </c>
      <c r="F75" s="86" t="s">
        <v>634</v>
      </c>
      <c r="G75" s="87" t="s">
        <v>715</v>
      </c>
      <c r="H75" s="43" t="s">
        <v>117</v>
      </c>
      <c r="I75" s="13"/>
      <c r="J75" s="13"/>
      <c r="K75" s="13"/>
      <c r="L75" s="13">
        <v>1.6</v>
      </c>
      <c r="M75" s="13"/>
      <c r="N75" s="13"/>
      <c r="O75" s="13"/>
      <c r="P75" s="13"/>
      <c r="Q75" s="13"/>
      <c r="R75" s="32">
        <f>SUM(EM_24[[#This Row],[26M04]:[26M06]])</f>
        <v>0</v>
      </c>
      <c r="S75" s="32">
        <f>SUM(EM_24[[#This Row],[26M07]:[26M09]])</f>
        <v>1.6</v>
      </c>
      <c r="T75" s="280">
        <f>O75++EM_24[[#This Row],[26M11]]+EM_24[[#This Row],[26M12]]</f>
        <v>0</v>
      </c>
      <c r="U75" s="85" t="str">
        <f>VLOOKUP(EM_24[[#This Row],[Product Line]],Prod_T6[],4,0)</f>
        <v>PV</v>
      </c>
    </row>
    <row r="76" spans="1:21" ht="14.25" customHeight="1">
      <c r="A76" s="97" t="s">
        <v>85</v>
      </c>
      <c r="B76" s="87" t="s">
        <v>386</v>
      </c>
      <c r="D76" s="86" t="s">
        <v>54</v>
      </c>
      <c r="E76" s="86" t="s">
        <v>121</v>
      </c>
      <c r="F76" s="86" t="s">
        <v>634</v>
      </c>
      <c r="G76" s="87" t="s">
        <v>716</v>
      </c>
      <c r="H76" s="43" t="s">
        <v>117</v>
      </c>
      <c r="I76" s="13"/>
      <c r="J76" s="13"/>
      <c r="K76" s="13"/>
      <c r="L76" s="13">
        <v>1.6</v>
      </c>
      <c r="M76" s="13"/>
      <c r="N76" s="13"/>
      <c r="O76" s="13"/>
      <c r="P76" s="13"/>
      <c r="Q76" s="13"/>
      <c r="R76" s="32">
        <f>SUM(EM_24[[#This Row],[26M04]:[26M06]])</f>
        <v>0</v>
      </c>
      <c r="S76" s="32">
        <f>SUM(EM_24[[#This Row],[26M07]:[26M09]])</f>
        <v>1.6</v>
      </c>
      <c r="T76" s="280">
        <f>O76++EM_24[[#This Row],[26M11]]+EM_24[[#This Row],[26M12]]</f>
        <v>0</v>
      </c>
      <c r="U76" s="85" t="str">
        <f>VLOOKUP(EM_24[[#This Row],[Product Line]],Prod_T6[],4,0)</f>
        <v>PV</v>
      </c>
    </row>
    <row r="77" spans="1:21" ht="14.25" customHeight="1">
      <c r="A77" s="97" t="s">
        <v>174</v>
      </c>
      <c r="B77" s="87" t="s">
        <v>177</v>
      </c>
      <c r="D77" s="86" t="s">
        <v>113</v>
      </c>
      <c r="E77" s="86" t="s">
        <v>182</v>
      </c>
      <c r="F77" s="86" t="s">
        <v>115</v>
      </c>
      <c r="G77" s="87" t="s">
        <v>183</v>
      </c>
      <c r="H77" s="43" t="s">
        <v>132</v>
      </c>
      <c r="I77" s="13"/>
      <c r="J77" s="13"/>
      <c r="K77" s="13"/>
      <c r="L77" s="13"/>
      <c r="M77" s="13"/>
      <c r="N77" s="13"/>
      <c r="O77" s="13">
        <v>64</v>
      </c>
      <c r="P77" s="13">
        <v>64</v>
      </c>
      <c r="Q77" s="13"/>
      <c r="R77" s="32">
        <f>SUM(EM_24[[#This Row],[26M04]:[26M06]])</f>
        <v>0</v>
      </c>
      <c r="S77" s="32">
        <f>SUM(EM_24[[#This Row],[26M07]:[26M09]])</f>
        <v>0</v>
      </c>
      <c r="T77" s="280">
        <f>O77++EM_24[[#This Row],[26M11]]+EM_24[[#This Row],[26M12]]</f>
        <v>128</v>
      </c>
      <c r="U77" s="85" t="str">
        <f>VLOOKUP(EM_24[[#This Row],[Product Line]],Prod_T6[],4,0)</f>
        <v>PV</v>
      </c>
    </row>
    <row r="78" spans="1:21" ht="14.25" customHeight="1">
      <c r="A78" s="97" t="s">
        <v>174</v>
      </c>
      <c r="B78" s="87" t="s">
        <v>177</v>
      </c>
      <c r="D78" s="86" t="s">
        <v>54</v>
      </c>
      <c r="E78" s="86" t="s">
        <v>126</v>
      </c>
      <c r="F78" s="86" t="s">
        <v>115</v>
      </c>
      <c r="G78" s="87" t="s">
        <v>184</v>
      </c>
      <c r="H78" s="43" t="s">
        <v>132</v>
      </c>
      <c r="I78" s="13"/>
      <c r="J78" s="13"/>
      <c r="K78" s="13"/>
      <c r="L78" s="13"/>
      <c r="M78" s="13"/>
      <c r="N78" s="13"/>
      <c r="O78" s="13">
        <v>22</v>
      </c>
      <c r="P78" s="13">
        <v>22</v>
      </c>
      <c r="Q78" s="13"/>
      <c r="R78" s="32">
        <f>SUM(EM_24[[#This Row],[26M04]:[26M06]])</f>
        <v>0</v>
      </c>
      <c r="S78" s="32">
        <f>SUM(EM_24[[#This Row],[26M07]:[26M09]])</f>
        <v>0</v>
      </c>
      <c r="T78" s="280">
        <f>O78++EM_24[[#This Row],[26M11]]+EM_24[[#This Row],[26M12]]</f>
        <v>44</v>
      </c>
      <c r="U78" s="85" t="str">
        <f>VLOOKUP(EM_24[[#This Row],[Product Line]],Prod_T6[],4,0)</f>
        <v>PV</v>
      </c>
    </row>
    <row r="79" spans="1:21" ht="14.25" customHeight="1">
      <c r="A79" s="97" t="s">
        <v>85</v>
      </c>
      <c r="B79" s="87" t="s">
        <v>379</v>
      </c>
      <c r="D79" s="86" t="s">
        <v>54</v>
      </c>
      <c r="E79" s="86" t="s">
        <v>129</v>
      </c>
      <c r="F79" s="86" t="s">
        <v>120</v>
      </c>
      <c r="G79" s="87" t="s">
        <v>380</v>
      </c>
      <c r="H79" s="43" t="s">
        <v>117</v>
      </c>
      <c r="I79" s="13"/>
      <c r="J79" s="13"/>
      <c r="K79" s="13"/>
      <c r="L79" s="13">
        <v>0.4</v>
      </c>
      <c r="M79" s="13"/>
      <c r="N79" s="13"/>
      <c r="O79" s="13"/>
      <c r="P79" s="13"/>
      <c r="Q79" s="13"/>
      <c r="R79" s="32">
        <f>SUM(EM_24[[#This Row],[26M04]:[26M06]])</f>
        <v>0</v>
      </c>
      <c r="S79" s="32">
        <f>SUM(EM_24[[#This Row],[26M07]:[26M09]])</f>
        <v>0.4</v>
      </c>
      <c r="T79" s="280">
        <f>O79++EM_24[[#This Row],[26M11]]+EM_24[[#This Row],[26M12]]</f>
        <v>0</v>
      </c>
      <c r="U79" s="120" t="str">
        <f>VLOOKUP(EM_24[[#This Row],[Product Line]],Prod_T6[],4,0)</f>
        <v>PV</v>
      </c>
    </row>
    <row r="80" spans="1:21" ht="14.25" customHeight="1">
      <c r="A80" s="97" t="s">
        <v>85</v>
      </c>
      <c r="B80" s="87" t="s">
        <v>379</v>
      </c>
      <c r="D80" s="86" t="s">
        <v>54</v>
      </c>
      <c r="E80" s="86" t="s">
        <v>160</v>
      </c>
      <c r="F80" s="86" t="s">
        <v>120</v>
      </c>
      <c r="G80" s="87" t="s">
        <v>383</v>
      </c>
      <c r="H80" s="43" t="s">
        <v>117</v>
      </c>
      <c r="I80" s="13"/>
      <c r="J80" s="13"/>
      <c r="K80" s="13"/>
      <c r="L80" s="13">
        <v>0.4</v>
      </c>
      <c r="M80" s="13"/>
      <c r="N80" s="13"/>
      <c r="O80" s="13"/>
      <c r="P80" s="13"/>
      <c r="Q80" s="13"/>
      <c r="R80" s="32">
        <f>SUM(EM_24[[#This Row],[26M04]:[26M06]])</f>
        <v>0</v>
      </c>
      <c r="S80" s="32">
        <f>SUM(EM_24[[#This Row],[26M07]:[26M09]])</f>
        <v>0.4</v>
      </c>
      <c r="T80" s="280">
        <f>O80++EM_24[[#This Row],[26M11]]+EM_24[[#This Row],[26M12]]</f>
        <v>0</v>
      </c>
      <c r="U80" s="120" t="str">
        <f>VLOOKUP(EM_24[[#This Row],[Product Line]],Prod_T6[],4,0)</f>
        <v>PV</v>
      </c>
    </row>
  </sheetData>
  <phoneticPr fontId="58" type="noConversion"/>
  <dataValidations count="4">
    <dataValidation allowBlank="1" showInputMessage="1" showErrorMessage="1" sqref="A1:B1048576" xr:uid="{0ADB477F-E08E-4A5A-A357-B0CD8EC7AED1}"/>
    <dataValidation type="list" allowBlank="1" showInputMessage="1" showErrorMessage="1" sqref="F6:F80" xr:uid="{07186266-CEDC-4A01-A328-FB638D8D8CB4}">
      <formula1>Stage_List</formula1>
    </dataValidation>
    <dataValidation type="list" allowBlank="1" showInputMessage="1" showErrorMessage="1" sqref="D6:D80" xr:uid="{C418BB61-B170-4C99-AEAB-F86B4770DF34}">
      <formula1>Product_List</formula1>
    </dataValidation>
    <dataValidation type="list" allowBlank="1" showInputMessage="1" showErrorMessage="1" sqref="E6:E80" xr:uid="{3E2BEE62-6722-4732-A9A3-A4BEF12B4630}">
      <formula1>INDIRECT(D6)</formula1>
    </dataValidation>
  </dataValidations>
  <pageMargins left="0.70866141732283505" right="0.70866141732283505" top="0.74803149606299202" bottom="0.74803149606299202" header="0.31496062992126" footer="0.31496062992126"/>
  <pageSetup paperSize="9" scale="46" orientation="landscape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BBA93-8C85-444C-BF86-14A3DADC2FAC}">
  <sheetPr>
    <tabColor theme="8"/>
    <pageSetUpPr fitToPage="1"/>
  </sheetPr>
  <dimension ref="A1:U42"/>
  <sheetViews>
    <sheetView zoomScaleNormal="100" workbookViewId="0">
      <pane xSplit="5" ySplit="1" topLeftCell="F2" activePane="bottomRight" state="frozen"/>
      <selection pane="topRight" activeCell="D6" sqref="D6:Q80"/>
      <selection pane="bottomLeft" activeCell="D6" sqref="D6:Q80"/>
      <selection pane="bottomRight" activeCell="D6" sqref="D6:Q80"/>
    </sheetView>
  </sheetViews>
  <sheetFormatPr defaultColWidth="8.08984375" defaultRowHeight="13" outlineLevelCol="1"/>
  <cols>
    <col min="1" max="1" width="12" style="3" bestFit="1" customWidth="1"/>
    <col min="2" max="2" width="20.90625" style="38" customWidth="1"/>
    <col min="3" max="3" width="18.6328125" style="38" customWidth="1" outlineLevel="1"/>
    <col min="4" max="4" width="15.36328125" style="3" bestFit="1" customWidth="1"/>
    <col min="5" max="5" width="34.08984375" style="3" bestFit="1" customWidth="1"/>
    <col min="6" max="6" width="14.90625" style="3" customWidth="1"/>
    <col min="7" max="7" width="55.36328125" style="38" customWidth="1"/>
    <col min="8" max="8" width="19.90625" style="65" customWidth="1"/>
    <col min="9" max="9" width="14.36328125" style="2" customWidth="1" outlineLevel="1"/>
    <col min="10" max="17" width="10.36328125" style="2" customWidth="1" outlineLevel="1"/>
    <col min="18" max="20" width="12.08984375" style="35" customWidth="1"/>
    <col min="21" max="21" width="19.36328125" style="3" bestFit="1" customWidth="1"/>
    <col min="22" max="16384" width="8.08984375" style="3"/>
  </cols>
  <sheetData>
    <row r="1" spans="1:21">
      <c r="B1" s="3"/>
      <c r="F1" s="3" t="s">
        <v>5</v>
      </c>
      <c r="H1" s="63"/>
      <c r="I1" s="2" t="s">
        <v>623</v>
      </c>
      <c r="J1" s="2" t="s">
        <v>623</v>
      </c>
      <c r="K1" s="2" t="s">
        <v>623</v>
      </c>
      <c r="L1" s="2" t="s">
        <v>623</v>
      </c>
      <c r="M1" s="2" t="s">
        <v>623</v>
      </c>
      <c r="N1" s="2" t="s">
        <v>623</v>
      </c>
      <c r="O1" s="2" t="s">
        <v>623</v>
      </c>
      <c r="P1" s="2" t="s">
        <v>623</v>
      </c>
      <c r="Q1" s="2" t="s">
        <v>623</v>
      </c>
      <c r="R1" s="35" t="s">
        <v>623</v>
      </c>
      <c r="S1" s="35" t="s">
        <v>623</v>
      </c>
      <c r="T1" s="35" t="s">
        <v>623</v>
      </c>
    </row>
    <row r="2" spans="1:21" s="36" customFormat="1" ht="14">
      <c r="A2" s="10" t="s">
        <v>45</v>
      </c>
      <c r="B2" s="11" t="s">
        <v>1</v>
      </c>
      <c r="C2" s="11" t="s">
        <v>92</v>
      </c>
      <c r="D2" s="10" t="s">
        <v>3</v>
      </c>
      <c r="E2" s="10" t="s">
        <v>28</v>
      </c>
      <c r="F2" s="10" t="s">
        <v>5</v>
      </c>
      <c r="G2" s="11" t="s">
        <v>93</v>
      </c>
      <c r="H2" s="9" t="s">
        <v>94</v>
      </c>
      <c r="I2" s="12" t="s">
        <v>95</v>
      </c>
      <c r="J2" s="12" t="s">
        <v>96</v>
      </c>
      <c r="K2" s="12" t="s">
        <v>97</v>
      </c>
      <c r="L2" s="12" t="s">
        <v>98</v>
      </c>
      <c r="M2" s="12" t="s">
        <v>99</v>
      </c>
      <c r="N2" s="12" t="s">
        <v>100</v>
      </c>
      <c r="O2" s="12" t="s">
        <v>34</v>
      </c>
      <c r="P2" s="12" t="s">
        <v>101</v>
      </c>
      <c r="Q2" s="12" t="s">
        <v>36</v>
      </c>
      <c r="R2" s="193" t="s">
        <v>626</v>
      </c>
      <c r="S2" s="193" t="s">
        <v>627</v>
      </c>
      <c r="T2" s="107" t="s">
        <v>628</v>
      </c>
      <c r="U2" s="78" t="s">
        <v>26</v>
      </c>
    </row>
    <row r="3" spans="1:21" s="2" customFormat="1" ht="14.5">
      <c r="A3" s="14" t="s">
        <v>49</v>
      </c>
      <c r="B3" s="1" t="s">
        <v>402</v>
      </c>
      <c r="C3" s="38" t="s">
        <v>403</v>
      </c>
      <c r="D3" s="2" t="s">
        <v>54</v>
      </c>
      <c r="E3" s="2" t="s">
        <v>170</v>
      </c>
      <c r="F3" s="1" t="s">
        <v>154</v>
      </c>
      <c r="G3" s="1" t="s">
        <v>1235</v>
      </c>
      <c r="H3" s="194" t="s">
        <v>132</v>
      </c>
      <c r="I3" s="13"/>
      <c r="J3" s="67"/>
      <c r="K3" s="13"/>
      <c r="L3" s="13"/>
      <c r="M3" s="13"/>
      <c r="N3" s="13"/>
      <c r="O3" s="67">
        <v>7</v>
      </c>
      <c r="P3" s="67">
        <v>6</v>
      </c>
      <c r="Q3" s="13"/>
      <c r="R3" s="32">
        <f>SUM(Nordics17[[#This Row],[26M04]:[26M06]])</f>
        <v>0</v>
      </c>
      <c r="S3" s="32">
        <f>SUM(Nordics17[[#This Row],[26M07]:[26M09]])</f>
        <v>0</v>
      </c>
      <c r="T3" s="108">
        <f>SUM(Nordics17[[#This Row],[26M10]:[26M12]])</f>
        <v>13</v>
      </c>
      <c r="U3" s="85" t="str">
        <f>VLOOKUP(Nordics17[[#This Row],[Product Line]],Prod_T6[],4,0)</f>
        <v>PV</v>
      </c>
    </row>
    <row r="4" spans="1:21" s="2" customFormat="1" ht="14.5">
      <c r="A4" s="14" t="s">
        <v>49</v>
      </c>
      <c r="B4" s="1" t="s">
        <v>430</v>
      </c>
      <c r="C4" s="38" t="s">
        <v>403</v>
      </c>
      <c r="D4" s="2" t="s">
        <v>276</v>
      </c>
      <c r="E4" s="2" t="s">
        <v>366</v>
      </c>
      <c r="F4" s="1" t="s">
        <v>130</v>
      </c>
      <c r="G4" s="1" t="s">
        <v>431</v>
      </c>
      <c r="H4" s="42" t="s">
        <v>117</v>
      </c>
      <c r="I4" s="13"/>
      <c r="J4" s="13">
        <v>0.2</v>
      </c>
      <c r="K4" s="13"/>
      <c r="L4" s="13"/>
      <c r="M4" s="13"/>
      <c r="N4" s="13"/>
      <c r="O4" s="13"/>
      <c r="P4" s="13"/>
      <c r="Q4" s="13"/>
      <c r="R4" s="32">
        <f>SUM(Nordics17[[#This Row],[26M04]:[26M06]])</f>
        <v>0.2</v>
      </c>
      <c r="S4" s="32">
        <f>SUM(Nordics17[[#This Row],[26M07]:[26M09]])</f>
        <v>0</v>
      </c>
      <c r="T4" s="108">
        <f>SUM(Nordics17[[#This Row],[26M10]:[26M12]])</f>
        <v>0</v>
      </c>
      <c r="U4" s="85" t="str">
        <f>VLOOKUP(Nordics17[[#This Row],[Product Line]],Prod_T6[],4,0)</f>
        <v>PV</v>
      </c>
    </row>
    <row r="5" spans="1:21" s="2" customFormat="1" ht="14.5">
      <c r="A5" s="14" t="s">
        <v>49</v>
      </c>
      <c r="B5" s="1" t="s">
        <v>633</v>
      </c>
      <c r="C5" s="38" t="s">
        <v>403</v>
      </c>
      <c r="D5" s="2" t="s">
        <v>118</v>
      </c>
      <c r="E5" s="2" t="s">
        <v>123</v>
      </c>
      <c r="F5" s="1" t="s">
        <v>634</v>
      </c>
      <c r="G5" s="1" t="s">
        <v>635</v>
      </c>
      <c r="H5" s="42" t="s">
        <v>636</v>
      </c>
      <c r="I5" s="114"/>
      <c r="J5" s="114"/>
      <c r="K5" s="114"/>
      <c r="L5" s="13"/>
      <c r="M5" s="13"/>
      <c r="N5" s="13"/>
      <c r="O5" s="13"/>
      <c r="P5" s="13"/>
      <c r="Q5" s="13"/>
      <c r="R5" s="32">
        <f>SUM(Nordics17[[#This Row],[26M04]:[26M06]])</f>
        <v>0</v>
      </c>
      <c r="S5" s="32">
        <f>SUM(Nordics17[[#This Row],[26M07]:[26M09]])</f>
        <v>0</v>
      </c>
      <c r="T5" s="108">
        <f>SUM(Nordics17[[#This Row],[26M10]:[26M12]])</f>
        <v>0</v>
      </c>
      <c r="U5" s="85" t="str">
        <f>VLOOKUP(Nordics17[[#This Row],[Product Line]],Prod_T6[],4,0)</f>
        <v>PV</v>
      </c>
    </row>
    <row r="6" spans="1:21" s="2" customFormat="1" ht="14.5">
      <c r="A6" s="14" t="s">
        <v>49</v>
      </c>
      <c r="B6" s="1" t="s">
        <v>432</v>
      </c>
      <c r="C6" s="38" t="s">
        <v>403</v>
      </c>
      <c r="D6" s="2" t="s">
        <v>149</v>
      </c>
      <c r="E6" s="2" t="s">
        <v>433</v>
      </c>
      <c r="F6" s="1" t="s">
        <v>213</v>
      </c>
      <c r="G6" s="1" t="s">
        <v>434</v>
      </c>
      <c r="H6" s="194" t="s">
        <v>132</v>
      </c>
      <c r="I6" s="13"/>
      <c r="J6" s="13"/>
      <c r="K6" s="13"/>
      <c r="L6" s="13"/>
      <c r="M6" s="13"/>
      <c r="N6" s="67">
        <v>2</v>
      </c>
      <c r="O6" s="13"/>
      <c r="P6" s="13"/>
      <c r="Q6" s="13"/>
      <c r="R6" s="32">
        <f>SUM(Nordics17[[#This Row],[26M04]:[26M06]])</f>
        <v>0</v>
      </c>
      <c r="S6" s="32">
        <f>SUM(Nordics17[[#This Row],[26M07]:[26M09]])</f>
        <v>2</v>
      </c>
      <c r="T6" s="108">
        <f>SUM(Nordics17[[#This Row],[26M10]:[26M12]])</f>
        <v>0</v>
      </c>
      <c r="U6" s="85" t="str">
        <f>VLOOKUP(Nordics17[[#This Row],[Product Line]],Prod_T6[],4,0)</f>
        <v>PV</v>
      </c>
    </row>
    <row r="7" spans="1:21" ht="14.5">
      <c r="A7" s="29" t="s">
        <v>49</v>
      </c>
      <c r="B7" s="1" t="s">
        <v>402</v>
      </c>
      <c r="C7" s="38" t="s">
        <v>403</v>
      </c>
      <c r="D7" s="2" t="s">
        <v>54</v>
      </c>
      <c r="E7" s="2" t="s">
        <v>170</v>
      </c>
      <c r="F7" s="1" t="s">
        <v>154</v>
      </c>
      <c r="G7" s="1" t="s">
        <v>435</v>
      </c>
      <c r="H7" s="194" t="s">
        <v>132</v>
      </c>
      <c r="I7" s="13">
        <v>2</v>
      </c>
      <c r="J7" s="13"/>
      <c r="K7" s="13"/>
      <c r="L7" s="13"/>
      <c r="M7" s="13"/>
      <c r="N7" s="13"/>
      <c r="O7" s="13"/>
      <c r="P7" s="13"/>
      <c r="Q7" s="13"/>
      <c r="R7" s="32">
        <f>SUM(Nordics17[[#This Row],[26M04]:[26M06]])</f>
        <v>2</v>
      </c>
      <c r="S7" s="32">
        <f>SUM(Nordics17[[#This Row],[26M07]:[26M09]])</f>
        <v>0</v>
      </c>
      <c r="T7" s="108">
        <f>SUM(Nordics17[[#This Row],[26M10]:[26M12]])</f>
        <v>0</v>
      </c>
      <c r="U7" s="85" t="str">
        <f>VLOOKUP(Nordics17[[#This Row],[Product Line]],Prod_T6[],4,0)</f>
        <v>PV</v>
      </c>
    </row>
    <row r="8" spans="1:21" ht="14.5">
      <c r="A8" s="29" t="s">
        <v>49</v>
      </c>
      <c r="B8" s="1" t="s">
        <v>436</v>
      </c>
      <c r="D8" s="2" t="s">
        <v>54</v>
      </c>
      <c r="E8" s="2" t="s">
        <v>159</v>
      </c>
      <c r="F8" s="1" t="s">
        <v>156</v>
      </c>
      <c r="G8" s="1"/>
      <c r="H8" s="194" t="s">
        <v>132</v>
      </c>
      <c r="I8" s="13">
        <v>2.4</v>
      </c>
      <c r="J8" s="13"/>
      <c r="K8" s="13"/>
      <c r="L8" s="13"/>
      <c r="M8" s="13"/>
      <c r="N8" s="13"/>
      <c r="O8" s="13"/>
      <c r="P8" s="13"/>
      <c r="Q8" s="13"/>
      <c r="R8" s="32">
        <f>SUM(Nordics17[[#This Row],[26M04]:[26M06]])</f>
        <v>2.4</v>
      </c>
      <c r="S8" s="32">
        <f>SUM(Nordics17[[#This Row],[26M07]:[26M09]])</f>
        <v>0</v>
      </c>
      <c r="T8" s="108">
        <f>SUM(Nordics17[[#This Row],[26M10]:[26M12]])</f>
        <v>0</v>
      </c>
      <c r="U8" s="85" t="str">
        <f>VLOOKUP(Nordics17[[#This Row],[Product Line]],Prod_T6[],4,0)</f>
        <v>PV</v>
      </c>
    </row>
    <row r="9" spans="1:21" ht="14.5">
      <c r="A9" s="29" t="s">
        <v>49</v>
      </c>
      <c r="B9" s="1" t="s">
        <v>436</v>
      </c>
      <c r="D9" s="2" t="s">
        <v>54</v>
      </c>
      <c r="E9" s="2" t="s">
        <v>160</v>
      </c>
      <c r="F9" s="1" t="s">
        <v>156</v>
      </c>
      <c r="G9" s="1"/>
      <c r="H9" s="194" t="s">
        <v>132</v>
      </c>
      <c r="I9" s="13">
        <v>2</v>
      </c>
      <c r="J9" s="13"/>
      <c r="K9" s="13"/>
      <c r="L9" s="13"/>
      <c r="M9" s="13"/>
      <c r="N9" s="13"/>
      <c r="O9" s="13"/>
      <c r="P9" s="13"/>
      <c r="Q9" s="13"/>
      <c r="R9" s="32">
        <f>SUM(Nordics17[[#This Row],[26M04]:[26M06]])</f>
        <v>2</v>
      </c>
      <c r="S9" s="32">
        <f>SUM(Nordics17[[#This Row],[26M07]:[26M09]])</f>
        <v>0</v>
      </c>
      <c r="T9" s="108">
        <f>SUM(Nordics17[[#This Row],[26M10]:[26M12]])</f>
        <v>0</v>
      </c>
      <c r="U9" s="85" t="str">
        <f>VLOOKUP(Nordics17[[#This Row],[Product Line]],Prod_T6[],4,0)</f>
        <v>PV</v>
      </c>
    </row>
    <row r="10" spans="1:21" ht="14.5">
      <c r="A10" s="29" t="s">
        <v>49</v>
      </c>
      <c r="B10" s="1" t="s">
        <v>406</v>
      </c>
      <c r="D10" s="2" t="s">
        <v>54</v>
      </c>
      <c r="E10" s="2" t="s">
        <v>159</v>
      </c>
      <c r="F10" s="1" t="s">
        <v>136</v>
      </c>
      <c r="G10" s="1" t="s">
        <v>437</v>
      </c>
      <c r="H10" s="42" t="s">
        <v>117</v>
      </c>
      <c r="I10" s="13"/>
      <c r="J10" s="13">
        <v>2</v>
      </c>
      <c r="K10" s="13">
        <v>2</v>
      </c>
      <c r="L10" s="13"/>
      <c r="M10" s="13">
        <v>1</v>
      </c>
      <c r="N10" s="13">
        <v>1</v>
      </c>
      <c r="O10" s="13"/>
      <c r="P10" s="13"/>
      <c r="Q10" s="13"/>
      <c r="R10" s="32">
        <f>SUM(Nordics17[[#This Row],[26M04]:[26M06]])</f>
        <v>4</v>
      </c>
      <c r="S10" s="32">
        <f>SUM(Nordics17[[#This Row],[26M07]:[26M09]])</f>
        <v>2</v>
      </c>
      <c r="T10" s="108">
        <f>SUM(Nordics17[[#This Row],[26M10]:[26M12]])</f>
        <v>0</v>
      </c>
      <c r="U10" s="85" t="str">
        <f>VLOOKUP(Nordics17[[#This Row],[Product Line]],Prod_T6[],4,0)</f>
        <v>PV</v>
      </c>
    </row>
    <row r="11" spans="1:21" ht="14.5">
      <c r="A11" s="29" t="s">
        <v>49</v>
      </c>
      <c r="B11" s="1" t="s">
        <v>406</v>
      </c>
      <c r="D11" s="2" t="s">
        <v>54</v>
      </c>
      <c r="E11" s="2" t="s">
        <v>160</v>
      </c>
      <c r="F11" s="1" t="s">
        <v>130</v>
      </c>
      <c r="G11" s="1" t="s">
        <v>437</v>
      </c>
      <c r="H11" s="42" t="s">
        <v>117</v>
      </c>
      <c r="I11" s="13"/>
      <c r="J11" s="13"/>
      <c r="K11" s="13"/>
      <c r="L11" s="13"/>
      <c r="M11" s="13">
        <v>1</v>
      </c>
      <c r="N11" s="13"/>
      <c r="O11" s="13"/>
      <c r="P11" s="13"/>
      <c r="Q11" s="13"/>
      <c r="R11" s="32">
        <f>SUM(Nordics17[[#This Row],[26M04]:[26M06]])</f>
        <v>0</v>
      </c>
      <c r="S11" s="32">
        <f>SUM(Nordics17[[#This Row],[26M07]:[26M09]])</f>
        <v>1</v>
      </c>
      <c r="T11" s="108">
        <f>SUM(Nordics17[[#This Row],[26M10]:[26M12]])</f>
        <v>0</v>
      </c>
      <c r="U11" s="85" t="str">
        <f>VLOOKUP(Nordics17[[#This Row],[Product Line]],Prod_T6[],4,0)</f>
        <v>PV</v>
      </c>
    </row>
    <row r="12" spans="1:21" ht="14.5">
      <c r="A12" s="29" t="s">
        <v>49</v>
      </c>
      <c r="B12" s="1" t="s">
        <v>406</v>
      </c>
      <c r="D12" s="2" t="s">
        <v>54</v>
      </c>
      <c r="E12" s="2" t="s">
        <v>170</v>
      </c>
      <c r="F12" s="1" t="s">
        <v>136</v>
      </c>
      <c r="G12" s="1" t="s">
        <v>437</v>
      </c>
      <c r="H12" s="42" t="s">
        <v>117</v>
      </c>
      <c r="I12" s="13"/>
      <c r="J12" s="13">
        <v>0.8</v>
      </c>
      <c r="K12" s="13"/>
      <c r="L12" s="13">
        <v>0.8</v>
      </c>
      <c r="M12" s="13"/>
      <c r="N12" s="13"/>
      <c r="O12" s="13"/>
      <c r="P12" s="13"/>
      <c r="Q12" s="13"/>
      <c r="R12" s="32">
        <f>SUM(Nordics17[[#This Row],[26M04]:[26M06]])</f>
        <v>0.8</v>
      </c>
      <c r="S12" s="32">
        <f>SUM(Nordics17[[#This Row],[26M07]:[26M09]])</f>
        <v>0.8</v>
      </c>
      <c r="T12" s="108">
        <f>SUM(Nordics17[[#This Row],[26M10]:[26M12]])</f>
        <v>0</v>
      </c>
      <c r="U12" s="85" t="str">
        <f>VLOOKUP(Nordics17[[#This Row],[Product Line]],Prod_T6[],4,0)</f>
        <v>PV</v>
      </c>
    </row>
    <row r="13" spans="1:21" ht="14.5">
      <c r="A13" s="29" t="s">
        <v>49</v>
      </c>
      <c r="B13" s="1" t="s">
        <v>402</v>
      </c>
      <c r="D13" s="2" t="s">
        <v>54</v>
      </c>
      <c r="E13" s="2" t="s">
        <v>159</v>
      </c>
      <c r="F13" s="1" t="s">
        <v>213</v>
      </c>
      <c r="G13" s="1" t="s">
        <v>437</v>
      </c>
      <c r="H13" s="194" t="s">
        <v>132</v>
      </c>
      <c r="I13" s="13"/>
      <c r="J13" s="13"/>
      <c r="K13" s="13">
        <v>2</v>
      </c>
      <c r="L13" s="13">
        <v>2</v>
      </c>
      <c r="M13" s="13">
        <v>2</v>
      </c>
      <c r="N13" s="13">
        <v>2</v>
      </c>
      <c r="O13" s="13"/>
      <c r="P13" s="13"/>
      <c r="Q13" s="13"/>
      <c r="R13" s="32">
        <f>SUM(Nordics17[[#This Row],[26M04]:[26M06]])</f>
        <v>2</v>
      </c>
      <c r="S13" s="32">
        <f>SUM(Nordics17[[#This Row],[26M07]:[26M09]])</f>
        <v>6</v>
      </c>
      <c r="T13" s="108">
        <f>SUM(Nordics17[[#This Row],[26M10]:[26M12]])</f>
        <v>0</v>
      </c>
      <c r="U13" s="85" t="str">
        <f>VLOOKUP(Nordics17[[#This Row],[Product Line]],Prod_T6[],4,0)</f>
        <v>PV</v>
      </c>
    </row>
    <row r="14" spans="1:21" ht="14.5">
      <c r="A14" s="29" t="s">
        <v>49</v>
      </c>
      <c r="B14" s="1" t="s">
        <v>402</v>
      </c>
      <c r="D14" s="2" t="s">
        <v>118</v>
      </c>
      <c r="E14" s="2" t="s">
        <v>145</v>
      </c>
      <c r="F14" s="1" t="s">
        <v>213</v>
      </c>
      <c r="G14" s="1" t="s">
        <v>439</v>
      </c>
      <c r="H14" s="42" t="s">
        <v>132</v>
      </c>
      <c r="I14" s="13"/>
      <c r="J14" s="13"/>
      <c r="K14" s="13">
        <v>1</v>
      </c>
      <c r="L14" s="13">
        <v>1</v>
      </c>
      <c r="M14" s="13">
        <v>1</v>
      </c>
      <c r="N14" s="13"/>
      <c r="O14" s="13"/>
      <c r="P14" s="13"/>
      <c r="Q14" s="13"/>
      <c r="R14" s="32">
        <f>SUM(Nordics17[[#This Row],[26M04]:[26M06]])</f>
        <v>1</v>
      </c>
      <c r="S14" s="81">
        <f>SUM(Nordics17[[#This Row],[26M07]:[26M09]])</f>
        <v>2</v>
      </c>
      <c r="T14" s="111">
        <f>SUM(Nordics17[[#This Row],[26M10]:[26M12]])</f>
        <v>0</v>
      </c>
      <c r="U14" s="85" t="str">
        <f>VLOOKUP(Nordics17[[#This Row],[Product Line]],Prod_T6[],4,0)</f>
        <v>PV</v>
      </c>
    </row>
    <row r="15" spans="1:21" ht="14.5">
      <c r="A15" s="29" t="s">
        <v>49</v>
      </c>
      <c r="B15" s="1" t="s">
        <v>406</v>
      </c>
      <c r="D15" s="2" t="s">
        <v>54</v>
      </c>
      <c r="E15" s="2" t="s">
        <v>166</v>
      </c>
      <c r="F15" s="1" t="s">
        <v>213</v>
      </c>
      <c r="G15" s="1" t="s">
        <v>440</v>
      </c>
      <c r="H15" s="42" t="s">
        <v>117</v>
      </c>
      <c r="I15" s="13"/>
      <c r="J15" s="13"/>
      <c r="K15" s="13"/>
      <c r="L15" s="13">
        <v>0.5</v>
      </c>
      <c r="M15" s="13">
        <v>0.5</v>
      </c>
      <c r="N15" s="13">
        <v>0.5</v>
      </c>
      <c r="O15" s="13"/>
      <c r="P15" s="13"/>
      <c r="Q15" s="13"/>
      <c r="R15" s="32">
        <f>SUM(Nordics17[[#This Row],[26M04]:[26M06]])</f>
        <v>0</v>
      </c>
      <c r="S15" s="81">
        <f>SUM(Nordics17[[#This Row],[26M07]:[26M09]])</f>
        <v>1.5</v>
      </c>
      <c r="T15" s="111">
        <f>SUM(Nordics17[[#This Row],[26M10]:[26M12]])</f>
        <v>0</v>
      </c>
      <c r="U15" s="85" t="str">
        <f>VLOOKUP(Nordics17[[#This Row],[Product Line]],Prod_T6[],4,0)</f>
        <v>PV</v>
      </c>
    </row>
    <row r="16" spans="1:21" ht="14.5">
      <c r="A16" s="29" t="s">
        <v>49</v>
      </c>
      <c r="B16" s="1" t="s">
        <v>406</v>
      </c>
      <c r="D16" s="2" t="s">
        <v>118</v>
      </c>
      <c r="E16" s="2" t="s">
        <v>119</v>
      </c>
      <c r="F16" s="1" t="s">
        <v>213</v>
      </c>
      <c r="G16" s="1" t="s">
        <v>441</v>
      </c>
      <c r="H16" s="42" t="s">
        <v>117</v>
      </c>
      <c r="I16" s="13"/>
      <c r="J16" s="13"/>
      <c r="K16" s="13"/>
      <c r="L16" s="13">
        <v>1</v>
      </c>
      <c r="M16" s="13"/>
      <c r="N16" s="13">
        <v>1</v>
      </c>
      <c r="O16" s="13"/>
      <c r="P16" s="13"/>
      <c r="Q16" s="13"/>
      <c r="R16" s="32">
        <f>SUM(Nordics17[[#This Row],[26M04]:[26M06]])</f>
        <v>0</v>
      </c>
      <c r="S16" s="81">
        <f>SUM(Nordics17[[#This Row],[26M07]:[26M09]])</f>
        <v>2</v>
      </c>
      <c r="T16" s="111">
        <f>SUM(Nordics17[[#This Row],[26M10]:[26M12]])</f>
        <v>0</v>
      </c>
      <c r="U16" s="85" t="str">
        <f>VLOOKUP(Nordics17[[#This Row],[Product Line]],Prod_T6[],4,0)</f>
        <v>PV</v>
      </c>
    </row>
    <row r="17" spans="1:21" ht="14.5">
      <c r="A17" s="29" t="s">
        <v>49</v>
      </c>
      <c r="B17" s="1" t="s">
        <v>402</v>
      </c>
      <c r="D17" s="2" t="s">
        <v>54</v>
      </c>
      <c r="E17" s="2" t="s">
        <v>299</v>
      </c>
      <c r="F17" s="1" t="s">
        <v>634</v>
      </c>
      <c r="G17" s="1" t="s">
        <v>637</v>
      </c>
      <c r="H17" s="194" t="s">
        <v>132</v>
      </c>
      <c r="I17" s="13"/>
      <c r="J17" s="13"/>
      <c r="K17" s="13"/>
      <c r="L17" s="13"/>
      <c r="M17" s="13"/>
      <c r="N17" s="13">
        <v>34</v>
      </c>
      <c r="O17" s="13"/>
      <c r="P17" s="13"/>
      <c r="Q17" s="13"/>
      <c r="R17" s="32">
        <f>SUM(Nordics17[[#This Row],[26M04]:[26M06]])</f>
        <v>0</v>
      </c>
      <c r="S17" s="81">
        <f>SUM(Nordics17[[#This Row],[26M07]:[26M09]])</f>
        <v>34</v>
      </c>
      <c r="T17" s="111">
        <f>SUM(Nordics17[[#This Row],[26M10]:[26M12]])</f>
        <v>0</v>
      </c>
      <c r="U17" s="85" t="str">
        <f>VLOOKUP(Nordics17[[#This Row],[Product Line]],Prod_T6[],4,0)</f>
        <v>PV</v>
      </c>
    </row>
    <row r="18" spans="1:21" ht="14.5">
      <c r="A18" s="29" t="s">
        <v>49</v>
      </c>
      <c r="B18" s="1" t="s">
        <v>402</v>
      </c>
      <c r="D18" s="2" t="s">
        <v>314</v>
      </c>
      <c r="E18" s="2" t="s">
        <v>442</v>
      </c>
      <c r="F18" s="1" t="s">
        <v>115</v>
      </c>
      <c r="G18" s="1" t="s">
        <v>443</v>
      </c>
      <c r="H18" s="194" t="s">
        <v>132</v>
      </c>
      <c r="I18" s="13"/>
      <c r="J18" s="13">
        <v>3</v>
      </c>
      <c r="K18" s="13">
        <v>3</v>
      </c>
      <c r="L18" s="13"/>
      <c r="M18" s="13"/>
      <c r="N18" s="13"/>
      <c r="O18" s="13"/>
      <c r="P18" s="13"/>
      <c r="Q18" s="13"/>
      <c r="R18" s="32">
        <f>SUM(Nordics17[[#This Row],[26M04]:[26M06]])</f>
        <v>6</v>
      </c>
      <c r="S18" s="81">
        <f>SUM(Nordics17[[#This Row],[26M07]:[26M09]])</f>
        <v>0</v>
      </c>
      <c r="T18" s="111">
        <f>SUM(Nordics17[[#This Row],[26M10]:[26M12]])</f>
        <v>0</v>
      </c>
      <c r="U18" s="85" t="str">
        <f>VLOOKUP(Nordics17[[#This Row],[Product Line]],Prod_T6[],4,0)</f>
        <v>PV</v>
      </c>
    </row>
    <row r="19" spans="1:21" ht="14.5">
      <c r="A19" s="29" t="s">
        <v>49</v>
      </c>
      <c r="B19" s="1" t="s">
        <v>406</v>
      </c>
      <c r="D19" s="2" t="s">
        <v>149</v>
      </c>
      <c r="E19" s="2" t="s">
        <v>289</v>
      </c>
      <c r="F19" s="1" t="s">
        <v>213</v>
      </c>
      <c r="G19" s="1" t="s">
        <v>444</v>
      </c>
      <c r="H19" s="42" t="s">
        <v>117</v>
      </c>
      <c r="I19" s="13"/>
      <c r="J19" s="13"/>
      <c r="K19" s="13"/>
      <c r="L19" s="13"/>
      <c r="M19" s="13">
        <v>1</v>
      </c>
      <c r="N19" s="13">
        <v>1</v>
      </c>
      <c r="O19" s="13">
        <v>1</v>
      </c>
      <c r="P19" s="13">
        <v>1</v>
      </c>
      <c r="Q19" s="13"/>
      <c r="R19" s="32">
        <f>SUM(Nordics17[[#This Row],[26M04]:[26M06]])</f>
        <v>0</v>
      </c>
      <c r="S19" s="81">
        <f>SUM(Nordics17[[#This Row],[26M07]:[26M09]])</f>
        <v>2</v>
      </c>
      <c r="T19" s="111">
        <f>SUM(Nordics17[[#This Row],[26M10]:[26M12]])</f>
        <v>2</v>
      </c>
      <c r="U19" s="85" t="str">
        <f>VLOOKUP(Nordics17[[#This Row],[Product Line]],Prod_T6[],4,0)</f>
        <v>PV</v>
      </c>
    </row>
    <row r="20" spans="1:21" ht="14.5">
      <c r="A20" s="29" t="s">
        <v>49</v>
      </c>
      <c r="B20" s="1" t="s">
        <v>402</v>
      </c>
      <c r="D20" s="2" t="s">
        <v>149</v>
      </c>
      <c r="E20" s="2" t="s">
        <v>289</v>
      </c>
      <c r="F20" s="1" t="s">
        <v>213</v>
      </c>
      <c r="G20" s="1" t="s">
        <v>444</v>
      </c>
      <c r="H20" s="43" t="s">
        <v>162</v>
      </c>
      <c r="I20" s="13"/>
      <c r="J20" s="13"/>
      <c r="K20" s="13"/>
      <c r="L20" s="13"/>
      <c r="M20" s="13">
        <v>1</v>
      </c>
      <c r="N20" s="13">
        <v>1</v>
      </c>
      <c r="O20" s="13">
        <v>1</v>
      </c>
      <c r="P20" s="13">
        <v>1</v>
      </c>
      <c r="Q20" s="13"/>
      <c r="R20" s="32">
        <f>SUM(Nordics17[[#This Row],[26M04]:[26M06]])</f>
        <v>0</v>
      </c>
      <c r="S20" s="81">
        <f>SUM(Nordics17[[#This Row],[26M07]:[26M09]])</f>
        <v>2</v>
      </c>
      <c r="T20" s="112">
        <f>SUM(Nordics17[[#This Row],[26M10]:[26M12]])</f>
        <v>2</v>
      </c>
      <c r="U20" s="85" t="str">
        <f>VLOOKUP(Nordics17[[#This Row],[Product Line]],Prod_T6[],4,0)</f>
        <v>PV</v>
      </c>
    </row>
    <row r="21" spans="1:21" ht="14.5">
      <c r="A21" s="29" t="s">
        <v>49</v>
      </c>
      <c r="B21" s="1" t="s">
        <v>406</v>
      </c>
      <c r="D21" s="2" t="s">
        <v>54</v>
      </c>
      <c r="E21" s="2" t="s">
        <v>170</v>
      </c>
      <c r="F21" s="1" t="s">
        <v>156</v>
      </c>
      <c r="G21" s="1"/>
      <c r="H21" s="42" t="s">
        <v>117</v>
      </c>
      <c r="I21" s="13"/>
      <c r="J21" s="13"/>
      <c r="K21" s="13">
        <v>0.4</v>
      </c>
      <c r="L21" s="13"/>
      <c r="M21" s="13"/>
      <c r="N21" s="13"/>
      <c r="O21" s="13"/>
      <c r="P21" s="13"/>
      <c r="Q21" s="13"/>
      <c r="R21" s="32">
        <f>SUM(Nordics17[[#This Row],[26M04]:[26M06]])</f>
        <v>0.4</v>
      </c>
      <c r="S21" s="81">
        <f>SUM(Nordics17[[#This Row],[26M07]:[26M09]])</f>
        <v>0</v>
      </c>
      <c r="T21" s="112">
        <f>SUM(Nordics17[[#This Row],[26M10]:[26M12]])</f>
        <v>0</v>
      </c>
      <c r="U21" s="85" t="str">
        <f>VLOOKUP(Nordics17[[#This Row],[Product Line]],Prod_T6[],4,0)</f>
        <v>PV</v>
      </c>
    </row>
    <row r="22" spans="1:21" ht="14.5">
      <c r="A22" s="29" t="s">
        <v>49</v>
      </c>
      <c r="B22" s="1" t="s">
        <v>402</v>
      </c>
      <c r="D22" s="2" t="s">
        <v>54</v>
      </c>
      <c r="E22" s="2" t="s">
        <v>166</v>
      </c>
      <c r="F22" s="1" t="s">
        <v>136</v>
      </c>
      <c r="G22" s="1" t="s">
        <v>429</v>
      </c>
      <c r="H22" s="43" t="s">
        <v>132</v>
      </c>
      <c r="I22" s="13"/>
      <c r="J22" s="13"/>
      <c r="K22" s="13"/>
      <c r="L22" s="13"/>
      <c r="M22" s="13"/>
      <c r="N22" s="13">
        <v>5</v>
      </c>
      <c r="O22" s="13"/>
      <c r="P22" s="13"/>
      <c r="Q22" s="13"/>
      <c r="R22" s="32">
        <f>SUM(Nordics17[[#This Row],[26M04]:[26M06]])</f>
        <v>0</v>
      </c>
      <c r="S22" s="81">
        <f>SUM(Nordics17[[#This Row],[26M07]:[26M09]])</f>
        <v>5</v>
      </c>
      <c r="T22" s="112">
        <f>SUM(Nordics17[[#This Row],[26M10]:[26M12]])</f>
        <v>0</v>
      </c>
      <c r="U22" s="85" t="str">
        <f>VLOOKUP(Nordics17[[#This Row],[Product Line]],Prod_T6[],4,0)</f>
        <v>PV</v>
      </c>
    </row>
    <row r="23" spans="1:21" ht="14.5">
      <c r="A23" s="29" t="s">
        <v>49</v>
      </c>
      <c r="B23" s="1" t="s">
        <v>428</v>
      </c>
      <c r="D23" s="2" t="s">
        <v>54</v>
      </c>
      <c r="E23" s="2" t="s">
        <v>297</v>
      </c>
      <c r="F23" s="1" t="s">
        <v>136</v>
      </c>
      <c r="G23" s="1" t="s">
        <v>429</v>
      </c>
      <c r="H23" s="43" t="s">
        <v>132</v>
      </c>
      <c r="I23" s="13"/>
      <c r="J23" s="13"/>
      <c r="K23" s="13"/>
      <c r="L23" s="13"/>
      <c r="M23" s="13"/>
      <c r="N23" s="13">
        <v>10</v>
      </c>
      <c r="O23" s="13"/>
      <c r="P23" s="13"/>
      <c r="Q23" s="13"/>
      <c r="R23" s="32">
        <f>SUM(Nordics17[[#This Row],[26M04]:[26M06]])</f>
        <v>0</v>
      </c>
      <c r="S23" s="81">
        <f>SUM(Nordics17[[#This Row],[26M07]:[26M09]])</f>
        <v>10</v>
      </c>
      <c r="T23" s="112">
        <f>SUM(Nordics17[[#This Row],[26M10]:[26M12]])</f>
        <v>0</v>
      </c>
      <c r="U23" s="85" t="str">
        <f>VLOOKUP(Nordics17[[#This Row],[Product Line]],Prod_T6[],4,0)</f>
        <v>PV</v>
      </c>
    </row>
    <row r="24" spans="1:21" ht="14.5">
      <c r="A24" s="29" t="s">
        <v>49</v>
      </c>
      <c r="B24" s="1" t="s">
        <v>402</v>
      </c>
      <c r="D24" s="2" t="s">
        <v>113</v>
      </c>
      <c r="E24" s="2" t="s">
        <v>153</v>
      </c>
      <c r="F24" s="1" t="s">
        <v>154</v>
      </c>
      <c r="G24" s="1" t="s">
        <v>427</v>
      </c>
      <c r="H24" s="43" t="s">
        <v>132</v>
      </c>
      <c r="I24" s="13"/>
      <c r="J24" s="13"/>
      <c r="K24" s="13"/>
      <c r="L24" s="13"/>
      <c r="M24" s="13"/>
      <c r="N24" s="13"/>
      <c r="O24" s="13">
        <v>2</v>
      </c>
      <c r="P24" s="13">
        <v>2</v>
      </c>
      <c r="Q24" s="13"/>
      <c r="R24" s="32">
        <f>SUM(Nordics17[[#This Row],[26M04]:[26M06]])</f>
        <v>0</v>
      </c>
      <c r="S24" s="81">
        <f>SUM(Nordics17[[#This Row],[26M07]:[26M09]])</f>
        <v>0</v>
      </c>
      <c r="T24" s="112">
        <f>SUM(Nordics17[[#This Row],[26M10]:[26M12]])</f>
        <v>4</v>
      </c>
      <c r="U24" s="85" t="str">
        <f>VLOOKUP(Nordics17[[#This Row],[Product Line]],Prod_T6[],4,0)</f>
        <v>PV</v>
      </c>
    </row>
    <row r="25" spans="1:21" ht="14.5">
      <c r="A25" s="29" t="s">
        <v>49</v>
      </c>
      <c r="B25" s="1" t="s">
        <v>406</v>
      </c>
      <c r="D25" s="2" t="s">
        <v>113</v>
      </c>
      <c r="E25" s="2" t="s">
        <v>153</v>
      </c>
      <c r="F25" s="1" t="s">
        <v>156</v>
      </c>
      <c r="G25" s="1" t="s">
        <v>426</v>
      </c>
      <c r="H25" s="42" t="s">
        <v>132</v>
      </c>
      <c r="I25" s="13"/>
      <c r="J25" s="13"/>
      <c r="K25" s="13"/>
      <c r="L25" s="13"/>
      <c r="M25" s="13"/>
      <c r="N25" s="13"/>
      <c r="O25" s="13">
        <v>1.6</v>
      </c>
      <c r="P25" s="13"/>
      <c r="Q25" s="13"/>
      <c r="R25" s="32">
        <f>SUM(Nordics17[[#This Row],[26M04]:[26M06]])</f>
        <v>0</v>
      </c>
      <c r="S25" s="81">
        <f>SUM(Nordics17[[#This Row],[26M07]:[26M09]])</f>
        <v>0</v>
      </c>
      <c r="T25" s="112">
        <f>SUM(Nordics17[[#This Row],[26M10]:[26M12]])</f>
        <v>1.6</v>
      </c>
      <c r="U25" s="85" t="str">
        <f>VLOOKUP(Nordics17[[#This Row],[Product Line]],Prod_T6[],4,0)</f>
        <v>PV</v>
      </c>
    </row>
    <row r="26" spans="1:21">
      <c r="A26" s="29" t="s">
        <v>49</v>
      </c>
      <c r="B26" s="1" t="s">
        <v>406</v>
      </c>
      <c r="D26" s="2" t="s">
        <v>118</v>
      </c>
      <c r="E26" s="2" t="s">
        <v>119</v>
      </c>
      <c r="F26" s="1" t="s">
        <v>156</v>
      </c>
      <c r="G26" s="1" t="s">
        <v>407</v>
      </c>
      <c r="H26" s="43" t="s">
        <v>117</v>
      </c>
      <c r="I26" s="13"/>
      <c r="J26" s="13"/>
      <c r="K26" s="13"/>
      <c r="L26" s="13">
        <v>0.4</v>
      </c>
      <c r="M26" s="13"/>
      <c r="N26" s="13"/>
      <c r="O26" s="13"/>
      <c r="P26" s="13"/>
      <c r="Q26" s="13"/>
      <c r="R26" s="32">
        <f>SUM(Nordics17[[#This Row],[26M04]:[26M06]])</f>
        <v>0</v>
      </c>
      <c r="S26" s="81">
        <f>SUM(Nordics17[[#This Row],[26M07]:[26M09]])</f>
        <v>0.4</v>
      </c>
      <c r="T26" s="112">
        <f>SUM(Nordics17[[#This Row],[26M10]:[26M12]])</f>
        <v>0</v>
      </c>
      <c r="U26" s="120" t="str">
        <f>VLOOKUP(Nordics17[[#This Row],[Product Line]],Prod_T6[],4,0)</f>
        <v>PV</v>
      </c>
    </row>
    <row r="27" spans="1:21">
      <c r="A27" s="29" t="s">
        <v>49</v>
      </c>
      <c r="B27" s="1" t="s">
        <v>406</v>
      </c>
      <c r="D27" s="2" t="s">
        <v>118</v>
      </c>
      <c r="E27" s="2" t="s">
        <v>180</v>
      </c>
      <c r="F27" s="1" t="s">
        <v>156</v>
      </c>
      <c r="G27" s="1" t="s">
        <v>407</v>
      </c>
      <c r="H27" s="43" t="s">
        <v>117</v>
      </c>
      <c r="I27" s="13"/>
      <c r="J27" s="13"/>
      <c r="K27" s="13"/>
      <c r="L27" s="13">
        <v>0.4</v>
      </c>
      <c r="M27" s="13"/>
      <c r="N27" s="13"/>
      <c r="O27" s="13"/>
      <c r="P27" s="13"/>
      <c r="Q27" s="13"/>
      <c r="R27" s="32">
        <f>SUM(Nordics17[[#This Row],[26M04]:[26M06]])</f>
        <v>0</v>
      </c>
      <c r="S27" s="81">
        <f>SUM(Nordics17[[#This Row],[26M07]:[26M09]])</f>
        <v>0.4</v>
      </c>
      <c r="T27" s="112">
        <f>SUM(Nordics17[[#This Row],[26M10]:[26M12]])</f>
        <v>0</v>
      </c>
      <c r="U27" s="120" t="str">
        <f>VLOOKUP(Nordics17[[#This Row],[Product Line]],Prod_T6[],4,0)</f>
        <v>PV</v>
      </c>
    </row>
    <row r="28" spans="1:21">
      <c r="A28" s="29" t="s">
        <v>49</v>
      </c>
      <c r="B28" s="1" t="s">
        <v>408</v>
      </c>
      <c r="D28" s="2" t="s">
        <v>409</v>
      </c>
      <c r="E28" s="2" t="s">
        <v>409</v>
      </c>
      <c r="F28" s="1" t="s">
        <v>156</v>
      </c>
      <c r="G28" s="1" t="s">
        <v>410</v>
      </c>
      <c r="H28" s="43" t="s">
        <v>117</v>
      </c>
      <c r="I28" s="13"/>
      <c r="J28" s="13"/>
      <c r="K28" s="13"/>
      <c r="L28" s="13">
        <v>0.2</v>
      </c>
      <c r="M28" s="13"/>
      <c r="N28" s="13"/>
      <c r="O28" s="13"/>
      <c r="P28" s="13"/>
      <c r="Q28" s="13"/>
      <c r="R28" s="32">
        <f>SUM(Nordics17[[#This Row],[26M04]:[26M06]])</f>
        <v>0</v>
      </c>
      <c r="S28" s="81">
        <f>SUM(Nordics17[[#This Row],[26M07]:[26M09]])</f>
        <v>0.2</v>
      </c>
      <c r="T28" s="112">
        <f>SUM(Nordics17[[#This Row],[26M10]:[26M12]])</f>
        <v>0</v>
      </c>
      <c r="U28" s="120" t="str">
        <f>VLOOKUP(Nordics17[[#This Row],[Product Line]],Prod_T6[],4,0)</f>
        <v>PV</v>
      </c>
    </row>
    <row r="29" spans="1:21">
      <c r="A29" s="29" t="s">
        <v>49</v>
      </c>
      <c r="B29" s="1" t="s">
        <v>411</v>
      </c>
      <c r="D29" s="2" t="s">
        <v>38</v>
      </c>
      <c r="E29" s="2" t="s">
        <v>400</v>
      </c>
      <c r="F29" s="1" t="s">
        <v>156</v>
      </c>
      <c r="G29" s="1" t="s">
        <v>412</v>
      </c>
      <c r="H29" s="43" t="s">
        <v>117</v>
      </c>
      <c r="I29" s="13"/>
      <c r="J29" s="13"/>
      <c r="K29" s="13"/>
      <c r="L29" s="13">
        <v>2</v>
      </c>
      <c r="M29" s="13"/>
      <c r="N29" s="13"/>
      <c r="O29" s="13"/>
      <c r="P29" s="13"/>
      <c r="Q29" s="13"/>
      <c r="R29" s="32">
        <f>SUM(Nordics17[[#This Row],[26M04]:[26M06]])</f>
        <v>0</v>
      </c>
      <c r="S29" s="81">
        <f>SUM(Nordics17[[#This Row],[26M07]:[26M09]])</f>
        <v>2</v>
      </c>
      <c r="T29" s="112">
        <f>SUM(Nordics17[[#This Row],[26M10]:[26M12]])</f>
        <v>0</v>
      </c>
      <c r="U29" s="120" t="str">
        <f>VLOOKUP(Nordics17[[#This Row],[Product Line]],Prod_T6[],4,0)</f>
        <v>HP</v>
      </c>
    </row>
    <row r="30" spans="1:21">
      <c r="A30" s="29" t="s">
        <v>49</v>
      </c>
      <c r="B30" s="1" t="s">
        <v>406</v>
      </c>
      <c r="D30" s="2" t="s">
        <v>149</v>
      </c>
      <c r="E30" s="2" t="s">
        <v>289</v>
      </c>
      <c r="F30" s="1" t="s">
        <v>156</v>
      </c>
      <c r="G30" s="1" t="s">
        <v>407</v>
      </c>
      <c r="H30" s="183" t="s">
        <v>413</v>
      </c>
      <c r="I30" s="13"/>
      <c r="J30" s="13"/>
      <c r="K30" s="13"/>
      <c r="L30" s="13"/>
      <c r="M30" s="13"/>
      <c r="N30" s="13"/>
      <c r="O30" s="13"/>
      <c r="P30" s="13"/>
      <c r="Q30" s="13"/>
      <c r="R30" s="32">
        <f>SUM(Nordics17[[#This Row],[26M04]:[26M06]])</f>
        <v>0</v>
      </c>
      <c r="S30" s="81">
        <f>SUM(Nordics17[[#This Row],[26M07]:[26M09]])</f>
        <v>0</v>
      </c>
      <c r="T30" s="112">
        <f>SUM(Nordics17[[#This Row],[26M10]:[26M12]])</f>
        <v>0</v>
      </c>
      <c r="U30" s="120" t="str">
        <f>VLOOKUP(Nordics17[[#This Row],[Product Line]],Prod_T6[],4,0)</f>
        <v>PV</v>
      </c>
    </row>
    <row r="31" spans="1:21">
      <c r="A31" s="29" t="s">
        <v>49</v>
      </c>
      <c r="B31" s="1" t="s">
        <v>406</v>
      </c>
      <c r="D31" s="2" t="s">
        <v>414</v>
      </c>
      <c r="E31" s="2" t="s">
        <v>415</v>
      </c>
      <c r="F31" s="1" t="s">
        <v>213</v>
      </c>
      <c r="G31" s="1" t="s">
        <v>416</v>
      </c>
      <c r="H31" s="183"/>
      <c r="I31" s="13"/>
      <c r="J31" s="13"/>
      <c r="K31" s="13"/>
      <c r="L31" s="13"/>
      <c r="M31" s="13"/>
      <c r="N31" s="13"/>
      <c r="O31" s="13"/>
      <c r="P31" s="13"/>
      <c r="Q31" s="13">
        <v>50</v>
      </c>
      <c r="R31" s="32">
        <f>SUM(Nordics17[[#This Row],[26M04]:[26M06]])</f>
        <v>0</v>
      </c>
      <c r="S31" s="81">
        <f>SUM(Nordics17[[#This Row],[26M07]:[26M09]])</f>
        <v>0</v>
      </c>
      <c r="T31" s="112">
        <f>SUM(Nordics17[[#This Row],[26M10]:[26M12]])</f>
        <v>50</v>
      </c>
      <c r="U31" s="120" t="str">
        <f>VLOOKUP(Nordics17[[#This Row],[Product Line]],Prod_T6[],4,0)</f>
        <v>ESS</v>
      </c>
    </row>
    <row r="32" spans="1:21">
      <c r="A32" s="29" t="s">
        <v>49</v>
      </c>
      <c r="B32" s="1" t="s">
        <v>402</v>
      </c>
      <c r="D32" s="2" t="s">
        <v>141</v>
      </c>
      <c r="E32" s="2" t="s">
        <v>46</v>
      </c>
      <c r="F32" s="1" t="s">
        <v>213</v>
      </c>
      <c r="G32" s="1" t="s">
        <v>417</v>
      </c>
      <c r="H32" s="183"/>
      <c r="I32" s="13"/>
      <c r="J32" s="13"/>
      <c r="K32" s="13"/>
      <c r="L32" s="13"/>
      <c r="M32" s="13"/>
      <c r="N32" s="13">
        <v>2</v>
      </c>
      <c r="O32" s="13"/>
      <c r="P32" s="13"/>
      <c r="Q32" s="13"/>
      <c r="R32" s="32">
        <f>SUM(Nordics17[[#This Row],[26M04]:[26M06]])</f>
        <v>0</v>
      </c>
      <c r="S32" s="81">
        <f>SUM(Nordics17[[#This Row],[26M07]:[26M09]])</f>
        <v>2</v>
      </c>
      <c r="T32" s="112">
        <f>SUM(Nordics17[[#This Row],[26M10]:[26M12]])</f>
        <v>0</v>
      </c>
      <c r="U32" s="120" t="str">
        <f>VLOOKUP(Nordics17[[#This Row],[Product Line]],Prod_T6[],4,0)</f>
        <v>ESS</v>
      </c>
    </row>
    <row r="33" spans="1:21">
      <c r="A33" s="29" t="s">
        <v>49</v>
      </c>
      <c r="B33" s="1" t="s">
        <v>402</v>
      </c>
      <c r="D33" s="2" t="s">
        <v>149</v>
      </c>
      <c r="E33" s="2" t="s">
        <v>289</v>
      </c>
      <c r="F33" s="1" t="s">
        <v>154</v>
      </c>
      <c r="G33" s="1" t="s">
        <v>418</v>
      </c>
      <c r="H33" s="183" t="s">
        <v>413</v>
      </c>
      <c r="I33" s="13"/>
      <c r="J33" s="13"/>
      <c r="K33" s="13"/>
      <c r="L33" s="13"/>
      <c r="M33" s="13"/>
      <c r="N33" s="13">
        <v>0.8</v>
      </c>
      <c r="O33" s="13"/>
      <c r="P33" s="13"/>
      <c r="Q33" s="13"/>
      <c r="R33" s="32">
        <f>SUM(Nordics17[[#This Row],[26M04]:[26M06]])</f>
        <v>0</v>
      </c>
      <c r="S33" s="81">
        <f>SUM(Nordics17[[#This Row],[26M07]:[26M09]])</f>
        <v>0.8</v>
      </c>
      <c r="T33" s="112">
        <f>SUM(Nordics17[[#This Row],[26M10]:[26M12]])</f>
        <v>0</v>
      </c>
      <c r="U33" s="120" t="str">
        <f>VLOOKUP(Nordics17[[#This Row],[Product Line]],Prod_T6[],4,0)</f>
        <v>PV</v>
      </c>
    </row>
    <row r="34" spans="1:21">
      <c r="A34" s="29" t="s">
        <v>49</v>
      </c>
      <c r="B34" s="1" t="s">
        <v>402</v>
      </c>
      <c r="D34" s="2" t="s">
        <v>118</v>
      </c>
      <c r="E34" s="2" t="s">
        <v>119</v>
      </c>
      <c r="F34" s="1" t="s">
        <v>115</v>
      </c>
      <c r="G34" s="1"/>
      <c r="H34" s="183" t="s">
        <v>419</v>
      </c>
      <c r="I34" s="13"/>
      <c r="J34" s="13"/>
      <c r="K34" s="13"/>
      <c r="L34" s="13"/>
      <c r="M34" s="13"/>
      <c r="N34" s="13"/>
      <c r="O34" s="13">
        <v>1</v>
      </c>
      <c r="P34" s="13">
        <v>1</v>
      </c>
      <c r="Q34" s="13">
        <v>1</v>
      </c>
      <c r="R34" s="32">
        <f>SUM(Nordics17[[#This Row],[26M04]:[26M06]])</f>
        <v>0</v>
      </c>
      <c r="S34" s="81">
        <f>SUM(Nordics17[[#This Row],[26M07]:[26M09]])</f>
        <v>0</v>
      </c>
      <c r="T34" s="112">
        <f>SUM(Nordics17[[#This Row],[26M10]:[26M12]])</f>
        <v>3</v>
      </c>
      <c r="U34" s="120" t="str">
        <f>VLOOKUP(Nordics17[[#This Row],[Product Line]],Prod_T6[],4,0)</f>
        <v>PV</v>
      </c>
    </row>
    <row r="35" spans="1:21">
      <c r="A35" s="29" t="s">
        <v>49</v>
      </c>
      <c r="B35" s="1" t="s">
        <v>402</v>
      </c>
      <c r="D35" s="2" t="s">
        <v>118</v>
      </c>
      <c r="E35" s="2" t="s">
        <v>255</v>
      </c>
      <c r="F35" s="1" t="s">
        <v>115</v>
      </c>
      <c r="G35" s="1" t="s">
        <v>420</v>
      </c>
      <c r="H35" s="183" t="s">
        <v>419</v>
      </c>
      <c r="I35" s="13"/>
      <c r="J35" s="13"/>
      <c r="K35" s="13"/>
      <c r="L35" s="13"/>
      <c r="M35" s="13"/>
      <c r="N35" s="13"/>
      <c r="O35" s="13">
        <v>1</v>
      </c>
      <c r="P35" s="13">
        <v>1</v>
      </c>
      <c r="Q35" s="13">
        <v>1</v>
      </c>
      <c r="R35" s="32">
        <f>SUM(Nordics17[[#This Row],[26M04]:[26M06]])</f>
        <v>0</v>
      </c>
      <c r="S35" s="81">
        <f>SUM(Nordics17[[#This Row],[26M07]:[26M09]])</f>
        <v>0</v>
      </c>
      <c r="T35" s="112">
        <f>SUM(Nordics17[[#This Row],[26M10]:[26M12]])</f>
        <v>3</v>
      </c>
      <c r="U35" s="120" t="str">
        <f>VLOOKUP(Nordics17[[#This Row],[Product Line]],Prod_T6[],4,0)</f>
        <v>PV</v>
      </c>
    </row>
    <row r="36" spans="1:21">
      <c r="A36" s="29" t="s">
        <v>49</v>
      </c>
      <c r="B36" s="1" t="s">
        <v>402</v>
      </c>
      <c r="D36" s="2" t="s">
        <v>54</v>
      </c>
      <c r="E36" s="2" t="s">
        <v>166</v>
      </c>
      <c r="F36" s="1" t="s">
        <v>115</v>
      </c>
      <c r="G36" s="1" t="s">
        <v>420</v>
      </c>
      <c r="H36" s="183" t="s">
        <v>419</v>
      </c>
      <c r="I36" s="13"/>
      <c r="J36" s="13"/>
      <c r="K36" s="13"/>
      <c r="L36" s="13"/>
      <c r="M36" s="13"/>
      <c r="N36" s="13"/>
      <c r="O36" s="13">
        <v>2</v>
      </c>
      <c r="P36" s="13">
        <v>2</v>
      </c>
      <c r="Q36" s="13">
        <v>2</v>
      </c>
      <c r="R36" s="32">
        <f>SUM(Nordics17[[#This Row],[26M04]:[26M06]])</f>
        <v>0</v>
      </c>
      <c r="S36" s="81">
        <f>SUM(Nordics17[[#This Row],[26M07]:[26M09]])</f>
        <v>0</v>
      </c>
      <c r="T36" s="112">
        <f>SUM(Nordics17[[#This Row],[26M10]:[26M12]])</f>
        <v>6</v>
      </c>
      <c r="U36" s="120" t="str">
        <f>VLOOKUP(Nordics17[[#This Row],[Product Line]],Prod_T6[],4,0)</f>
        <v>PV</v>
      </c>
    </row>
    <row r="37" spans="1:21">
      <c r="A37" s="29" t="s">
        <v>49</v>
      </c>
      <c r="B37" s="1" t="s">
        <v>402</v>
      </c>
      <c r="D37" s="2" t="s">
        <v>149</v>
      </c>
      <c r="E37" s="2" t="s">
        <v>289</v>
      </c>
      <c r="F37" s="1" t="s">
        <v>154</v>
      </c>
      <c r="G37" s="1" t="s">
        <v>421</v>
      </c>
      <c r="H37" s="43" t="s">
        <v>413</v>
      </c>
      <c r="I37" s="13"/>
      <c r="J37" s="13"/>
      <c r="K37" s="13"/>
      <c r="L37" s="13"/>
      <c r="M37" s="13"/>
      <c r="N37" s="13"/>
      <c r="O37" s="13">
        <v>2</v>
      </c>
      <c r="P37" s="13">
        <v>2</v>
      </c>
      <c r="Q37" s="13"/>
      <c r="R37" s="32">
        <f>SUM(Nordics17[[#This Row],[26M04]:[26M06]])</f>
        <v>0</v>
      </c>
      <c r="S37" s="81">
        <f>SUM(Nordics17[[#This Row],[26M07]:[26M09]])</f>
        <v>0</v>
      </c>
      <c r="T37" s="112">
        <f>SUM(Nordics17[[#This Row],[26M10]:[26M12]])</f>
        <v>4</v>
      </c>
      <c r="U37" s="120" t="str">
        <f>VLOOKUP(Nordics17[[#This Row],[Product Line]],Prod_T6[],4,0)</f>
        <v>PV</v>
      </c>
    </row>
    <row r="38" spans="1:21">
      <c r="A38" s="29" t="s">
        <v>49</v>
      </c>
      <c r="B38" s="1" t="s">
        <v>406</v>
      </c>
      <c r="D38" s="2" t="s">
        <v>118</v>
      </c>
      <c r="E38" s="2" t="s">
        <v>180</v>
      </c>
      <c r="F38" s="1"/>
      <c r="G38" s="1" t="s">
        <v>422</v>
      </c>
      <c r="H38" s="43"/>
      <c r="I38" s="13"/>
      <c r="J38" s="13"/>
      <c r="K38" s="13"/>
      <c r="L38" s="13"/>
      <c r="M38" s="13"/>
      <c r="N38" s="13"/>
      <c r="O38" s="13">
        <v>0.8</v>
      </c>
      <c r="P38" s="13"/>
      <c r="Q38" s="13"/>
      <c r="R38" s="32">
        <f>SUM(Nordics17[[#This Row],[26M04]:[26M06]])</f>
        <v>0</v>
      </c>
      <c r="S38" s="81">
        <f>SUM(Nordics17[[#This Row],[26M07]:[26M09]])</f>
        <v>0</v>
      </c>
      <c r="T38" s="112">
        <f>SUM(Nordics17[[#This Row],[26M10]:[26M12]])</f>
        <v>0.8</v>
      </c>
      <c r="U38" s="120" t="str">
        <f>VLOOKUP(Nordics17[[#This Row],[Product Line]],Prod_T6[],4,0)</f>
        <v>PV</v>
      </c>
    </row>
    <row r="39" spans="1:21">
      <c r="A39" s="29" t="s">
        <v>49</v>
      </c>
      <c r="B39" s="1" t="s">
        <v>423</v>
      </c>
      <c r="D39" s="2" t="s">
        <v>118</v>
      </c>
      <c r="E39" s="2" t="s">
        <v>145</v>
      </c>
      <c r="F39" s="1" t="s">
        <v>120</v>
      </c>
      <c r="G39" s="1" t="s">
        <v>424</v>
      </c>
      <c r="H39" s="43"/>
      <c r="I39" s="13"/>
      <c r="J39" s="13"/>
      <c r="K39" s="13"/>
      <c r="L39" s="13"/>
      <c r="M39" s="13"/>
      <c r="N39" s="13"/>
      <c r="O39" s="13">
        <v>1.2</v>
      </c>
      <c r="P39" s="13"/>
      <c r="Q39" s="13"/>
      <c r="R39" s="32">
        <f>SUM(Nordics17[[#This Row],[26M04]:[26M06]])</f>
        <v>0</v>
      </c>
      <c r="S39" s="81">
        <f>SUM(Nordics17[[#This Row],[26M07]:[26M09]])</f>
        <v>0</v>
      </c>
      <c r="T39" s="112">
        <f>SUM(Nordics17[[#This Row],[26M10]:[26M12]])</f>
        <v>1.2</v>
      </c>
      <c r="U39" s="120" t="str">
        <f>VLOOKUP(Nordics17[[#This Row],[Product Line]],Prod_T6[],4,0)</f>
        <v>PV</v>
      </c>
    </row>
    <row r="40" spans="1:21">
      <c r="A40" s="29" t="s">
        <v>49</v>
      </c>
      <c r="B40" s="1" t="s">
        <v>406</v>
      </c>
      <c r="D40" s="2" t="s">
        <v>141</v>
      </c>
      <c r="E40" s="2" t="s">
        <v>46</v>
      </c>
      <c r="F40" s="1" t="s">
        <v>154</v>
      </c>
      <c r="G40" s="1" t="s">
        <v>1236</v>
      </c>
      <c r="H40" s="43"/>
      <c r="I40" s="13"/>
      <c r="J40" s="13"/>
      <c r="K40" s="13"/>
      <c r="L40" s="13"/>
      <c r="M40" s="13"/>
      <c r="N40" s="13"/>
      <c r="O40" s="13"/>
      <c r="P40" s="13"/>
      <c r="Q40" s="13"/>
      <c r="R40" s="32">
        <f>SUM(Nordics17[[#This Row],[26M04]:[26M06]])</f>
        <v>0</v>
      </c>
      <c r="S40" s="81">
        <f>SUM(Nordics17[[#This Row],[26M07]:[26M09]])</f>
        <v>0</v>
      </c>
      <c r="T40" s="112">
        <f>SUM(Nordics17[[#This Row],[26M10]:[26M12]])</f>
        <v>0</v>
      </c>
      <c r="U40" s="120" t="str">
        <f>VLOOKUP(Nordics17[[#This Row],[Product Line]],Prod_T6[],4,0)</f>
        <v>ESS</v>
      </c>
    </row>
    <row r="41" spans="1:21">
      <c r="A41" s="29" t="s">
        <v>49</v>
      </c>
      <c r="B41" s="1" t="s">
        <v>406</v>
      </c>
      <c r="D41" s="2" t="s">
        <v>141</v>
      </c>
      <c r="E41" s="2" t="s">
        <v>50</v>
      </c>
      <c r="F41" s="1" t="s">
        <v>136</v>
      </c>
      <c r="G41" s="1" t="s">
        <v>438</v>
      </c>
      <c r="H41" s="43"/>
      <c r="I41" s="13"/>
      <c r="J41" s="13"/>
      <c r="K41" s="13"/>
      <c r="L41" s="13"/>
      <c r="M41" s="13"/>
      <c r="N41" s="13"/>
      <c r="O41" s="13"/>
      <c r="P41" s="13"/>
      <c r="Q41" s="13"/>
      <c r="R41" s="32">
        <f>SUM(Nordics17[[#This Row],[26M04]:[26M06]])</f>
        <v>0</v>
      </c>
      <c r="S41" s="81">
        <f>SUM(Nordics17[[#This Row],[26M07]:[26M09]])</f>
        <v>0</v>
      </c>
      <c r="T41" s="112">
        <f>SUM(Nordics17[[#This Row],[26M10]:[26M12]])</f>
        <v>0</v>
      </c>
      <c r="U41" s="120" t="str">
        <f>VLOOKUP(Nordics17[[#This Row],[Product Line]],Prod_T6[],4,0)</f>
        <v>ESS</v>
      </c>
    </row>
    <row r="42" spans="1:21">
      <c r="A42" s="29" t="s">
        <v>49</v>
      </c>
      <c r="B42" s="1" t="s">
        <v>406</v>
      </c>
      <c r="D42" s="2" t="s">
        <v>54</v>
      </c>
      <c r="E42" s="2" t="s">
        <v>160</v>
      </c>
      <c r="F42" s="1" t="s">
        <v>136</v>
      </c>
      <c r="G42" s="1" t="s">
        <v>1237</v>
      </c>
      <c r="H42" s="43"/>
      <c r="I42" s="13"/>
      <c r="J42" s="13"/>
      <c r="K42" s="13"/>
      <c r="L42" s="13"/>
      <c r="M42" s="13"/>
      <c r="N42" s="13"/>
      <c r="O42" s="13"/>
      <c r="P42" s="13"/>
      <c r="Q42" s="13"/>
      <c r="R42" s="32">
        <f>SUM(Nordics17[[#This Row],[26M04]:[26M06]])</f>
        <v>0</v>
      </c>
      <c r="S42" s="81">
        <f>SUM(Nordics17[[#This Row],[26M07]:[26M09]])</f>
        <v>0</v>
      </c>
      <c r="T42" s="112">
        <f>SUM(Nordics17[[#This Row],[26M10]:[26M12]])</f>
        <v>0</v>
      </c>
      <c r="U42" s="120" t="str">
        <f>VLOOKUP(Nordics17[[#This Row],[Product Line]],Prod_T6[],4,0)</f>
        <v>PV</v>
      </c>
    </row>
  </sheetData>
  <phoneticPr fontId="65" type="noConversion"/>
  <dataValidations count="4">
    <dataValidation type="list" allowBlank="1" showInputMessage="1" showErrorMessage="1" sqref="F3:F42" xr:uid="{EFC8F889-C1C9-419E-A29E-9E589732F1BE}">
      <formula1>Stage_List</formula1>
    </dataValidation>
    <dataValidation type="list" allowBlank="1" showInputMessage="1" showErrorMessage="1" sqref="D3:D42" xr:uid="{E32D6E5C-1654-4978-BB24-9EB7F8C4E9EF}">
      <formula1>Product_List</formula1>
    </dataValidation>
    <dataValidation type="list" allowBlank="1" showInputMessage="1" showErrorMessage="1" sqref="A3:A42" xr:uid="{242A12A8-3717-4CF5-980C-15FC014F5272}">
      <formula1>Country_List</formula1>
    </dataValidation>
    <dataValidation type="list" allowBlank="1" showInputMessage="1" showErrorMessage="1" sqref="B3:B6 E3:E42" xr:uid="{D89850FD-786C-42E0-A092-F8B2AF27CC7F}">
      <formula1>INDIRECT(A3)</formula1>
    </dataValidation>
  </dataValidations>
  <pageMargins left="0.70866141732283505" right="0.70866141732283505" top="0.74803149606299202" bottom="0.74803149606299202" header="0.31496062992126" footer="0.31496062992126"/>
  <pageSetup paperSize="9" scale="39" orientation="landscape" r:id="rId1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4278-98F6-4455-B833-7C834CC05DDC}">
  <sheetPr>
    <tabColor theme="7"/>
    <pageSetUpPr fitToPage="1"/>
  </sheetPr>
  <dimension ref="A1:V59"/>
  <sheetViews>
    <sheetView zoomScaleNormal="100" workbookViewId="0">
      <pane xSplit="6" ySplit="5" topLeftCell="I27" activePane="bottomRight" state="frozen"/>
      <selection pane="topRight" activeCell="D6" sqref="D6:Q80"/>
      <selection pane="bottomLeft" activeCell="D6" sqref="D6:Q80"/>
      <selection pane="bottomRight" activeCell="D6" sqref="D6:Q80"/>
    </sheetView>
  </sheetViews>
  <sheetFormatPr defaultColWidth="8.08984375" defaultRowHeight="14.5" outlineLevelCol="1"/>
  <cols>
    <col min="1" max="1" width="13" style="47" customWidth="1"/>
    <col min="2" max="2" width="18.36328125" style="57" customWidth="1"/>
    <col min="3" max="3" width="13.36328125" style="48" customWidth="1" outlineLevel="1"/>
    <col min="4" max="4" width="13.36328125" style="47" customWidth="1"/>
    <col min="5" max="5" width="32.90625" style="47" customWidth="1"/>
    <col min="6" max="6" width="25" style="174" customWidth="1"/>
    <col min="7" max="7" width="31.6328125" style="47" customWidth="1"/>
    <col min="8" max="8" width="19.08984375" style="61" customWidth="1"/>
    <col min="9" max="17" width="9.90625" style="47" customWidth="1" outlineLevel="1"/>
    <col min="18" max="20" width="9.08984375" style="50" customWidth="1"/>
    <col min="21" max="21" width="21.36328125" style="47" customWidth="1"/>
    <col min="22" max="16384" width="8.08984375" style="47"/>
  </cols>
  <sheetData>
    <row r="1" spans="1:22">
      <c r="B1" s="47"/>
      <c r="F1" s="174" t="s">
        <v>5</v>
      </c>
      <c r="H1" s="49"/>
      <c r="I1" s="47" t="s">
        <v>623</v>
      </c>
      <c r="J1" s="47" t="s">
        <v>623</v>
      </c>
      <c r="K1" s="47" t="s">
        <v>623</v>
      </c>
      <c r="L1" s="47" t="s">
        <v>623</v>
      </c>
      <c r="M1" s="47" t="s">
        <v>623</v>
      </c>
      <c r="N1" s="47" t="s">
        <v>623</v>
      </c>
      <c r="O1" s="47" t="s">
        <v>623</v>
      </c>
      <c r="P1" s="47" t="s">
        <v>623</v>
      </c>
      <c r="Q1" s="47" t="s">
        <v>623</v>
      </c>
      <c r="R1" s="50" t="s">
        <v>623</v>
      </c>
      <c r="S1" s="50" t="s">
        <v>623</v>
      </c>
      <c r="T1" s="50" t="s">
        <v>623</v>
      </c>
    </row>
    <row r="2" spans="1:22">
      <c r="B2" s="47"/>
      <c r="G2" s="49" t="s">
        <v>27</v>
      </c>
      <c r="I2" s="200">
        <f>SUMIFS(BE_NL16[26M04],BE_NL16[Product Category],$G2)</f>
        <v>0</v>
      </c>
      <c r="J2" s="200">
        <f>SUMIFS(BE_NL16[26M05],BE_NL16[Product Category],$G2)</f>
        <v>0</v>
      </c>
      <c r="K2" s="200">
        <f>SUMIFS(BE_NL16[26M06],BE_NL16[Product Category],$G2)</f>
        <v>0</v>
      </c>
      <c r="L2" s="200">
        <f>SUMIFS(BE_NL16[26M07],BE_NL16[Product Category],$G2)</f>
        <v>0</v>
      </c>
      <c r="M2" s="200">
        <f>SUMIFS(BE_NL16[26M08],BE_NL16[Product Category],$G2)</f>
        <v>0</v>
      </c>
      <c r="N2" s="200">
        <f>SUMIFS(BE_NL16[26M09],BE_NL16[Product Category],$G2)</f>
        <v>0</v>
      </c>
      <c r="O2" s="200">
        <f>SUMIFS(BE_NL16[26M10],BE_NL16[Country],$G2)</f>
        <v>0</v>
      </c>
      <c r="P2" s="200">
        <f>SUMIFS(BE_NL16[26M11],BE_NL16[Customer name],$G2)</f>
        <v>0</v>
      </c>
      <c r="Q2" s="200">
        <f>SUMIFS(BE_NL16[26M12],BE_NL16[RSM],$G2)</f>
        <v>0</v>
      </c>
      <c r="R2" s="200">
        <f>SUMIFS(BE_NL16[26Q2],BE_NL16[Product Category],$G2)</f>
        <v>0</v>
      </c>
      <c r="S2" s="200">
        <f>SUMIFS(BE_NL16[26Q3],BE_NL16[Country],$G2)</f>
        <v>0</v>
      </c>
      <c r="T2" s="200">
        <f>SUMIFS(BE_NL16[26Q4],BE_NL16[Customer name],$G2)</f>
        <v>0</v>
      </c>
    </row>
    <row r="3" spans="1:22">
      <c r="B3" s="47"/>
      <c r="G3" s="49" t="s">
        <v>87</v>
      </c>
      <c r="I3" s="200">
        <f>SUMIFS(BE_NL16[26M04],BE_NL16[Product Category],$G3)</f>
        <v>0</v>
      </c>
      <c r="J3" s="200">
        <f>SUMIFS(BE_NL16[26M05],BE_NL16[Product Category],$G3)</f>
        <v>0</v>
      </c>
      <c r="K3" s="200">
        <f>SUMIFS(BE_NL16[26M06],BE_NL16[Product Category],$G3)</f>
        <v>0</v>
      </c>
      <c r="L3" s="200">
        <f>SUMIFS(BE_NL16[26M07],BE_NL16[Product Category],$G3)</f>
        <v>1</v>
      </c>
      <c r="M3" s="200">
        <f>SUMIFS(BE_NL16[26M08],BE_NL16[Product Category],$G3)</f>
        <v>1</v>
      </c>
      <c r="N3" s="200">
        <f>SUMIFS(BE_NL16[26M09],BE_NL16[Product Category],$G3)</f>
        <v>1</v>
      </c>
      <c r="O3" s="200">
        <f>SUMIFS(BE_NL16[26M10],BE_NL16[Country],$G3)</f>
        <v>0</v>
      </c>
      <c r="P3" s="200">
        <f>SUMIFS(BE_NL16[26M11],BE_NL16[Customer name],$G3)</f>
        <v>0</v>
      </c>
      <c r="Q3" s="200">
        <f>SUMIFS(BE_NL16[26M12],BE_NL16[RSM],$G3)</f>
        <v>0</v>
      </c>
      <c r="R3" s="200">
        <f>SUMIFS(BE_NL16[26Q2],BE_NL16[Product Category],$G3)</f>
        <v>0</v>
      </c>
      <c r="S3" s="200">
        <f>SUMIFS(BE_NL16[26Q3],BE_NL16[Country],$G3)</f>
        <v>0</v>
      </c>
      <c r="T3" s="200">
        <f>SUMIFS(BE_NL16[26Q4],BE_NL16[Customer name],$G3)</f>
        <v>0</v>
      </c>
    </row>
    <row r="4" spans="1:22">
      <c r="B4" s="47"/>
      <c r="C4" s="47"/>
      <c r="G4" s="49" t="s">
        <v>70</v>
      </c>
      <c r="I4" s="200">
        <f>SUMIFS(BE_NL16[26M04],BE_NL16[Product Category],$G4)</f>
        <v>2.8899999999999997</v>
      </c>
      <c r="J4" s="200">
        <f>SUMIFS(BE_NL16[26M05],BE_NL16[Product Category],$G4)</f>
        <v>8.25</v>
      </c>
      <c r="K4" s="200">
        <f>SUMIFS(BE_NL16[26M06],BE_NL16[Product Category],$G4)</f>
        <v>9.76</v>
      </c>
      <c r="L4" s="200">
        <f>SUMIFS(BE_NL16[26M07],BE_NL16[Product Category],$G4)</f>
        <v>7.5799999999999992</v>
      </c>
      <c r="M4" s="200">
        <f>SUMIFS(BE_NL16[26M08],BE_NL16[Product Category],$G4)</f>
        <v>8.2099999999999991</v>
      </c>
      <c r="N4" s="200">
        <f>SUMIFS(BE_NL16[26M09],BE_NL16[Product Category],$G4)</f>
        <v>17.37</v>
      </c>
      <c r="O4" s="200" cm="1">
        <f t="array" ref="O4">SUM(_xlfn._xlws.FILTER(BE_NL16[26M10],(BE_NL16[Product Category]=$G4)*ISNUMBER(_xlfn.XMATCH(BE_NL16[Stage],{"3 - Negotiation","4 - BAFO","5 - Finalize contract","6 - Won","7 - Booked"}))))</f>
        <v>11.7</v>
      </c>
      <c r="P4" s="200" cm="1">
        <f t="array" ref="P4">SUM(_xlfn._xlws.FILTER(BE_NL16[26M11],(BE_NL16[Product Category]=$G4)*ISNUMBER(_xlfn.XMATCH(BE_NL16[Stage],{"3 - Negotiation","4 - BAFO","5 - Finalize contract","6 - Won","7 - Booked"}))))</f>
        <v>11.100000000000001</v>
      </c>
      <c r="Q4" s="200" cm="1">
        <f t="array" ref="Q4">SUM(_xlfn._xlws.FILTER(BE_NL16[26M12],(BE_NL16[Product Category]=$G4)*ISNUMBER(_xlfn.XMATCH(BE_NL16[Stage],{"3 - Negotiation","4 - BAFO","5 - Finalize contract","6 - Won","7 - Booked"}))))</f>
        <v>11</v>
      </c>
      <c r="R4" s="200">
        <f>SUMIFS(BE_NL16[26Q2],BE_NL16[Product Category],$G4)</f>
        <v>20.900000000000002</v>
      </c>
      <c r="S4" s="200">
        <f>SUMIFS(BE_NL16[26Q3],BE_NL16[Country],$G4)</f>
        <v>0</v>
      </c>
      <c r="T4" s="200">
        <f>SUMIFS(BE_NL16[26Q4],BE_NL16[Customer name],$G4)</f>
        <v>0</v>
      </c>
    </row>
    <row r="5" spans="1:22" s="55" customFormat="1" ht="26">
      <c r="A5" s="51" t="s">
        <v>45</v>
      </c>
      <c r="B5" s="52" t="s">
        <v>1</v>
      </c>
      <c r="C5" s="51" t="s">
        <v>92</v>
      </c>
      <c r="D5" s="51" t="s">
        <v>3</v>
      </c>
      <c r="E5" s="51" t="s">
        <v>28</v>
      </c>
      <c r="F5" s="175" t="s">
        <v>5</v>
      </c>
      <c r="G5" s="53" t="s">
        <v>93</v>
      </c>
      <c r="H5" s="9" t="s">
        <v>94</v>
      </c>
      <c r="I5" s="54" t="s">
        <v>95</v>
      </c>
      <c r="J5" s="54" t="s">
        <v>96</v>
      </c>
      <c r="K5" s="54" t="s">
        <v>97</v>
      </c>
      <c r="L5" s="54" t="s">
        <v>98</v>
      </c>
      <c r="M5" s="54" t="s">
        <v>99</v>
      </c>
      <c r="N5" s="54" t="s">
        <v>100</v>
      </c>
      <c r="O5" s="54" t="s">
        <v>34</v>
      </c>
      <c r="P5" s="54" t="s">
        <v>101</v>
      </c>
      <c r="Q5" s="54" t="s">
        <v>36</v>
      </c>
      <c r="R5" s="201" t="s">
        <v>626</v>
      </c>
      <c r="S5" s="201" t="s">
        <v>627</v>
      </c>
      <c r="T5" s="104" t="s">
        <v>628</v>
      </c>
      <c r="U5" s="77" t="s">
        <v>26</v>
      </c>
    </row>
    <row r="6" spans="1:22" ht="16.5">
      <c r="A6" s="59" t="s">
        <v>80</v>
      </c>
      <c r="B6" s="57" t="s">
        <v>127</v>
      </c>
      <c r="C6" s="48" t="s">
        <v>128</v>
      </c>
      <c r="D6" s="47" t="s">
        <v>54</v>
      </c>
      <c r="E6" s="47" t="s">
        <v>129</v>
      </c>
      <c r="F6" s="176" t="s">
        <v>130</v>
      </c>
      <c r="G6" s="57" t="s">
        <v>131</v>
      </c>
      <c r="H6" s="60" t="s">
        <v>132</v>
      </c>
      <c r="I6" s="56"/>
      <c r="J6" s="56">
        <v>0.84</v>
      </c>
      <c r="K6" s="56">
        <v>0.84</v>
      </c>
      <c r="L6" s="56">
        <v>0.84</v>
      </c>
      <c r="M6" s="56">
        <v>0.84</v>
      </c>
      <c r="N6" s="56"/>
      <c r="O6" s="56"/>
      <c r="P6" s="56"/>
      <c r="Q6" s="56"/>
      <c r="R6" s="58">
        <f>SUM(BE_NL16[[#This Row],[26M04]:[26M06]])</f>
        <v>1.68</v>
      </c>
      <c r="S6" s="58">
        <f>SUM(BE_NL16[[#This Row],[26M07]:[26M09]])</f>
        <v>1.68</v>
      </c>
      <c r="T6" s="58">
        <f>SUM(BE_NL16[[#This Row],[26M10]:[26M12]])</f>
        <v>0</v>
      </c>
      <c r="U6" s="85" t="str">
        <f>VLOOKUP(BE_NL16[[#This Row],[Product Line]],Prod_T6[],4,0)</f>
        <v>PV</v>
      </c>
      <c r="V6" s="73"/>
    </row>
    <row r="7" spans="1:22" ht="16.5">
      <c r="A7" s="59" t="s">
        <v>80</v>
      </c>
      <c r="B7" s="57" t="s">
        <v>127</v>
      </c>
      <c r="D7" s="47" t="s">
        <v>54</v>
      </c>
      <c r="E7" s="47" t="s">
        <v>129</v>
      </c>
      <c r="F7" s="176" t="s">
        <v>130</v>
      </c>
      <c r="G7" s="47" t="s">
        <v>163</v>
      </c>
      <c r="H7" s="60" t="s">
        <v>132</v>
      </c>
      <c r="I7" s="56"/>
      <c r="J7" s="56">
        <v>0.42</v>
      </c>
      <c r="K7" s="56">
        <v>4</v>
      </c>
      <c r="L7" s="56">
        <v>2.2999999999999998</v>
      </c>
      <c r="M7" s="56"/>
      <c r="N7" s="56"/>
      <c r="O7" s="56"/>
      <c r="P7" s="56"/>
      <c r="Q7" s="56"/>
      <c r="R7" s="58">
        <f>SUM(BE_NL16[[#This Row],[26M04]:[26M06]])</f>
        <v>4.42</v>
      </c>
      <c r="S7" s="58">
        <f>SUM(BE_NL16[[#This Row],[26M07]:[26M09]])</f>
        <v>2.2999999999999998</v>
      </c>
      <c r="T7" s="105">
        <f>SUM(BE_NL16[[#This Row],[26M10]:[26M12]])</f>
        <v>0</v>
      </c>
      <c r="U7" s="85" t="str">
        <f>VLOOKUP(BE_NL16[[#This Row],[Product Line]],Prod_T6[],4,0)</f>
        <v>PV</v>
      </c>
      <c r="V7" s="73"/>
    </row>
    <row r="8" spans="1:22" ht="16.5">
      <c r="A8" s="59" t="s">
        <v>80</v>
      </c>
      <c r="B8" s="57" t="s">
        <v>127</v>
      </c>
      <c r="D8" s="47" t="s">
        <v>149</v>
      </c>
      <c r="E8" s="47" t="s">
        <v>289</v>
      </c>
      <c r="F8" s="176" t="s">
        <v>130</v>
      </c>
      <c r="G8" s="47" t="s">
        <v>131</v>
      </c>
      <c r="H8" s="60" t="s">
        <v>132</v>
      </c>
      <c r="I8" s="56"/>
      <c r="J8" s="56"/>
      <c r="K8" s="56"/>
      <c r="L8" s="56"/>
      <c r="M8" s="56">
        <v>2</v>
      </c>
      <c r="N8" s="56">
        <v>2</v>
      </c>
      <c r="O8" s="56">
        <v>2</v>
      </c>
      <c r="P8" s="56"/>
      <c r="Q8" s="56"/>
      <c r="R8" s="58">
        <f>SUM(BE_NL16[[#This Row],[26M04]:[26M06]])</f>
        <v>0</v>
      </c>
      <c r="S8" s="58">
        <f>SUM(BE_NL16[[#This Row],[26M07]:[26M09]])</f>
        <v>4</v>
      </c>
      <c r="T8" s="105">
        <f>SUM(BE_NL16[[#This Row],[26M10]:[26M12]])</f>
        <v>2</v>
      </c>
      <c r="U8" s="85" t="str">
        <f>VLOOKUP(BE_NL16[[#This Row],[Product Line]],Prod_T6[],4,0)</f>
        <v>PV</v>
      </c>
      <c r="V8" s="73"/>
    </row>
    <row r="9" spans="1:22" ht="16.5">
      <c r="A9" s="59" t="s">
        <v>80</v>
      </c>
      <c r="B9" s="57" t="s">
        <v>127</v>
      </c>
      <c r="D9" s="47" t="s">
        <v>113</v>
      </c>
      <c r="E9" s="47" t="s">
        <v>153</v>
      </c>
      <c r="F9" s="176" t="s">
        <v>136</v>
      </c>
      <c r="G9" s="153" t="s">
        <v>151</v>
      </c>
      <c r="H9" s="60" t="s">
        <v>162</v>
      </c>
      <c r="I9" s="56"/>
      <c r="J9" s="56"/>
      <c r="K9" s="56"/>
      <c r="L9" s="56"/>
      <c r="M9" s="56"/>
      <c r="N9" s="56"/>
      <c r="O9" s="56">
        <v>1</v>
      </c>
      <c r="P9" s="56">
        <v>1</v>
      </c>
      <c r="Q9" s="56">
        <v>1</v>
      </c>
      <c r="R9" s="58">
        <f>SUM(BE_NL16[[#This Row],[26M04]:[26M06]])</f>
        <v>0</v>
      </c>
      <c r="S9" s="58">
        <f>SUM(BE_NL16[[#This Row],[26M07]:[26M09]])</f>
        <v>0</v>
      </c>
      <c r="T9" s="105">
        <f>SUM(BE_NL16[[#This Row],[26M10]:[26M12]])</f>
        <v>3</v>
      </c>
      <c r="U9" s="152" t="str">
        <f>VLOOKUP(BE_NL16[[#This Row],[Product Line]],Prod_T6[],4,0)</f>
        <v>PV</v>
      </c>
      <c r="V9" s="73"/>
    </row>
    <row r="10" spans="1:22" ht="16.5">
      <c r="A10" s="59" t="s">
        <v>80</v>
      </c>
      <c r="B10" s="57" t="s">
        <v>127</v>
      </c>
      <c r="D10" s="47" t="s">
        <v>134</v>
      </c>
      <c r="E10" s="47" t="s">
        <v>135</v>
      </c>
      <c r="F10" s="180" t="s">
        <v>154</v>
      </c>
      <c r="G10" s="153" t="s">
        <v>151</v>
      </c>
      <c r="H10" s="60" t="s">
        <v>132</v>
      </c>
      <c r="I10" s="56"/>
      <c r="J10" s="56"/>
      <c r="K10" s="56"/>
      <c r="L10" s="56"/>
      <c r="M10" s="56"/>
      <c r="N10" s="56"/>
      <c r="O10" s="56"/>
      <c r="P10" s="56">
        <v>0.4</v>
      </c>
      <c r="Q10" s="56">
        <v>0.4</v>
      </c>
      <c r="R10" s="58">
        <f>SUM(BE_NL16[[#This Row],[26M04]:[26M06]])</f>
        <v>0</v>
      </c>
      <c r="S10" s="58">
        <f>SUM(BE_NL16[[#This Row],[26M07]:[26M09]])</f>
        <v>0</v>
      </c>
      <c r="T10" s="105">
        <f>SUM(BE_NL16[[#This Row],[26M10]:[26M12]])</f>
        <v>0.8</v>
      </c>
      <c r="U10" s="152" t="str">
        <f>VLOOKUP(BE_NL16[[#This Row],[Product Line]],Prod_T6[],4,0)</f>
        <v>PV</v>
      </c>
      <c r="V10" s="73"/>
    </row>
    <row r="11" spans="1:22" ht="16.5">
      <c r="A11" s="59" t="s">
        <v>80</v>
      </c>
      <c r="B11" s="57" t="s">
        <v>127</v>
      </c>
      <c r="D11" s="47" t="s">
        <v>149</v>
      </c>
      <c r="E11" s="47" t="s">
        <v>433</v>
      </c>
      <c r="F11" s="182" t="s">
        <v>154</v>
      </c>
      <c r="G11" s="153" t="s">
        <v>151</v>
      </c>
      <c r="H11" s="60" t="s">
        <v>132</v>
      </c>
      <c r="I11" s="56"/>
      <c r="J11" s="56"/>
      <c r="K11" s="56"/>
      <c r="L11" s="56"/>
      <c r="M11" s="56"/>
      <c r="N11" s="56"/>
      <c r="O11" s="56">
        <v>0.4</v>
      </c>
      <c r="P11" s="56">
        <v>0.4</v>
      </c>
      <c r="Q11" s="56">
        <v>0.4</v>
      </c>
      <c r="R11" s="58">
        <f>SUM(BE_NL16[[#This Row],[26M04]:[26M06]])</f>
        <v>0</v>
      </c>
      <c r="S11" s="58">
        <f>SUM(BE_NL16[[#This Row],[26M07]:[26M09]])</f>
        <v>0</v>
      </c>
      <c r="T11" s="105">
        <f>SUM(BE_NL16[[#This Row],[26M10]:[26M12]])</f>
        <v>1.2000000000000002</v>
      </c>
      <c r="U11" s="152" t="str">
        <f>VLOOKUP(BE_NL16[[#This Row],[Product Line]],Prod_T6[],4,0)</f>
        <v>PV</v>
      </c>
      <c r="V11" s="73"/>
    </row>
    <row r="12" spans="1:22" ht="16.5">
      <c r="A12" s="59" t="s">
        <v>80</v>
      </c>
      <c r="B12" s="57" t="s">
        <v>127</v>
      </c>
      <c r="C12" s="48" t="s">
        <v>128</v>
      </c>
      <c r="D12" s="47" t="s">
        <v>54</v>
      </c>
      <c r="E12" s="47" t="s">
        <v>126</v>
      </c>
      <c r="F12" s="177" t="s">
        <v>156</v>
      </c>
      <c r="G12" s="106" t="s">
        <v>157</v>
      </c>
      <c r="H12" s="60" t="s">
        <v>132</v>
      </c>
      <c r="I12" s="56"/>
      <c r="J12" s="56"/>
      <c r="K12" s="56"/>
      <c r="L12" s="56"/>
      <c r="M12" s="56"/>
      <c r="N12" s="181">
        <v>5.7</v>
      </c>
      <c r="O12" s="56"/>
      <c r="P12" s="56"/>
      <c r="Q12" s="56"/>
      <c r="R12" s="58">
        <f>SUM(BE_NL16[[#This Row],[26M04]:[26M06]])</f>
        <v>0</v>
      </c>
      <c r="S12" s="58">
        <f>SUM(BE_NL16[[#This Row],[26M07]:[26M09]])</f>
        <v>5.7</v>
      </c>
      <c r="T12" s="105">
        <f>SUM(BE_NL16[[#This Row],[26M10]:[26M12]])</f>
        <v>0</v>
      </c>
      <c r="U12" s="85" t="str">
        <f>VLOOKUP(BE_NL16[[#This Row],[Product Line]],Prod_T6[],4,0)</f>
        <v>PV</v>
      </c>
      <c r="V12" s="73"/>
    </row>
    <row r="13" spans="1:22" ht="15.5">
      <c r="A13" s="59" t="s">
        <v>80</v>
      </c>
      <c r="B13" s="57" t="s">
        <v>127</v>
      </c>
      <c r="C13" s="48" t="s">
        <v>128</v>
      </c>
      <c r="D13" s="47" t="s">
        <v>54</v>
      </c>
      <c r="E13" s="47" t="s">
        <v>129</v>
      </c>
      <c r="F13" s="178" t="s">
        <v>634</v>
      </c>
      <c r="G13" s="47" t="s">
        <v>639</v>
      </c>
      <c r="H13" s="60" t="s">
        <v>132</v>
      </c>
      <c r="I13" s="56">
        <v>1.2</v>
      </c>
      <c r="J13" s="56">
        <v>1.2</v>
      </c>
      <c r="K13" s="56">
        <v>1.2</v>
      </c>
      <c r="L13" s="56"/>
      <c r="M13" s="56"/>
      <c r="N13" s="56"/>
      <c r="O13" s="56"/>
      <c r="P13" s="56"/>
      <c r="Q13" s="56"/>
      <c r="R13" s="58">
        <f>SUM(BE_NL16[[#This Row],[26M04]:[26M06]])</f>
        <v>3.5999999999999996</v>
      </c>
      <c r="S13" s="58">
        <f>SUM(BE_NL16[[#This Row],[26M07]:[26M09]])</f>
        <v>0</v>
      </c>
      <c r="T13" s="105">
        <f>SUM(BE_NL16[[#This Row],[26M10]:[26M12]])</f>
        <v>0</v>
      </c>
      <c r="U13" s="85" t="str">
        <f>VLOOKUP(BE_NL16[[#This Row],[Product Line]],Prod_T6[],4,0)</f>
        <v>PV</v>
      </c>
      <c r="V13" s="73"/>
    </row>
    <row r="14" spans="1:22" ht="15.5">
      <c r="A14" s="59" t="s">
        <v>80</v>
      </c>
      <c r="B14" s="57" t="s">
        <v>127</v>
      </c>
      <c r="C14" s="48" t="s">
        <v>128</v>
      </c>
      <c r="D14" s="47" t="s">
        <v>149</v>
      </c>
      <c r="E14" s="47" t="s">
        <v>289</v>
      </c>
      <c r="F14" s="178" t="s">
        <v>634</v>
      </c>
      <c r="G14" s="47" t="s">
        <v>639</v>
      </c>
      <c r="H14" s="60" t="s">
        <v>132</v>
      </c>
      <c r="I14" s="56"/>
      <c r="J14" s="56"/>
      <c r="K14" s="56"/>
      <c r="L14" s="56">
        <v>1.2</v>
      </c>
      <c r="M14" s="56">
        <v>1.2</v>
      </c>
      <c r="N14" s="56">
        <v>1.2</v>
      </c>
      <c r="O14" s="56"/>
      <c r="P14" s="56"/>
      <c r="Q14" s="56"/>
      <c r="R14" s="58">
        <f>SUM(BE_NL16[[#This Row],[26M04]:[26M06]])</f>
        <v>0</v>
      </c>
      <c r="S14" s="58">
        <f>SUM(BE_NL16[[#This Row],[26M07]:[26M09]])</f>
        <v>3.5999999999999996</v>
      </c>
      <c r="T14" s="105">
        <f>SUM(BE_NL16[[#This Row],[26M10]:[26M12]])</f>
        <v>0</v>
      </c>
      <c r="U14" s="85" t="str">
        <f>VLOOKUP(BE_NL16[[#This Row],[Product Line]],Prod_T6[],4,0)</f>
        <v>PV</v>
      </c>
      <c r="V14" s="73"/>
    </row>
    <row r="15" spans="1:22" ht="16.5">
      <c r="A15" s="59" t="s">
        <v>80</v>
      </c>
      <c r="B15" s="57" t="s">
        <v>127</v>
      </c>
      <c r="D15" s="47" t="s">
        <v>54</v>
      </c>
      <c r="E15" s="47" t="s">
        <v>160</v>
      </c>
      <c r="F15" s="176" t="s">
        <v>130</v>
      </c>
      <c r="G15" s="47" t="s">
        <v>161</v>
      </c>
      <c r="H15" s="60" t="s">
        <v>132</v>
      </c>
      <c r="I15" s="56"/>
      <c r="J15" s="56">
        <v>1.2</v>
      </c>
      <c r="K15" s="56">
        <v>1.2</v>
      </c>
      <c r="L15" s="56"/>
      <c r="M15" s="56"/>
      <c r="N15" s="56"/>
      <c r="O15" s="56"/>
      <c r="P15" s="56"/>
      <c r="Q15" s="56"/>
      <c r="R15" s="58">
        <f>SUM(BE_NL16[[#This Row],[26M04]:[26M06]])</f>
        <v>2.4</v>
      </c>
      <c r="S15" s="58">
        <f>SUM(BE_NL16[[#This Row],[26M07]:[26M09]])</f>
        <v>0</v>
      </c>
      <c r="T15" s="105">
        <f>SUM(BE_NL16[[#This Row],[26M10]:[26M12]])</f>
        <v>0</v>
      </c>
      <c r="U15" s="85" t="str">
        <f>VLOOKUP(BE_NL16[[#This Row],[Product Line]],Prod_T6[],4,0)</f>
        <v>PV</v>
      </c>
      <c r="V15" s="73"/>
    </row>
    <row r="16" spans="1:22" ht="16.5">
      <c r="A16" s="59" t="s">
        <v>80</v>
      </c>
      <c r="B16" s="57" t="s">
        <v>158</v>
      </c>
      <c r="C16" s="48" t="s">
        <v>128</v>
      </c>
      <c r="D16" s="47" t="s">
        <v>54</v>
      </c>
      <c r="E16" s="47" t="s">
        <v>159</v>
      </c>
      <c r="F16" s="176" t="s">
        <v>130</v>
      </c>
      <c r="G16" s="57" t="s">
        <v>146</v>
      </c>
      <c r="H16" s="60" t="s">
        <v>117</v>
      </c>
      <c r="I16" s="56">
        <v>0.42</v>
      </c>
      <c r="J16" s="56"/>
      <c r="K16" s="56"/>
      <c r="L16" s="56"/>
      <c r="M16" s="56"/>
      <c r="N16" s="56"/>
      <c r="O16" s="56"/>
      <c r="P16" s="56"/>
      <c r="Q16" s="56"/>
      <c r="R16" s="58">
        <f>SUM(BE_NL16[[#This Row],[26M04]:[26M06]])</f>
        <v>0.42</v>
      </c>
      <c r="S16" s="58">
        <f>SUM(BE_NL16[[#This Row],[26M07]:[26M09]])</f>
        <v>0</v>
      </c>
      <c r="T16" s="105">
        <f>SUM(BE_NL16[[#This Row],[26M10]:[26M12]])</f>
        <v>0</v>
      </c>
      <c r="U16" s="85" t="str">
        <f>VLOOKUP(BE_NL16[[#This Row],[Product Line]],Prod_T6[],4,0)</f>
        <v>PV</v>
      </c>
      <c r="V16" s="73"/>
    </row>
    <row r="17" spans="1:22" ht="16.5">
      <c r="A17" s="59" t="s">
        <v>80</v>
      </c>
      <c r="B17" s="57" t="s">
        <v>158</v>
      </c>
      <c r="D17" s="47" t="s">
        <v>149</v>
      </c>
      <c r="E17" s="47" t="s">
        <v>289</v>
      </c>
      <c r="F17" s="176" t="s">
        <v>130</v>
      </c>
      <c r="H17" s="60" t="s">
        <v>117</v>
      </c>
      <c r="I17" s="56"/>
      <c r="J17" s="56"/>
      <c r="K17" s="56"/>
      <c r="L17" s="56"/>
      <c r="M17" s="56"/>
      <c r="N17" s="56"/>
      <c r="O17" s="56"/>
      <c r="P17" s="56"/>
      <c r="Q17" s="56"/>
      <c r="R17" s="58">
        <f>SUM(BE_NL16[[#This Row],[26M04]:[26M06]])</f>
        <v>0</v>
      </c>
      <c r="S17" s="58">
        <f>SUM(BE_NL16[[#This Row],[26M07]:[26M09]])</f>
        <v>0</v>
      </c>
      <c r="T17" s="105">
        <f>SUM(BE_NL16[[#This Row],[26M10]:[26M12]])</f>
        <v>0</v>
      </c>
      <c r="U17" s="85" t="str">
        <f>VLOOKUP(BE_NL16[[#This Row],[Product Line]],Prod_T6[],4,0)</f>
        <v>PV</v>
      </c>
      <c r="V17" s="73"/>
    </row>
    <row r="18" spans="1:22" ht="16.5">
      <c r="A18" s="59" t="s">
        <v>86</v>
      </c>
      <c r="B18" s="57" t="s">
        <v>396</v>
      </c>
      <c r="C18" s="48" t="s">
        <v>138</v>
      </c>
      <c r="D18" s="47" t="s">
        <v>317</v>
      </c>
      <c r="E18" s="47" t="s">
        <v>318</v>
      </c>
      <c r="F18" s="176" t="s">
        <v>130</v>
      </c>
      <c r="G18" s="57" t="s">
        <v>397</v>
      </c>
      <c r="H18" s="60" t="s">
        <v>117</v>
      </c>
      <c r="I18" s="56">
        <v>0.45</v>
      </c>
      <c r="J18" s="56">
        <v>0.45</v>
      </c>
      <c r="K18" s="56">
        <v>0.45</v>
      </c>
      <c r="L18" s="56">
        <v>0.45</v>
      </c>
      <c r="M18" s="56"/>
      <c r="N18" s="56"/>
      <c r="O18" s="56"/>
      <c r="P18" s="56"/>
      <c r="Q18" s="56"/>
      <c r="R18" s="58">
        <f>SUM(BE_NL16[[#This Row],[26M04]:[26M06]])</f>
        <v>1.35</v>
      </c>
      <c r="S18" s="58">
        <f>SUM(BE_NL16[[#This Row],[26M07]:[26M09]])</f>
        <v>0.45</v>
      </c>
      <c r="T18" s="105">
        <f>SUM(BE_NL16[[#This Row],[26M10]:[26M12]])</f>
        <v>0</v>
      </c>
      <c r="U18" s="85" t="str">
        <f>VLOOKUP(BE_NL16[[#This Row],[Product Line]],Prod_T6[],4,0)</f>
        <v>PV</v>
      </c>
      <c r="V18" s="73"/>
    </row>
    <row r="19" spans="1:22" ht="15.5">
      <c r="A19" s="59" t="s">
        <v>86</v>
      </c>
      <c r="B19" s="57" t="s">
        <v>396</v>
      </c>
      <c r="D19" s="47" t="s">
        <v>149</v>
      </c>
      <c r="E19" s="47" t="s">
        <v>289</v>
      </c>
      <c r="F19" s="178" t="s">
        <v>634</v>
      </c>
      <c r="G19" s="106" t="s">
        <v>640</v>
      </c>
      <c r="H19" s="60" t="s">
        <v>117</v>
      </c>
      <c r="I19" s="56"/>
      <c r="J19" s="56"/>
      <c r="K19" s="56"/>
      <c r="L19" s="56"/>
      <c r="M19" s="56"/>
      <c r="N19" s="56"/>
      <c r="O19" s="56"/>
      <c r="P19" s="56"/>
      <c r="Q19" s="56"/>
      <c r="R19" s="58">
        <f>SUM(BE_NL16[[#This Row],[26M04]:[26M06]])</f>
        <v>0</v>
      </c>
      <c r="S19" s="58">
        <f>SUM(BE_NL16[[#This Row],[26M07]:[26M09]])</f>
        <v>0</v>
      </c>
      <c r="T19" s="105">
        <f>SUM(BE_NL16[[#This Row],[26M10]:[26M12]])</f>
        <v>0</v>
      </c>
      <c r="U19" s="85" t="str">
        <f>VLOOKUP(BE_NL16[[#This Row],[Product Line]],Prod_T6[],4,0)</f>
        <v>PV</v>
      </c>
      <c r="V19" s="73"/>
    </row>
    <row r="20" spans="1:22" ht="16.5">
      <c r="A20" s="59" t="s">
        <v>86</v>
      </c>
      <c r="B20" s="57" t="s">
        <v>390</v>
      </c>
      <c r="C20" s="48" t="s">
        <v>138</v>
      </c>
      <c r="D20" s="47" t="s">
        <v>317</v>
      </c>
      <c r="E20" s="47" t="s">
        <v>318</v>
      </c>
      <c r="F20" s="176" t="s">
        <v>130</v>
      </c>
      <c r="G20" s="57" t="s">
        <v>397</v>
      </c>
      <c r="H20" s="60" t="s">
        <v>117</v>
      </c>
      <c r="I20" s="56"/>
      <c r="J20" s="56"/>
      <c r="K20" s="56">
        <v>0.45</v>
      </c>
      <c r="L20" s="56">
        <v>0.45</v>
      </c>
      <c r="M20" s="56"/>
      <c r="N20" s="56"/>
      <c r="O20" s="56"/>
      <c r="P20" s="56"/>
      <c r="Q20" s="56"/>
      <c r="R20" s="58">
        <f>SUM(BE_NL16[[#This Row],[26M04]:[26M06]])</f>
        <v>0.45</v>
      </c>
      <c r="S20" s="58">
        <f>SUM(BE_NL16[[#This Row],[26M07]:[26M09]])</f>
        <v>0.45</v>
      </c>
      <c r="T20" s="105">
        <f>SUM(BE_NL16[[#This Row],[26M10]:[26M12]])</f>
        <v>0</v>
      </c>
      <c r="U20" s="85" t="str">
        <f>VLOOKUP(BE_NL16[[#This Row],[Product Line]],Prod_T6[],4,0)</f>
        <v>PV</v>
      </c>
      <c r="V20" s="73"/>
    </row>
    <row r="21" spans="1:22" ht="15.5">
      <c r="A21" s="59" t="s">
        <v>86</v>
      </c>
      <c r="B21" s="57" t="s">
        <v>390</v>
      </c>
      <c r="D21" s="47" t="s">
        <v>317</v>
      </c>
      <c r="E21" s="47" t="s">
        <v>641</v>
      </c>
      <c r="F21" s="178" t="s">
        <v>634</v>
      </c>
      <c r="G21" s="47" t="s">
        <v>642</v>
      </c>
      <c r="H21" s="60" t="s">
        <v>117</v>
      </c>
      <c r="I21" s="56"/>
      <c r="J21" s="56">
        <v>1.2</v>
      </c>
      <c r="K21" s="56"/>
      <c r="L21" s="56"/>
      <c r="M21" s="56"/>
      <c r="N21" s="56"/>
      <c r="O21" s="56"/>
      <c r="P21" s="56"/>
      <c r="Q21" s="56"/>
      <c r="R21" s="58">
        <f>SUM(BE_NL16[[#This Row],[26M04]:[26M06]])</f>
        <v>1.2</v>
      </c>
      <c r="S21" s="58">
        <f>SUM(BE_NL16[[#This Row],[26M07]:[26M09]])</f>
        <v>0</v>
      </c>
      <c r="T21" s="105">
        <f>SUM(BE_NL16[[#This Row],[26M10]:[26M12]])</f>
        <v>0</v>
      </c>
      <c r="U21" s="85" t="str">
        <f>VLOOKUP(BE_NL16[[#This Row],[Product Line]],Prod_T6[],4,0)</f>
        <v>PV</v>
      </c>
      <c r="V21" s="73"/>
    </row>
    <row r="22" spans="1:22" ht="18.75" customHeight="1">
      <c r="A22" s="59" t="s">
        <v>86</v>
      </c>
      <c r="B22" s="57" t="s">
        <v>390</v>
      </c>
      <c r="D22" s="47" t="s">
        <v>54</v>
      </c>
      <c r="E22" s="47" t="s">
        <v>129</v>
      </c>
      <c r="F22" s="177" t="s">
        <v>156</v>
      </c>
      <c r="G22" s="101" t="s">
        <v>398</v>
      </c>
      <c r="H22" s="60" t="s">
        <v>117</v>
      </c>
      <c r="I22" s="56">
        <v>0.4</v>
      </c>
      <c r="J22" s="56">
        <v>1.2</v>
      </c>
      <c r="K22" s="56">
        <v>1.2</v>
      </c>
      <c r="L22" s="56"/>
      <c r="M22" s="56"/>
      <c r="N22" s="56"/>
      <c r="O22" s="56"/>
      <c r="P22" s="56"/>
      <c r="Q22" s="56"/>
      <c r="R22" s="58">
        <f>SUM(BE_NL16[[#This Row],[26M04]:[26M06]])</f>
        <v>2.8</v>
      </c>
      <c r="S22" s="58">
        <f>SUM(BE_NL16[[#This Row],[26M07]:[26M09]])</f>
        <v>0</v>
      </c>
      <c r="T22" s="105">
        <f>SUM(BE_NL16[[#This Row],[26M10]:[26M12]])</f>
        <v>0</v>
      </c>
      <c r="U22" s="85" t="str">
        <f>VLOOKUP(BE_NL16[[#This Row],[Product Line]],Prod_T6[],4,0)</f>
        <v>PV</v>
      </c>
      <c r="V22" s="73"/>
    </row>
    <row r="23" spans="1:22" ht="16.5">
      <c r="A23" s="59" t="s">
        <v>86</v>
      </c>
      <c r="B23" s="57" t="s">
        <v>390</v>
      </c>
      <c r="D23" s="47" t="s">
        <v>149</v>
      </c>
      <c r="E23" s="47" t="s">
        <v>289</v>
      </c>
      <c r="F23" s="177" t="s">
        <v>136</v>
      </c>
      <c r="G23" s="153" t="s">
        <v>151</v>
      </c>
      <c r="H23" s="60" t="s">
        <v>117</v>
      </c>
      <c r="I23" s="56"/>
      <c r="J23" s="56"/>
      <c r="K23" s="56"/>
      <c r="L23" s="56"/>
      <c r="M23" s="56"/>
      <c r="N23" s="56">
        <v>1.2</v>
      </c>
      <c r="O23" s="56">
        <v>1.2</v>
      </c>
      <c r="P23" s="56">
        <v>1.2</v>
      </c>
      <c r="Q23" s="56">
        <v>1.2</v>
      </c>
      <c r="R23" s="58">
        <f>SUM(BE_NL16[[#This Row],[26M04]:[26M06]])</f>
        <v>0</v>
      </c>
      <c r="S23" s="58">
        <f>SUM(BE_NL16[[#This Row],[26M07]:[26M09]])</f>
        <v>1.2</v>
      </c>
      <c r="T23" s="105">
        <f>SUM(BE_NL16[[#This Row],[26M10]:[26M12]])</f>
        <v>3.5999999999999996</v>
      </c>
      <c r="U23" s="85" t="str">
        <f>VLOOKUP(BE_NL16[[#This Row],[Product Line]],Prod_T6[],4,0)</f>
        <v>PV</v>
      </c>
      <c r="V23" s="73"/>
    </row>
    <row r="24" spans="1:22" ht="16.5">
      <c r="A24" s="59" t="s">
        <v>86</v>
      </c>
      <c r="B24" s="57" t="s">
        <v>390</v>
      </c>
      <c r="D24" s="47" t="s">
        <v>113</v>
      </c>
      <c r="E24" s="47" t="s">
        <v>153</v>
      </c>
      <c r="F24" s="177" t="s">
        <v>136</v>
      </c>
      <c r="G24" s="153" t="s">
        <v>151</v>
      </c>
      <c r="H24" s="60" t="s">
        <v>117</v>
      </c>
      <c r="I24" s="56"/>
      <c r="J24" s="56"/>
      <c r="K24" s="56"/>
      <c r="L24" s="56"/>
      <c r="M24" s="56"/>
      <c r="N24" s="56"/>
      <c r="O24" s="56">
        <v>0.4</v>
      </c>
      <c r="P24" s="56">
        <v>0.4</v>
      </c>
      <c r="Q24" s="56">
        <v>0.4</v>
      </c>
      <c r="R24" s="58">
        <f>SUM(BE_NL16[[#This Row],[26M04]:[26M06]])</f>
        <v>0</v>
      </c>
      <c r="S24" s="58">
        <f>SUM(BE_NL16[[#This Row],[26M07]:[26M09]])</f>
        <v>0</v>
      </c>
      <c r="T24" s="105">
        <f>SUM(BE_NL16[[#This Row],[26M10]:[26M12]])</f>
        <v>1.2000000000000002</v>
      </c>
      <c r="U24" s="152" t="str">
        <f>VLOOKUP(BE_NL16[[#This Row],[Product Line]],Prod_T6[],4,0)</f>
        <v>PV</v>
      </c>
      <c r="V24" s="73"/>
    </row>
    <row r="25" spans="1:22" ht="15.5">
      <c r="A25" s="59" t="s">
        <v>86</v>
      </c>
      <c r="B25" s="57" t="s">
        <v>390</v>
      </c>
      <c r="D25" s="47" t="s">
        <v>54</v>
      </c>
      <c r="E25" s="47" t="s">
        <v>126</v>
      </c>
      <c r="F25" s="178" t="s">
        <v>634</v>
      </c>
      <c r="G25" s="47" t="s">
        <v>643</v>
      </c>
      <c r="H25" s="60" t="s">
        <v>117</v>
      </c>
      <c r="I25" s="56"/>
      <c r="J25" s="56"/>
      <c r="K25" s="56"/>
      <c r="L25" s="56"/>
      <c r="M25" s="56">
        <v>3.25</v>
      </c>
      <c r="N25" s="56">
        <v>3.25</v>
      </c>
      <c r="O25" s="56"/>
      <c r="P25" s="56"/>
      <c r="Q25" s="56"/>
      <c r="R25" s="58">
        <f>SUM(BE_NL16[[#This Row],[26M04]:[26M06]])</f>
        <v>0</v>
      </c>
      <c r="S25" s="58">
        <f>SUM(BE_NL16[[#This Row],[26M07]:[26M09]])</f>
        <v>6.5</v>
      </c>
      <c r="T25" s="105">
        <f>SUM(BE_NL16[[#This Row],[26M10]:[26M12]])</f>
        <v>0</v>
      </c>
      <c r="U25" s="85" t="str">
        <f>VLOOKUP(BE_NL16[[#This Row],[Product Line]],Prod_T6[],4,0)</f>
        <v>PV</v>
      </c>
      <c r="V25" s="73"/>
    </row>
    <row r="26" spans="1:22" ht="16.5">
      <c r="A26" s="59" t="s">
        <v>86</v>
      </c>
      <c r="B26" s="57" t="s">
        <v>390</v>
      </c>
      <c r="D26" s="47" t="s">
        <v>54</v>
      </c>
      <c r="E26" s="47" t="s">
        <v>166</v>
      </c>
      <c r="F26" s="177" t="s">
        <v>634</v>
      </c>
      <c r="G26" s="47" t="s">
        <v>644</v>
      </c>
      <c r="H26" s="60" t="s">
        <v>117</v>
      </c>
      <c r="I26" s="56"/>
      <c r="J26" s="56">
        <v>0.42</v>
      </c>
      <c r="K26" s="56"/>
      <c r="L26" s="56"/>
      <c r="M26" s="56"/>
      <c r="N26" s="56"/>
      <c r="O26" s="56"/>
      <c r="P26" s="56"/>
      <c r="Q26" s="56"/>
      <c r="R26" s="58">
        <f>SUM(BE_NL16[[#This Row],[26M04]:[26M06]])</f>
        <v>0.42</v>
      </c>
      <c r="S26" s="58">
        <f>SUM(BE_NL16[[#This Row],[26M07]:[26M09]])</f>
        <v>0</v>
      </c>
      <c r="T26" s="105">
        <f>SUM(BE_NL16[[#This Row],[26M10]:[26M12]])</f>
        <v>0</v>
      </c>
      <c r="U26" s="85" t="str">
        <f>VLOOKUP(BE_NL16[[#This Row],[Product Line]],Prod_T6[],4,0)</f>
        <v>PV</v>
      </c>
      <c r="V26" s="73"/>
    </row>
    <row r="27" spans="1:22" ht="16.5">
      <c r="A27" s="59" t="s">
        <v>80</v>
      </c>
      <c r="B27" s="57" t="s">
        <v>140</v>
      </c>
      <c r="D27" s="47" t="s">
        <v>149</v>
      </c>
      <c r="E27" s="47" t="s">
        <v>289</v>
      </c>
      <c r="F27" s="177" t="s">
        <v>136</v>
      </c>
      <c r="G27" s="153" t="s">
        <v>151</v>
      </c>
      <c r="H27" s="60" t="s">
        <v>117</v>
      </c>
      <c r="I27" s="56"/>
      <c r="J27" s="56"/>
      <c r="K27" s="56"/>
      <c r="L27" s="56"/>
      <c r="M27" s="56"/>
      <c r="N27" s="56">
        <v>0.8</v>
      </c>
      <c r="O27" s="56">
        <v>0.8</v>
      </c>
      <c r="P27" s="56">
        <v>0.8</v>
      </c>
      <c r="Q27" s="56">
        <v>0.8</v>
      </c>
      <c r="R27" s="58">
        <f>SUM(BE_NL16[[#This Row],[26M04]:[26M06]])</f>
        <v>0</v>
      </c>
      <c r="S27" s="58">
        <f>SUM(BE_NL16[[#This Row],[26M07]:[26M09]])</f>
        <v>0.8</v>
      </c>
      <c r="T27" s="105">
        <f>SUM(BE_NL16[[#This Row],[26M10]:[26M12]])</f>
        <v>2.4000000000000004</v>
      </c>
      <c r="U27" s="85" t="str">
        <f>VLOOKUP(BE_NL16[[#This Row],[Product Line]],Prod_T6[],4,0)</f>
        <v>PV</v>
      </c>
      <c r="V27" s="73"/>
    </row>
    <row r="28" spans="1:22" ht="16.5">
      <c r="A28" s="59" t="s">
        <v>80</v>
      </c>
      <c r="B28" s="57" t="s">
        <v>140</v>
      </c>
      <c r="D28" s="47" t="s">
        <v>113</v>
      </c>
      <c r="E28" s="47" t="s">
        <v>153</v>
      </c>
      <c r="F28" s="177" t="s">
        <v>136</v>
      </c>
      <c r="G28" s="153" t="s">
        <v>151</v>
      </c>
      <c r="H28" s="60" t="s">
        <v>117</v>
      </c>
      <c r="I28" s="56"/>
      <c r="J28" s="56"/>
      <c r="K28" s="56"/>
      <c r="L28" s="56"/>
      <c r="M28" s="56"/>
      <c r="N28" s="56">
        <v>0.4</v>
      </c>
      <c r="O28" s="56">
        <v>0.4</v>
      </c>
      <c r="P28" s="56">
        <v>0.4</v>
      </c>
      <c r="Q28" s="56">
        <v>0.4</v>
      </c>
      <c r="R28" s="58">
        <f>SUM(BE_NL16[[#This Row],[26M04]:[26M06]])</f>
        <v>0</v>
      </c>
      <c r="S28" s="58">
        <f>SUM(BE_NL16[[#This Row],[26M07]:[26M09]])</f>
        <v>0.4</v>
      </c>
      <c r="T28" s="105">
        <f>SUM(BE_NL16[[#This Row],[26M10]:[26M12]])</f>
        <v>1.2000000000000002</v>
      </c>
      <c r="U28" s="152" t="str">
        <f>VLOOKUP(BE_NL16[[#This Row],[Product Line]],Prod_T6[],4,0)</f>
        <v>PV</v>
      </c>
      <c r="V28" s="73"/>
    </row>
    <row r="29" spans="1:22" ht="16.5">
      <c r="A29" s="59" t="s">
        <v>80</v>
      </c>
      <c r="B29" s="57" t="s">
        <v>140</v>
      </c>
      <c r="D29" s="47" t="s">
        <v>134</v>
      </c>
      <c r="E29" s="47" t="s">
        <v>135</v>
      </c>
      <c r="F29" s="177" t="s">
        <v>136</v>
      </c>
      <c r="G29" s="153" t="s">
        <v>151</v>
      </c>
      <c r="H29" s="60" t="s">
        <v>117</v>
      </c>
      <c r="I29" s="56"/>
      <c r="J29" s="56"/>
      <c r="K29" s="56"/>
      <c r="L29" s="56"/>
      <c r="M29" s="56"/>
      <c r="N29" s="56">
        <v>1</v>
      </c>
      <c r="O29" s="56"/>
      <c r="P29" s="56"/>
      <c r="Q29" s="56"/>
      <c r="R29" s="58">
        <f>SUM(BE_NL16[[#This Row],[26M04]:[26M06]])</f>
        <v>0</v>
      </c>
      <c r="S29" s="58">
        <f>SUM(BE_NL16[[#This Row],[26M07]:[26M09]])</f>
        <v>1</v>
      </c>
      <c r="T29" s="105">
        <f>SUM(BE_NL16[[#This Row],[26M10]:[26M12]])</f>
        <v>0</v>
      </c>
      <c r="U29" s="152" t="str">
        <f>VLOOKUP(BE_NL16[[#This Row],[Product Line]],Prod_T6[],4,0)</f>
        <v>PV</v>
      </c>
      <c r="V29" s="73"/>
    </row>
    <row r="30" spans="1:22" ht="16.5">
      <c r="A30" s="59" t="s">
        <v>80</v>
      </c>
      <c r="B30" s="57" t="s">
        <v>133</v>
      </c>
      <c r="C30" s="48" t="s">
        <v>138</v>
      </c>
      <c r="D30" s="47" t="s">
        <v>118</v>
      </c>
      <c r="E30" s="47" t="s">
        <v>145</v>
      </c>
      <c r="F30" s="177" t="s">
        <v>130</v>
      </c>
      <c r="G30" s="57" t="s">
        <v>146</v>
      </c>
      <c r="H30" s="60" t="s">
        <v>117</v>
      </c>
      <c r="I30" s="56">
        <v>0.42</v>
      </c>
      <c r="J30" s="56">
        <v>0.42</v>
      </c>
      <c r="K30" s="56">
        <v>0.42</v>
      </c>
      <c r="L30" s="56">
        <v>0.42</v>
      </c>
      <c r="M30" s="56"/>
      <c r="N30" s="56">
        <v>0.42</v>
      </c>
      <c r="O30" s="56"/>
      <c r="P30" s="56"/>
      <c r="Q30" s="56"/>
      <c r="R30" s="58">
        <f>SUM(BE_NL16[[#This Row],[26M04]:[26M06]])</f>
        <v>1.26</v>
      </c>
      <c r="S30" s="58">
        <f>SUM(BE_NL16[[#This Row],[26M07]:[26M09]])</f>
        <v>0.84</v>
      </c>
      <c r="T30" s="105">
        <f>SUM(BE_NL16[[#This Row],[26M10]:[26M12]])</f>
        <v>0</v>
      </c>
      <c r="U30" s="85" t="str">
        <f>VLOOKUP(BE_NL16[[#This Row],[Product Line]],Prod_T6[],4,0)</f>
        <v>PV</v>
      </c>
      <c r="V30" s="73"/>
    </row>
    <row r="31" spans="1:22" ht="16.5">
      <c r="A31" s="59" t="s">
        <v>80</v>
      </c>
      <c r="B31" s="57" t="s">
        <v>133</v>
      </c>
      <c r="D31" s="47" t="s">
        <v>134</v>
      </c>
      <c r="E31" s="47" t="s">
        <v>135</v>
      </c>
      <c r="F31" s="177" t="s">
        <v>136</v>
      </c>
      <c r="H31" s="60" t="s">
        <v>117</v>
      </c>
      <c r="I31" s="56"/>
      <c r="J31" s="56"/>
      <c r="K31" s="56"/>
      <c r="L31" s="56"/>
      <c r="M31" s="56"/>
      <c r="N31" s="56"/>
      <c r="O31" s="56"/>
      <c r="P31" s="56">
        <v>0.9</v>
      </c>
      <c r="Q31" s="56">
        <v>0.9</v>
      </c>
      <c r="R31" s="58">
        <f>SUM(BE_NL16[[#This Row],[26M04]:[26M06]])</f>
        <v>0</v>
      </c>
      <c r="S31" s="58">
        <f>SUM(BE_NL16[[#This Row],[26M07]:[26M09]])</f>
        <v>0</v>
      </c>
      <c r="T31" s="105">
        <f>SUM(BE_NL16[[#This Row],[26M10]:[26M12]])</f>
        <v>1.8</v>
      </c>
      <c r="U31" s="152" t="str">
        <f>VLOOKUP(BE_NL16[[#This Row],[Product Line]],Prod_T6[],4,0)</f>
        <v>PV</v>
      </c>
      <c r="V31" s="73"/>
    </row>
    <row r="32" spans="1:22" ht="16.5">
      <c r="A32" s="59" t="s">
        <v>80</v>
      </c>
      <c r="B32" s="57" t="s">
        <v>137</v>
      </c>
      <c r="C32" s="48" t="s">
        <v>138</v>
      </c>
      <c r="D32" s="47" t="s">
        <v>118</v>
      </c>
      <c r="E32" s="47" t="s">
        <v>119</v>
      </c>
      <c r="F32" s="177" t="s">
        <v>130</v>
      </c>
      <c r="G32" s="57"/>
      <c r="H32" s="60" t="s">
        <v>117</v>
      </c>
      <c r="I32" s="56"/>
      <c r="J32" s="56">
        <v>0.1</v>
      </c>
      <c r="K32" s="56"/>
      <c r="L32" s="56">
        <v>0.1</v>
      </c>
      <c r="M32" s="56">
        <v>0.1</v>
      </c>
      <c r="N32" s="56">
        <v>0.1</v>
      </c>
      <c r="O32" s="56"/>
      <c r="P32" s="56"/>
      <c r="Q32" s="56"/>
      <c r="R32" s="58">
        <f>SUM(BE_NL16[[#This Row],[26M04]:[26M06]])</f>
        <v>0.1</v>
      </c>
      <c r="S32" s="58">
        <f>SUM(BE_NL16[[#This Row],[26M07]:[26M09]])</f>
        <v>0.30000000000000004</v>
      </c>
      <c r="T32" s="105">
        <f>SUM(BE_NL16[[#This Row],[26M10]:[26M12]])</f>
        <v>0</v>
      </c>
      <c r="U32" s="85" t="str">
        <f>VLOOKUP(BE_NL16[[#This Row],[Product Line]],Prod_T6[],4,0)</f>
        <v>PV</v>
      </c>
      <c r="V32" s="73"/>
    </row>
    <row r="33" spans="1:22" ht="16.5">
      <c r="A33" s="59" t="s">
        <v>80</v>
      </c>
      <c r="B33" s="57" t="s">
        <v>139</v>
      </c>
      <c r="D33" s="47" t="s">
        <v>134</v>
      </c>
      <c r="E33" s="47" t="s">
        <v>135</v>
      </c>
      <c r="F33" s="177" t="s">
        <v>136</v>
      </c>
      <c r="H33" s="60" t="s">
        <v>117</v>
      </c>
      <c r="I33" s="56"/>
      <c r="J33" s="56"/>
      <c r="K33" s="56"/>
      <c r="L33" s="56"/>
      <c r="M33" s="56"/>
      <c r="N33" s="56"/>
      <c r="O33" s="56">
        <v>0.2</v>
      </c>
      <c r="P33" s="56">
        <v>0.2</v>
      </c>
      <c r="Q33" s="56">
        <v>0.2</v>
      </c>
      <c r="R33" s="58">
        <f>SUM(BE_NL16[[#This Row],[26M04]:[26M06]])</f>
        <v>0</v>
      </c>
      <c r="S33" s="58">
        <f>SUM(BE_NL16[[#This Row],[26M07]:[26M09]])</f>
        <v>0</v>
      </c>
      <c r="T33" s="105">
        <f>SUM(BE_NL16[[#This Row],[26M10]:[26M12]])</f>
        <v>0.60000000000000009</v>
      </c>
      <c r="U33" s="152" t="str">
        <f>VLOOKUP(BE_NL16[[#This Row],[Product Line]],Prod_T6[],4,0)</f>
        <v>PV</v>
      </c>
      <c r="V33" s="73"/>
    </row>
    <row r="34" spans="1:22" ht="16.5">
      <c r="A34" s="59" t="s">
        <v>80</v>
      </c>
      <c r="B34" s="57" t="s">
        <v>143</v>
      </c>
      <c r="C34" s="48" t="s">
        <v>138</v>
      </c>
      <c r="D34" s="47" t="s">
        <v>118</v>
      </c>
      <c r="E34" s="47" t="s">
        <v>119</v>
      </c>
      <c r="F34" s="177" t="s">
        <v>130</v>
      </c>
      <c r="G34" s="57"/>
      <c r="H34" s="60" t="s">
        <v>117</v>
      </c>
      <c r="I34" s="56"/>
      <c r="J34" s="56">
        <v>0.1</v>
      </c>
      <c r="K34" s="56"/>
      <c r="L34" s="56">
        <v>0.1</v>
      </c>
      <c r="M34" s="56"/>
      <c r="N34" s="56">
        <v>0.1</v>
      </c>
      <c r="O34" s="56"/>
      <c r="P34" s="56">
        <v>0.1</v>
      </c>
      <c r="Q34" s="56"/>
      <c r="R34" s="58">
        <f>SUM(BE_NL16[[#This Row],[26M04]:[26M06]])</f>
        <v>0.1</v>
      </c>
      <c r="S34" s="58">
        <f>SUM(BE_NL16[[#This Row],[26M07]:[26M09]])</f>
        <v>0.2</v>
      </c>
      <c r="T34" s="105">
        <f>SUM(BE_NL16[[#This Row],[26M10]:[26M12]])</f>
        <v>0.1</v>
      </c>
      <c r="U34" s="85" t="str">
        <f>VLOOKUP(BE_NL16[[#This Row],[Product Line]],Prod_T6[],4,0)</f>
        <v>PV</v>
      </c>
      <c r="V34" s="73"/>
    </row>
    <row r="35" spans="1:22" ht="16.5">
      <c r="A35" s="59" t="s">
        <v>80</v>
      </c>
      <c r="B35" s="57" t="s">
        <v>143</v>
      </c>
      <c r="D35" s="47" t="s">
        <v>113</v>
      </c>
      <c r="E35" s="47" t="s">
        <v>135</v>
      </c>
      <c r="F35" s="177" t="s">
        <v>136</v>
      </c>
      <c r="H35" s="60" t="s">
        <v>117</v>
      </c>
      <c r="I35" s="56"/>
      <c r="J35" s="56"/>
      <c r="K35" s="56"/>
      <c r="L35" s="56"/>
      <c r="M35" s="56"/>
      <c r="N35" s="56"/>
      <c r="O35" s="56">
        <v>0.1</v>
      </c>
      <c r="P35" s="56">
        <v>0.1</v>
      </c>
      <c r="Q35" s="56">
        <v>0.1</v>
      </c>
      <c r="R35" s="58">
        <f>SUM(BE_NL16[[#This Row],[26M04]:[26M06]])</f>
        <v>0</v>
      </c>
      <c r="S35" s="58">
        <f>SUM(BE_NL16[[#This Row],[26M07]:[26M09]])</f>
        <v>0</v>
      </c>
      <c r="T35" s="105">
        <f>SUM(BE_NL16[[#This Row],[26M10]:[26M12]])</f>
        <v>0.30000000000000004</v>
      </c>
      <c r="U35" s="152" t="str">
        <f>VLOOKUP(BE_NL16[[#This Row],[Product Line]],Prod_T6[],4,0)</f>
        <v>PV</v>
      </c>
      <c r="V35" s="73"/>
    </row>
    <row r="36" spans="1:22" ht="16.5">
      <c r="A36" s="59" t="s">
        <v>80</v>
      </c>
      <c r="B36" s="57" t="s">
        <v>144</v>
      </c>
      <c r="C36" s="48" t="s">
        <v>128</v>
      </c>
      <c r="D36" s="47" t="s">
        <v>118</v>
      </c>
      <c r="E36" s="47" t="s">
        <v>119</v>
      </c>
      <c r="F36" s="177" t="s">
        <v>130</v>
      </c>
      <c r="G36" s="57"/>
      <c r="H36" s="60" t="s">
        <v>117</v>
      </c>
      <c r="I36" s="56"/>
      <c r="J36" s="56">
        <v>0.1</v>
      </c>
      <c r="K36" s="56"/>
      <c r="L36" s="56">
        <v>0.1</v>
      </c>
      <c r="M36" s="56"/>
      <c r="N36" s="56">
        <v>0.1</v>
      </c>
      <c r="O36" s="56"/>
      <c r="P36" s="56"/>
      <c r="Q36" s="56"/>
      <c r="R36" s="58">
        <f>SUM(BE_NL16[[#This Row],[26M04]:[26M06]])</f>
        <v>0.1</v>
      </c>
      <c r="S36" s="58">
        <f>SUM(BE_NL16[[#This Row],[26M07]:[26M09]])</f>
        <v>0.2</v>
      </c>
      <c r="T36" s="105">
        <f>SUM(BE_NL16[[#This Row],[26M10]:[26M12]])</f>
        <v>0</v>
      </c>
      <c r="U36" s="85" t="str">
        <f>VLOOKUP(BE_NL16[[#This Row],[Product Line]],Prod_T6[],4,0)</f>
        <v>PV</v>
      </c>
      <c r="V36" s="73"/>
    </row>
    <row r="37" spans="1:22" ht="16.5">
      <c r="A37" s="59" t="s">
        <v>80</v>
      </c>
      <c r="B37" s="57" t="s">
        <v>144</v>
      </c>
      <c r="D37" s="47" t="s">
        <v>134</v>
      </c>
      <c r="E37" s="47" t="s">
        <v>135</v>
      </c>
      <c r="F37" s="177" t="s">
        <v>136</v>
      </c>
      <c r="H37" s="60" t="s">
        <v>117</v>
      </c>
      <c r="I37" s="56"/>
      <c r="J37" s="56"/>
      <c r="K37" s="56"/>
      <c r="L37" s="56"/>
      <c r="M37" s="56"/>
      <c r="N37" s="56"/>
      <c r="O37" s="56">
        <v>0.1</v>
      </c>
      <c r="P37" s="56">
        <v>0.1</v>
      </c>
      <c r="Q37" s="56">
        <v>0.1</v>
      </c>
      <c r="R37" s="58">
        <f>SUM(BE_NL16[[#This Row],[26M04]:[26M06]])</f>
        <v>0</v>
      </c>
      <c r="S37" s="58">
        <f>SUM(BE_NL16[[#This Row],[26M07]:[26M09]])</f>
        <v>0</v>
      </c>
      <c r="T37" s="105">
        <f>SUM(BE_NL16[[#This Row],[26M10]:[26M12]])</f>
        <v>0.30000000000000004</v>
      </c>
      <c r="U37" s="152" t="str">
        <f>VLOOKUP(BE_NL16[[#This Row],[Product Line]],Prod_T6[],4,0)</f>
        <v>PV</v>
      </c>
      <c r="V37" s="73"/>
    </row>
    <row r="38" spans="1:22" ht="16.5">
      <c r="A38" s="59" t="s">
        <v>80</v>
      </c>
      <c r="B38" s="57" t="s">
        <v>147</v>
      </c>
      <c r="D38" s="47" t="s">
        <v>118</v>
      </c>
      <c r="E38" s="47" t="s">
        <v>119</v>
      </c>
      <c r="F38" s="177" t="s">
        <v>130</v>
      </c>
      <c r="H38" s="60" t="s">
        <v>117</v>
      </c>
      <c r="I38" s="56"/>
      <c r="J38" s="56">
        <v>0.2</v>
      </c>
      <c r="K38" s="56"/>
      <c r="L38" s="56">
        <v>0.2</v>
      </c>
      <c r="M38" s="56"/>
      <c r="N38" s="56">
        <v>0.2</v>
      </c>
      <c r="O38" s="56"/>
      <c r="P38" s="56"/>
      <c r="Q38" s="56"/>
      <c r="R38" s="58">
        <f>SUM(BE_NL16[[#This Row],[26M04]:[26M06]])</f>
        <v>0.2</v>
      </c>
      <c r="S38" s="58">
        <f>SUM(BE_NL16[[#This Row],[26M07]:[26M09]])</f>
        <v>0.4</v>
      </c>
      <c r="T38" s="105">
        <f>SUM(BE_NL16[[#This Row],[26M10]:[26M12]])</f>
        <v>0</v>
      </c>
      <c r="U38" s="85" t="str">
        <f>VLOOKUP(BE_NL16[[#This Row],[Product Line]],Prod_T6[],4,0)</f>
        <v>PV</v>
      </c>
      <c r="V38" s="73"/>
    </row>
    <row r="39" spans="1:22" ht="16.5">
      <c r="A39" s="59" t="s">
        <v>80</v>
      </c>
      <c r="B39" s="57" t="s">
        <v>147</v>
      </c>
      <c r="D39" s="47" t="s">
        <v>134</v>
      </c>
      <c r="E39" s="47" t="s">
        <v>135</v>
      </c>
      <c r="F39" s="177" t="s">
        <v>130</v>
      </c>
      <c r="H39" s="60" t="s">
        <v>117</v>
      </c>
      <c r="I39" s="56"/>
      <c r="J39" s="56"/>
      <c r="K39" s="56"/>
      <c r="L39" s="56"/>
      <c r="M39" s="56"/>
      <c r="N39" s="56"/>
      <c r="O39" s="56">
        <v>0.2</v>
      </c>
      <c r="P39" s="56">
        <v>0.2</v>
      </c>
      <c r="Q39" s="56">
        <v>0.2</v>
      </c>
      <c r="R39" s="58">
        <f>SUM(BE_NL16[[#This Row],[26M04]:[26M06]])</f>
        <v>0</v>
      </c>
      <c r="S39" s="58">
        <f>SUM(BE_NL16[[#This Row],[26M07]:[26M09]])</f>
        <v>0</v>
      </c>
      <c r="T39" s="105">
        <f>SUM(BE_NL16[[#This Row],[26M10]:[26M12]])</f>
        <v>0.60000000000000009</v>
      </c>
      <c r="U39" s="152" t="str">
        <f>VLOOKUP(BE_NL16[[#This Row],[Product Line]],Prod_T6[],4,0)</f>
        <v>PV</v>
      </c>
      <c r="V39" s="73"/>
    </row>
    <row r="40" spans="1:22" ht="16.5">
      <c r="A40" s="59" t="s">
        <v>80</v>
      </c>
      <c r="B40" s="57" t="s">
        <v>148</v>
      </c>
      <c r="D40" s="47" t="s">
        <v>149</v>
      </c>
      <c r="E40" s="47" t="s">
        <v>1238</v>
      </c>
      <c r="F40" s="177" t="s">
        <v>115</v>
      </c>
      <c r="H40" s="60" t="s">
        <v>117</v>
      </c>
      <c r="I40" s="56"/>
      <c r="J40" s="56"/>
      <c r="K40" s="56"/>
      <c r="L40" s="56"/>
      <c r="M40" s="56"/>
      <c r="N40" s="56"/>
      <c r="O40" s="56">
        <v>0.9</v>
      </c>
      <c r="P40" s="56">
        <v>0.9</v>
      </c>
      <c r="Q40" s="56">
        <v>0.9</v>
      </c>
      <c r="R40" s="58">
        <f>SUM(BE_NL16[[#This Row],[26M04]:[26M06]])</f>
        <v>0</v>
      </c>
      <c r="S40" s="58">
        <f>SUM(BE_NL16[[#This Row],[26M07]:[26M09]])</f>
        <v>0</v>
      </c>
      <c r="T40" s="105">
        <f>SUM(BE_NL16[[#This Row],[26M10]:[26M12]])</f>
        <v>2.7</v>
      </c>
      <c r="U40" s="85" t="str">
        <f>VLOOKUP(BE_NL16[[#This Row],[Product Line]],Prod_T6[],4,0)</f>
        <v>PV</v>
      </c>
      <c r="V40" s="73"/>
    </row>
    <row r="41" spans="1:22" ht="16.5">
      <c r="A41" s="59" t="s">
        <v>80</v>
      </c>
      <c r="B41" s="57" t="s">
        <v>148</v>
      </c>
      <c r="D41" s="47" t="s">
        <v>113</v>
      </c>
      <c r="E41" s="47" t="s">
        <v>135</v>
      </c>
      <c r="F41" s="177" t="s">
        <v>136</v>
      </c>
      <c r="H41" s="60" t="s">
        <v>117</v>
      </c>
      <c r="I41" s="56"/>
      <c r="J41" s="56"/>
      <c r="K41" s="56"/>
      <c r="L41" s="56"/>
      <c r="M41" s="56"/>
      <c r="N41" s="56">
        <v>0.9</v>
      </c>
      <c r="O41" s="56">
        <v>0.9</v>
      </c>
      <c r="P41" s="56">
        <v>0.9</v>
      </c>
      <c r="Q41" s="56">
        <v>0.9</v>
      </c>
      <c r="R41" s="58">
        <f>SUM(BE_NL16[[#This Row],[26M04]:[26M06]])</f>
        <v>0</v>
      </c>
      <c r="S41" s="58">
        <f>SUM(BE_NL16[[#This Row],[26M07]:[26M09]])</f>
        <v>0.9</v>
      </c>
      <c r="T41" s="105">
        <f>SUM(BE_NL16[[#This Row],[26M10]:[26M12]])</f>
        <v>2.7</v>
      </c>
      <c r="U41" s="152" t="str">
        <f>VLOOKUP(BE_NL16[[#This Row],[Product Line]],Prod_T6[],4,0)</f>
        <v>PV</v>
      </c>
      <c r="V41" s="73"/>
    </row>
    <row r="42" spans="1:22" ht="16.5">
      <c r="A42" s="59" t="s">
        <v>86</v>
      </c>
      <c r="B42" s="57" t="s">
        <v>392</v>
      </c>
      <c r="C42" s="48" t="s">
        <v>393</v>
      </c>
      <c r="D42" s="47" t="s">
        <v>118</v>
      </c>
      <c r="E42" s="47" t="s">
        <v>255</v>
      </c>
      <c r="F42" s="177" t="s">
        <v>130</v>
      </c>
      <c r="G42" s="57"/>
      <c r="H42" s="60" t="s">
        <v>117</v>
      </c>
      <c r="I42" s="56"/>
      <c r="J42" s="56">
        <v>0.4</v>
      </c>
      <c r="K42" s="56"/>
      <c r="L42" s="56"/>
      <c r="M42" s="56"/>
      <c r="N42" s="56"/>
      <c r="O42" s="56"/>
      <c r="P42" s="56"/>
      <c r="Q42" s="56"/>
      <c r="R42" s="58">
        <f>SUM(BE_NL16[[#This Row],[26M04]:[26M06]])</f>
        <v>0.4</v>
      </c>
      <c r="S42" s="58">
        <f>SUM(BE_NL16[[#This Row],[26M07]:[26M09]])</f>
        <v>0</v>
      </c>
      <c r="T42" s="105">
        <f>SUM(BE_NL16[[#This Row],[26M10]:[26M12]])</f>
        <v>0</v>
      </c>
      <c r="U42" s="85" t="str">
        <f>VLOOKUP(BE_NL16[[#This Row],[Product Line]],Prod_T6[],4,0)</f>
        <v>PV</v>
      </c>
      <c r="V42" s="73"/>
    </row>
    <row r="43" spans="1:22" ht="16.5">
      <c r="A43" s="59" t="s">
        <v>86</v>
      </c>
      <c r="B43" s="57" t="s">
        <v>392</v>
      </c>
      <c r="C43" s="48" t="s">
        <v>393</v>
      </c>
      <c r="D43" s="47" t="s">
        <v>149</v>
      </c>
      <c r="E43" s="47" t="s">
        <v>433</v>
      </c>
      <c r="F43" s="177" t="s">
        <v>115</v>
      </c>
      <c r="G43" s="57"/>
      <c r="H43" s="60" t="s">
        <v>117</v>
      </c>
      <c r="I43" s="56"/>
      <c r="J43" s="56"/>
      <c r="K43" s="56"/>
      <c r="L43" s="56"/>
      <c r="M43" s="56">
        <v>0.82</v>
      </c>
      <c r="N43" s="56"/>
      <c r="O43" s="56"/>
      <c r="P43" s="56"/>
      <c r="Q43" s="56"/>
      <c r="R43" s="58">
        <f>SUM(BE_NL16[[#This Row],[26M04]:[26M06]])</f>
        <v>0</v>
      </c>
      <c r="S43" s="58">
        <f>SUM(BE_NL16[[#This Row],[26M07]:[26M09]])</f>
        <v>0.82</v>
      </c>
      <c r="T43" s="105">
        <f>SUM(BE_NL16[[#This Row],[26M10]:[26M12]])</f>
        <v>0</v>
      </c>
      <c r="U43" s="85" t="str">
        <f>VLOOKUP(BE_NL16[[#This Row],[Product Line]],Prod_T6[],4,0)</f>
        <v>PV</v>
      </c>
      <c r="V43" s="73"/>
    </row>
    <row r="44" spans="1:22" ht="16.5">
      <c r="A44" s="59" t="s">
        <v>86</v>
      </c>
      <c r="B44" s="57" t="s">
        <v>645</v>
      </c>
      <c r="D44" s="47" t="s">
        <v>317</v>
      </c>
      <c r="E44" s="47" t="s">
        <v>318</v>
      </c>
      <c r="F44" s="177" t="s">
        <v>634</v>
      </c>
      <c r="G44" s="153" t="s">
        <v>646</v>
      </c>
      <c r="H44" s="60" t="s">
        <v>117</v>
      </c>
      <c r="I44" s="56"/>
      <c r="J44" s="56"/>
      <c r="K44" s="56"/>
      <c r="L44" s="56">
        <v>1</v>
      </c>
      <c r="M44" s="56"/>
      <c r="N44" s="56"/>
      <c r="O44" s="56"/>
      <c r="P44" s="56"/>
      <c r="Q44" s="56"/>
      <c r="R44" s="58">
        <f>SUM(BE_NL16[[#This Row],[26M04]:[26M06]])</f>
        <v>0</v>
      </c>
      <c r="S44" s="58">
        <f>SUM(BE_NL16[[#This Row],[26M07]:[26M09]])</f>
        <v>1</v>
      </c>
      <c r="T44" s="105">
        <f>SUM(BE_NL16[[#This Row],[26M10]:[26M12]])</f>
        <v>0</v>
      </c>
      <c r="U44" s="152" t="str">
        <f>VLOOKUP(BE_NL16[[#This Row],[Product Line]],Prod_T6[],4,0)</f>
        <v>PV</v>
      </c>
      <c r="V44" s="73"/>
    </row>
    <row r="45" spans="1:22" ht="16.5">
      <c r="A45" s="59" t="s">
        <v>86</v>
      </c>
      <c r="B45" s="57" t="s">
        <v>645</v>
      </c>
      <c r="C45" s="48" t="s">
        <v>393</v>
      </c>
      <c r="D45" s="47" t="s">
        <v>149</v>
      </c>
      <c r="E45" s="47" t="s">
        <v>289</v>
      </c>
      <c r="F45" s="177" t="s">
        <v>634</v>
      </c>
      <c r="G45" s="106" t="s">
        <v>647</v>
      </c>
      <c r="H45" s="60" t="s">
        <v>117</v>
      </c>
      <c r="I45" s="56"/>
      <c r="J45" s="56"/>
      <c r="K45" s="56"/>
      <c r="L45" s="56"/>
      <c r="M45" s="56"/>
      <c r="N45" s="56"/>
      <c r="O45" s="56"/>
      <c r="P45" s="56"/>
      <c r="Q45" s="56"/>
      <c r="R45" s="58">
        <f>SUM(BE_NL16[[#This Row],[26M04]:[26M06]])</f>
        <v>0</v>
      </c>
      <c r="S45" s="58">
        <f>SUM(BE_NL16[[#This Row],[26M07]:[26M09]])</f>
        <v>0</v>
      </c>
      <c r="T45" s="105">
        <f>SUM(BE_NL16[[#This Row],[26M10]:[26M12]])</f>
        <v>0</v>
      </c>
      <c r="U45" s="85" t="str">
        <f>VLOOKUP(BE_NL16[[#This Row],[Product Line]],Prod_T6[],4,0)</f>
        <v>PV</v>
      </c>
      <c r="V45" s="73"/>
    </row>
    <row r="46" spans="1:22" ht="16.5">
      <c r="A46" s="59" t="s">
        <v>86</v>
      </c>
      <c r="B46" s="57" t="s">
        <v>388</v>
      </c>
      <c r="D46" s="47" t="s">
        <v>317</v>
      </c>
      <c r="E46" s="47" t="s">
        <v>318</v>
      </c>
      <c r="F46" s="177" t="s">
        <v>130</v>
      </c>
      <c r="G46" s="47" t="s">
        <v>395</v>
      </c>
      <c r="H46" s="60" t="s">
        <v>117</v>
      </c>
      <c r="I46" s="56"/>
      <c r="J46" s="56"/>
      <c r="K46" s="56"/>
      <c r="L46" s="56">
        <v>0.42</v>
      </c>
      <c r="M46" s="56"/>
      <c r="N46" s="56"/>
      <c r="O46" s="56"/>
      <c r="P46" s="56"/>
      <c r="Q46" s="56"/>
      <c r="R46" s="58">
        <f>SUM(BE_NL16[[#This Row],[26M04]:[26M06]])</f>
        <v>0</v>
      </c>
      <c r="S46" s="58">
        <f>SUM(BE_NL16[[#This Row],[26M07]:[26M09]])</f>
        <v>0.42</v>
      </c>
      <c r="T46" s="105">
        <f>SUM(BE_NL16[[#This Row],[26M10]:[26M12]])</f>
        <v>0</v>
      </c>
      <c r="U46" s="152" t="str">
        <f>VLOOKUP(BE_NL16[[#This Row],[Product Line]],Prod_T6[],4,0)</f>
        <v>PV</v>
      </c>
      <c r="V46" s="73"/>
    </row>
    <row r="47" spans="1:22" ht="16.5">
      <c r="A47" s="59" t="s">
        <v>86</v>
      </c>
      <c r="B47" s="57" t="s">
        <v>388</v>
      </c>
      <c r="D47" s="47" t="s">
        <v>113</v>
      </c>
      <c r="E47" s="47" t="s">
        <v>153</v>
      </c>
      <c r="F47" s="177" t="s">
        <v>136</v>
      </c>
      <c r="G47" s="47" t="s">
        <v>394</v>
      </c>
      <c r="H47" s="60" t="s">
        <v>117</v>
      </c>
      <c r="I47" s="56"/>
      <c r="J47" s="56"/>
      <c r="K47" s="56"/>
      <c r="L47" s="56"/>
      <c r="M47" s="56"/>
      <c r="N47" s="56"/>
      <c r="O47" s="56">
        <v>2</v>
      </c>
      <c r="P47" s="56">
        <v>2</v>
      </c>
      <c r="Q47" s="56">
        <v>2</v>
      </c>
      <c r="R47" s="58">
        <f>SUM(BE_NL16[[#This Row],[26M04]:[26M06]])</f>
        <v>0</v>
      </c>
      <c r="S47" s="58">
        <f>SUM(BE_NL16[[#This Row],[26M07]:[26M09]])</f>
        <v>0</v>
      </c>
      <c r="T47" s="105">
        <f>SUM(BE_NL16[[#This Row],[26M10]:[26M12]])</f>
        <v>6</v>
      </c>
      <c r="U47" s="152" t="str">
        <f>VLOOKUP(BE_NL16[[#This Row],[Product Line]],Prod_T6[],4,0)</f>
        <v>PV</v>
      </c>
      <c r="V47" s="73"/>
    </row>
    <row r="48" spans="1:22" ht="16.5">
      <c r="A48" s="59" t="s">
        <v>86</v>
      </c>
      <c r="B48" s="57" t="s">
        <v>388</v>
      </c>
      <c r="D48" s="47" t="s">
        <v>134</v>
      </c>
      <c r="E48" s="47" t="s">
        <v>135</v>
      </c>
      <c r="F48" s="177" t="s">
        <v>136</v>
      </c>
      <c r="G48" s="47" t="s">
        <v>399</v>
      </c>
      <c r="H48" s="60" t="s">
        <v>117</v>
      </c>
      <c r="I48" s="56"/>
      <c r="J48" s="56"/>
      <c r="K48" s="56"/>
      <c r="L48" s="56"/>
      <c r="M48" s="56"/>
      <c r="N48" s="56"/>
      <c r="O48" s="56">
        <v>2</v>
      </c>
      <c r="P48" s="56">
        <v>2</v>
      </c>
      <c r="Q48" s="56">
        <v>2</v>
      </c>
      <c r="R48" s="58">
        <f>SUM(BE_NL16[[#This Row],[26M04]:[26M06]])</f>
        <v>0</v>
      </c>
      <c r="S48" s="58">
        <f>SUM(BE_NL16[[#This Row],[26M07]:[26M09]])</f>
        <v>0</v>
      </c>
      <c r="T48" s="105">
        <f>SUM(BE_NL16[[#This Row],[26M10]:[26M12]])</f>
        <v>6</v>
      </c>
      <c r="U48" s="152" t="str">
        <f>VLOOKUP(BE_NL16[[#This Row],[Product Line]],Prod_T6[],4,0)</f>
        <v>PV</v>
      </c>
      <c r="V48" s="73"/>
    </row>
    <row r="49" spans="1:22" ht="16.5">
      <c r="A49" s="59" t="s">
        <v>86</v>
      </c>
      <c r="B49" s="57" t="s">
        <v>388</v>
      </c>
      <c r="D49" s="47" t="s">
        <v>149</v>
      </c>
      <c r="E49" s="47" t="s">
        <v>433</v>
      </c>
      <c r="F49" s="177" t="s">
        <v>115</v>
      </c>
      <c r="G49" s="47" t="s">
        <v>389</v>
      </c>
      <c r="H49" s="60" t="s">
        <v>117</v>
      </c>
      <c r="I49" s="56"/>
      <c r="J49" s="56"/>
      <c r="K49" s="56"/>
      <c r="L49" s="56"/>
      <c r="M49" s="56"/>
      <c r="N49" s="56"/>
      <c r="O49" s="56">
        <v>2</v>
      </c>
      <c r="P49" s="56">
        <v>2</v>
      </c>
      <c r="Q49" s="56">
        <v>2</v>
      </c>
      <c r="R49" s="58">
        <f>SUM(BE_NL16[[#This Row],[26M04]:[26M06]])</f>
        <v>0</v>
      </c>
      <c r="S49" s="58">
        <f>SUM(BE_NL16[[#This Row],[26M07]:[26M09]])</f>
        <v>0</v>
      </c>
      <c r="T49" s="105">
        <f>SUM(BE_NL16[[#This Row],[26M10]:[26M12]])</f>
        <v>6</v>
      </c>
      <c r="U49" s="85" t="str">
        <f>VLOOKUP(BE_NL16[[#This Row],[Product Line]],Prod_T6[],4,0)</f>
        <v>PV</v>
      </c>
      <c r="V49" s="73"/>
    </row>
    <row r="50" spans="1:22" ht="16.5">
      <c r="A50" s="59" t="s">
        <v>86</v>
      </c>
      <c r="B50" s="57" t="s">
        <v>388</v>
      </c>
      <c r="D50" s="47" t="s">
        <v>149</v>
      </c>
      <c r="E50" s="47" t="s">
        <v>1238</v>
      </c>
      <c r="F50" s="177" t="s">
        <v>115</v>
      </c>
      <c r="G50" s="47" t="s">
        <v>389</v>
      </c>
      <c r="H50" s="60" t="s">
        <v>117</v>
      </c>
      <c r="I50" s="56"/>
      <c r="J50" s="56"/>
      <c r="K50" s="56"/>
      <c r="L50" s="56"/>
      <c r="M50" s="56"/>
      <c r="N50" s="56"/>
      <c r="O50" s="56">
        <v>3</v>
      </c>
      <c r="P50" s="56">
        <v>3</v>
      </c>
      <c r="Q50" s="56">
        <v>3</v>
      </c>
      <c r="R50" s="58">
        <f>SUM(BE_NL16[[#This Row],[26M04]:[26M06]])</f>
        <v>0</v>
      </c>
      <c r="S50" s="58">
        <f>SUM(BE_NL16[[#This Row],[26M07]:[26M09]])</f>
        <v>0</v>
      </c>
      <c r="T50" s="105">
        <f>SUM(BE_NL16[[#This Row],[26M10]:[26M12]])</f>
        <v>9</v>
      </c>
      <c r="U50" s="85" t="str">
        <f>VLOOKUP(BE_NL16[[#This Row],[Product Line]],Prod_T6[],4,0)</f>
        <v>PV</v>
      </c>
      <c r="V50" s="73"/>
    </row>
    <row r="51" spans="1:22" ht="16.5">
      <c r="A51" s="59" t="s">
        <v>86</v>
      </c>
      <c r="B51" s="57" t="s">
        <v>388</v>
      </c>
      <c r="D51" s="47" t="s">
        <v>118</v>
      </c>
      <c r="E51" s="47" t="s">
        <v>119</v>
      </c>
      <c r="F51" s="177" t="s">
        <v>115</v>
      </c>
      <c r="G51" s="47" t="s">
        <v>389</v>
      </c>
      <c r="H51" s="60" t="s">
        <v>117</v>
      </c>
      <c r="I51" s="56"/>
      <c r="J51" s="56"/>
      <c r="K51" s="56"/>
      <c r="L51" s="56"/>
      <c r="M51" s="56"/>
      <c r="N51" s="56"/>
      <c r="O51" s="56">
        <v>1</v>
      </c>
      <c r="P51" s="56">
        <v>1</v>
      </c>
      <c r="Q51" s="56">
        <v>1</v>
      </c>
      <c r="R51" s="58">
        <f>SUM(BE_NL16[[#This Row],[26M04]:[26M06]])</f>
        <v>0</v>
      </c>
      <c r="S51" s="58">
        <f>SUM(BE_NL16[[#This Row],[26M07]:[26M09]])</f>
        <v>0</v>
      </c>
      <c r="T51" s="105">
        <f>SUM(BE_NL16[[#This Row],[26M10]:[26M12]])</f>
        <v>3</v>
      </c>
      <c r="U51" s="85" t="str">
        <f>VLOOKUP(BE_NL16[[#This Row],[Product Line]],Prod_T6[],4,0)</f>
        <v>PV</v>
      </c>
      <c r="V51" s="73"/>
    </row>
    <row r="52" spans="1:22" ht="16.5">
      <c r="A52" s="59" t="s">
        <v>86</v>
      </c>
      <c r="B52" s="57" t="s">
        <v>388</v>
      </c>
      <c r="D52" s="47" t="s">
        <v>149</v>
      </c>
      <c r="E52" s="47" t="s">
        <v>1239</v>
      </c>
      <c r="F52" s="177" t="s">
        <v>115</v>
      </c>
      <c r="G52" s="47" t="s">
        <v>389</v>
      </c>
      <c r="H52" s="60" t="s">
        <v>117</v>
      </c>
      <c r="I52" s="56"/>
      <c r="J52" s="56"/>
      <c r="K52" s="56"/>
      <c r="L52" s="56"/>
      <c r="M52" s="56"/>
      <c r="N52" s="56"/>
      <c r="O52" s="56">
        <v>0.8</v>
      </c>
      <c r="P52" s="56">
        <v>0.8</v>
      </c>
      <c r="Q52" s="56">
        <v>0.8</v>
      </c>
      <c r="R52" s="58">
        <f>SUM(BE_NL16[[#This Row],[26M04]:[26M06]])</f>
        <v>0</v>
      </c>
      <c r="S52" s="58">
        <f>SUM(BE_NL16[[#This Row],[26M07]:[26M09]])</f>
        <v>0</v>
      </c>
      <c r="T52" s="105">
        <f>SUM(BE_NL16[[#This Row],[26M10]:[26M12]])</f>
        <v>2.4000000000000004</v>
      </c>
      <c r="U52" s="85" t="str">
        <f>VLOOKUP(BE_NL16[[#This Row],[Product Line]],Prod_T6[],4,0)</f>
        <v>PV</v>
      </c>
      <c r="V52" s="73"/>
    </row>
    <row r="53" spans="1:22" ht="16.5">
      <c r="A53" s="59" t="s">
        <v>80</v>
      </c>
      <c r="B53" s="57" t="s">
        <v>127</v>
      </c>
      <c r="D53" s="47" t="s">
        <v>141</v>
      </c>
      <c r="E53" s="47" t="s">
        <v>46</v>
      </c>
      <c r="F53" s="177" t="s">
        <v>115</v>
      </c>
      <c r="G53" s="47" t="s">
        <v>142</v>
      </c>
      <c r="H53" s="60" t="s">
        <v>132</v>
      </c>
      <c r="I53" s="56"/>
      <c r="J53" s="56"/>
      <c r="K53" s="56"/>
      <c r="L53" s="56"/>
      <c r="M53" s="56"/>
      <c r="N53" s="56"/>
      <c r="O53" s="56">
        <v>2</v>
      </c>
      <c r="P53" s="56">
        <v>2</v>
      </c>
      <c r="Q53" s="56">
        <v>2</v>
      </c>
      <c r="R53" s="58">
        <f>SUM(BE_NL16[[#This Row],[26M04]:[26M06]])</f>
        <v>0</v>
      </c>
      <c r="S53" s="58">
        <f>SUM(BE_NL16[[#This Row],[26M07]:[26M09]])</f>
        <v>0</v>
      </c>
      <c r="T53" s="105">
        <f>SUM(BE_NL16[[#This Row],[26M10]:[26M12]])</f>
        <v>6</v>
      </c>
      <c r="U53" s="85" t="str">
        <f>VLOOKUP(BE_NL16[[#This Row],[Product Line]],Prod_T6[],4,0)</f>
        <v>ESS</v>
      </c>
      <c r="V53" s="73"/>
    </row>
    <row r="54" spans="1:22" ht="16.5">
      <c r="A54" s="59" t="s">
        <v>80</v>
      </c>
      <c r="B54" s="57" t="s">
        <v>127</v>
      </c>
      <c r="D54" s="47" t="s">
        <v>141</v>
      </c>
      <c r="E54" s="47" t="s">
        <v>50</v>
      </c>
      <c r="F54" s="177" t="s">
        <v>115</v>
      </c>
      <c r="G54" s="47" t="s">
        <v>142</v>
      </c>
      <c r="H54" s="60" t="s">
        <v>132</v>
      </c>
      <c r="I54" s="56"/>
      <c r="J54" s="56"/>
      <c r="K54" s="56"/>
      <c r="L54" s="56"/>
      <c r="M54" s="56"/>
      <c r="N54" s="56"/>
      <c r="O54" s="56">
        <v>2</v>
      </c>
      <c r="P54" s="56">
        <v>3</v>
      </c>
      <c r="Q54" s="56">
        <v>3</v>
      </c>
      <c r="R54" s="58">
        <f>SUM(BE_NL16[[#This Row],[26M04]:[26M06]])</f>
        <v>0</v>
      </c>
      <c r="S54" s="58">
        <f>SUM(BE_NL16[[#This Row],[26M07]:[26M09]])</f>
        <v>0</v>
      </c>
      <c r="T54" s="105">
        <f>SUM(BE_NL16[[#This Row],[26M10]:[26M12]])</f>
        <v>8</v>
      </c>
      <c r="U54" s="85" t="str">
        <f>VLOOKUP(BE_NL16[[#This Row],[Product Line]],Prod_T6[],4,0)</f>
        <v>ESS</v>
      </c>
      <c r="V54" s="73"/>
    </row>
    <row r="55" spans="1:22" ht="16.5">
      <c r="A55" s="59" t="s">
        <v>86</v>
      </c>
      <c r="B55" s="57" t="s">
        <v>390</v>
      </c>
      <c r="D55" s="47" t="s">
        <v>141</v>
      </c>
      <c r="E55" s="47" t="s">
        <v>46</v>
      </c>
      <c r="F55" s="177" t="s">
        <v>115</v>
      </c>
      <c r="G55" s="47" t="s">
        <v>142</v>
      </c>
      <c r="H55" s="60" t="s">
        <v>117</v>
      </c>
      <c r="I55" s="56"/>
      <c r="J55" s="56"/>
      <c r="K55" s="56"/>
      <c r="L55" s="56"/>
      <c r="M55" s="56"/>
      <c r="N55" s="56"/>
      <c r="O55" s="56">
        <v>1</v>
      </c>
      <c r="P55" s="56">
        <v>3</v>
      </c>
      <c r="Q55" s="56">
        <v>3</v>
      </c>
      <c r="R55" s="58">
        <f>SUM(BE_NL16[[#This Row],[26M04]:[26M06]])</f>
        <v>0</v>
      </c>
      <c r="S55" s="58">
        <f>SUM(BE_NL16[[#This Row],[26M07]:[26M09]])</f>
        <v>0</v>
      </c>
      <c r="T55" s="105">
        <f>SUM(BE_NL16[[#This Row],[26M10]:[26M12]])</f>
        <v>7</v>
      </c>
      <c r="U55" s="85" t="str">
        <f>VLOOKUP(BE_NL16[[#This Row],[Product Line]],Prod_T6[],4,0)</f>
        <v>ESS</v>
      </c>
      <c r="V55" s="73"/>
    </row>
    <row r="56" spans="1:22" ht="16.5">
      <c r="A56" s="59" t="s">
        <v>86</v>
      </c>
      <c r="B56" s="57" t="s">
        <v>390</v>
      </c>
      <c r="D56" s="47" t="s">
        <v>141</v>
      </c>
      <c r="E56" s="47" t="s">
        <v>50</v>
      </c>
      <c r="F56" s="177" t="s">
        <v>115</v>
      </c>
      <c r="G56" s="47" t="s">
        <v>142</v>
      </c>
      <c r="H56" s="60" t="s">
        <v>117</v>
      </c>
      <c r="I56" s="56"/>
      <c r="J56" s="56"/>
      <c r="K56" s="56"/>
      <c r="L56" s="56"/>
      <c r="M56" s="56"/>
      <c r="N56" s="56"/>
      <c r="O56" s="56">
        <v>1</v>
      </c>
      <c r="P56" s="56">
        <v>2</v>
      </c>
      <c r="Q56" s="56">
        <v>2</v>
      </c>
      <c r="R56" s="58">
        <f>SUM(BE_NL16[[#This Row],[26M04]:[26M06]])</f>
        <v>0</v>
      </c>
      <c r="S56" s="58">
        <f>SUM(BE_NL16[[#This Row],[26M07]:[26M09]])</f>
        <v>0</v>
      </c>
      <c r="T56" s="105">
        <f>SUM(BE_NL16[[#This Row],[26M10]:[26M12]])</f>
        <v>5</v>
      </c>
      <c r="U56" s="85" t="str">
        <f>VLOOKUP(BE_NL16[[#This Row],[Product Line]],Prod_T6[],4,0)</f>
        <v>ESS</v>
      </c>
      <c r="V56" s="73"/>
    </row>
    <row r="57" spans="1:22" ht="16.5">
      <c r="A57" s="59" t="s">
        <v>80</v>
      </c>
      <c r="B57" s="57" t="s">
        <v>140</v>
      </c>
      <c r="D57" s="47" t="s">
        <v>141</v>
      </c>
      <c r="E57" s="47" t="s">
        <v>46</v>
      </c>
      <c r="F57" s="177" t="s">
        <v>115</v>
      </c>
      <c r="G57" s="47" t="s">
        <v>142</v>
      </c>
      <c r="H57" s="60" t="s">
        <v>117</v>
      </c>
      <c r="I57" s="56"/>
      <c r="J57" s="56"/>
      <c r="K57" s="56"/>
      <c r="L57" s="56"/>
      <c r="M57" s="56"/>
      <c r="N57" s="56"/>
      <c r="O57" s="56">
        <v>1</v>
      </c>
      <c r="P57" s="56">
        <v>1</v>
      </c>
      <c r="Q57" s="56">
        <v>1</v>
      </c>
      <c r="R57" s="58">
        <f>SUM(BE_NL16[[#This Row],[26M04]:[26M06]])</f>
        <v>0</v>
      </c>
      <c r="S57" s="58">
        <f>SUM(BE_NL16[[#This Row],[26M07]:[26M09]])</f>
        <v>0</v>
      </c>
      <c r="T57" s="105">
        <f>SUM(BE_NL16[[#This Row],[26M10]:[26M12]])</f>
        <v>3</v>
      </c>
      <c r="U57" s="85" t="str">
        <f>VLOOKUP(BE_NL16[[#This Row],[Product Line]],Prod_T6[],4,0)</f>
        <v>ESS</v>
      </c>
      <c r="V57" s="73"/>
    </row>
    <row r="58" spans="1:22" ht="16.5">
      <c r="A58" s="59" t="s">
        <v>80</v>
      </c>
      <c r="B58" s="57" t="s">
        <v>140</v>
      </c>
      <c r="D58" s="47" t="s">
        <v>141</v>
      </c>
      <c r="E58" s="47" t="s">
        <v>50</v>
      </c>
      <c r="F58" s="177" t="s">
        <v>115</v>
      </c>
      <c r="G58" s="47" t="s">
        <v>142</v>
      </c>
      <c r="H58" s="60" t="s">
        <v>117</v>
      </c>
      <c r="I58" s="56"/>
      <c r="J58" s="56"/>
      <c r="K58" s="56"/>
      <c r="L58" s="56"/>
      <c r="M58" s="56"/>
      <c r="N58" s="56"/>
      <c r="O58" s="56">
        <v>1</v>
      </c>
      <c r="P58" s="56">
        <v>1</v>
      </c>
      <c r="Q58" s="56">
        <v>1</v>
      </c>
      <c r="R58" s="58">
        <f>SUM(BE_NL16[[#This Row],[26M04]:[26M06]])</f>
        <v>0</v>
      </c>
      <c r="S58" s="58">
        <f>SUM(BE_NL16[[#This Row],[26M07]:[26M09]])</f>
        <v>0</v>
      </c>
      <c r="T58" s="105">
        <f>SUM(BE_NL16[[#This Row],[26M10]:[26M12]])</f>
        <v>3</v>
      </c>
      <c r="U58" s="85" t="str">
        <f>VLOOKUP(BE_NL16[[#This Row],[Product Line]],Prod_T6[],4,0)</f>
        <v>ESS</v>
      </c>
      <c r="V58" s="73"/>
    </row>
    <row r="59" spans="1:22" ht="16.5">
      <c r="A59" s="59" t="s">
        <v>86</v>
      </c>
      <c r="B59" s="57" t="s">
        <v>388</v>
      </c>
      <c r="C59" s="48" t="s">
        <v>138</v>
      </c>
      <c r="D59" s="47" t="s">
        <v>38</v>
      </c>
      <c r="E59" s="47" t="s">
        <v>400</v>
      </c>
      <c r="F59" s="177" t="s">
        <v>115</v>
      </c>
      <c r="G59" s="47" t="s">
        <v>401</v>
      </c>
      <c r="H59" s="60" t="s">
        <v>117</v>
      </c>
      <c r="I59" s="56">
        <v>0</v>
      </c>
      <c r="J59" s="56">
        <v>0</v>
      </c>
      <c r="K59" s="56">
        <v>0</v>
      </c>
      <c r="L59" s="56">
        <v>1</v>
      </c>
      <c r="M59" s="56">
        <v>1</v>
      </c>
      <c r="N59" s="56">
        <v>1</v>
      </c>
      <c r="O59" s="56">
        <v>1</v>
      </c>
      <c r="P59" s="56">
        <v>10</v>
      </c>
      <c r="Q59" s="56">
        <v>20</v>
      </c>
      <c r="R59" s="58">
        <f>SUM(BE_NL16[[#This Row],[26M04]:[26M06]])</f>
        <v>0</v>
      </c>
      <c r="S59" s="58">
        <f>SUM(BE_NL16[[#This Row],[26M07]:[26M09]])</f>
        <v>3</v>
      </c>
      <c r="T59" s="105">
        <f>SUM(BE_NL16[[#This Row],[26M10]:[26M12]])</f>
        <v>31</v>
      </c>
      <c r="U59" s="85" t="str">
        <f>VLOOKUP(BE_NL16[[#This Row],[Product Line]],Prod_T6[],4,0)</f>
        <v>HP</v>
      </c>
      <c r="V59" s="73"/>
    </row>
  </sheetData>
  <phoneticPr fontId="65" type="noConversion"/>
  <dataValidations count="4">
    <dataValidation type="list" allowBlank="1" showInputMessage="1" showErrorMessage="1" sqref="B6:B59 E6:E59" xr:uid="{D8A4C36B-B903-4BB0-BFC9-36CF08C8E58F}">
      <formula1>INDIRECT(A6)</formula1>
    </dataValidation>
    <dataValidation type="list" allowBlank="1" showInputMessage="1" showErrorMessage="1" sqref="A6:A59" xr:uid="{CE3A7ED3-9FDA-4862-9F20-DED14F54EFBE}">
      <formula1>Country_List</formula1>
    </dataValidation>
    <dataValidation type="list" allowBlank="1" showInputMessage="1" showErrorMessage="1" sqref="D6:D59" xr:uid="{03A2A099-7C2E-4A75-B578-D4A8FF4AD2F4}">
      <formula1>Product_List</formula1>
    </dataValidation>
    <dataValidation type="list" allowBlank="1" showInputMessage="1" showErrorMessage="1" sqref="F60" xr:uid="{A14ADB50-80A1-4BB9-B595-3BE9CE3CA261}">
      <formula1>$D$4:$D$13</formula1>
    </dataValidation>
  </dataValidations>
  <pageMargins left="0.70866141732283505" right="0.70866141732283505" top="0.74803149606299202" bottom="0.74803149606299202" header="0.31496062992126" footer="0.31496062992126"/>
  <pageSetup paperSize="9" scale="44" orientation="landscape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A31918-7A2F-4630-81B2-26614504ACFE}">
          <x14:formula1>
            <xm:f>'Stages and Status'!$D$4:$D$11</xm:f>
          </x14:formula1>
          <xm:sqref>F6:F59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43068-2756-4404-A4C4-58BCCB7AEA60}">
  <sheetPr>
    <tabColor rgb="FFFF7C80"/>
    <pageSetUpPr fitToPage="1"/>
  </sheetPr>
  <dimension ref="A1:U47"/>
  <sheetViews>
    <sheetView topLeftCell="A11" zoomScaleNormal="100" workbookViewId="0">
      <pane xSplit="5" topLeftCell="I1" activePane="topRight" state="frozen"/>
      <selection activeCell="D6" sqref="D6:Q80"/>
      <selection pane="topRight" activeCell="D6" sqref="D6:Q80"/>
    </sheetView>
  </sheetViews>
  <sheetFormatPr defaultColWidth="8.08984375" defaultRowHeight="14.25" customHeight="1" outlineLevelCol="1"/>
  <cols>
    <col min="1" max="1" width="8.36328125" style="2" customWidth="1"/>
    <col min="2" max="2" width="23.36328125" style="1" customWidth="1"/>
    <col min="3" max="3" width="10.08984375" style="3" customWidth="1" outlineLevel="1"/>
    <col min="4" max="4" width="14.90625" style="3" customWidth="1"/>
    <col min="5" max="5" width="34" style="2" bestFit="1" customWidth="1"/>
    <col min="6" max="6" width="17.36328125" style="2" customWidth="1" outlineLevel="1"/>
    <col min="7" max="7" width="18.08984375" style="2" customWidth="1"/>
    <col min="8" max="8" width="15.08984375" style="4" customWidth="1" outlineLevel="1"/>
    <col min="9" max="9" width="14.08984375" style="2" customWidth="1"/>
    <col min="10" max="17" width="14.08984375" style="2" customWidth="1" outlineLevel="1"/>
    <col min="18" max="18" width="12.08984375" style="5" customWidth="1"/>
    <col min="19" max="16384" width="8.08984375" style="2"/>
  </cols>
  <sheetData>
    <row r="1" spans="1:21" ht="13">
      <c r="B1" s="2"/>
      <c r="G1" s="2" t="s">
        <v>5</v>
      </c>
      <c r="H1" s="6"/>
      <c r="I1" s="2" t="s">
        <v>623</v>
      </c>
      <c r="J1" s="2" t="s">
        <v>623</v>
      </c>
      <c r="K1" s="2" t="s">
        <v>623</v>
      </c>
      <c r="L1" s="2" t="s">
        <v>623</v>
      </c>
      <c r="M1" s="2" t="s">
        <v>623</v>
      </c>
      <c r="N1" s="2" t="s">
        <v>623</v>
      </c>
      <c r="O1" s="2" t="s">
        <v>623</v>
      </c>
      <c r="P1" s="2" t="s">
        <v>623</v>
      </c>
      <c r="Q1" s="2" t="s">
        <v>623</v>
      </c>
      <c r="R1" s="5" t="s">
        <v>623</v>
      </c>
      <c r="S1" s="5" t="s">
        <v>623</v>
      </c>
      <c r="T1" s="5" t="s">
        <v>623</v>
      </c>
    </row>
    <row r="2" spans="1:21" ht="13.5">
      <c r="A2" s="7"/>
      <c r="B2" s="6"/>
      <c r="C2" s="6"/>
      <c r="D2" s="6"/>
      <c r="E2" s="6"/>
      <c r="F2" s="6"/>
      <c r="G2" s="49" t="s">
        <v>27</v>
      </c>
      <c r="H2" s="61"/>
      <c r="I2" s="200">
        <f>SUMIFS(ES_13[26M04],ES_13[Product Category],$G2)</f>
        <v>60</v>
      </c>
      <c r="J2" s="200">
        <f>SUMIFS(ES_13[26M05],ES_13[Product Category],$G2)</f>
        <v>0</v>
      </c>
      <c r="K2" s="200">
        <f>SUMIFS(ES_13[26M06],ES_13[Product Category],$G2)</f>
        <v>60</v>
      </c>
      <c r="L2" s="202">
        <f>SUMIFS(ES_13[26M07],ES_13[Product Category],$G2)</f>
        <v>70</v>
      </c>
      <c r="M2" s="202">
        <f>SUMIFS(ES_13[26M08],ES_13[Product Category],$G2)</f>
        <v>35</v>
      </c>
      <c r="N2" s="202">
        <f>SUMIFS(ES_13[26M09],ES_13[Product Category],$G2)</f>
        <v>74</v>
      </c>
      <c r="O2" s="202" cm="1">
        <f t="array" ref="O2">SUM(_xlfn._xlws.FILTER(ES_13[26M10],(ES_13[Product Category]=$G2)*ISNUMBER(_xlfn.XMATCH(ES_13[Stage],{"3 - Negotiation","4 - BAFO","5 - Finalize contract","6 - Won","7 - Booked"}))))</f>
        <v>89</v>
      </c>
      <c r="P2" s="202" cm="1">
        <f t="array" ref="P2">SUM(_xlfn._xlws.FILTER(ES_13[26M11],(ES_13[Product Category]=$G2)*ISNUMBER(_xlfn.XMATCH(ES_13[Stage],{"3 - Negotiation","4 - BAFO","5 - Finalize contract","6 - Won","7 - Booked"}))))</f>
        <v>91</v>
      </c>
      <c r="Q2" s="202" cm="1">
        <f t="array" ref="Q2">SUM(_xlfn._xlws.FILTER(ES_13[26M12],(ES_13[Product Category]=$G2)*ISNUMBER(_xlfn.XMATCH(ES_13[Stage],{"3 - Negotiation","4 - BAFO","5 - Finalize contract","6 - Won","7 - Booked"}))))</f>
        <v>38</v>
      </c>
      <c r="R2" s="200">
        <f>SUMIFS(ES_13[26Q2],ES_13[Product Category],$G2)</f>
        <v>120</v>
      </c>
      <c r="S2" s="200">
        <f>SUMIFS(ES_13[26Q3],ES_13[Country],$G2)</f>
        <v>0</v>
      </c>
      <c r="T2" s="200">
        <f>SUMIFS(ES_13[26Q4],ES_13[Customer name],$G2)</f>
        <v>0</v>
      </c>
    </row>
    <row r="3" spans="1:21" ht="13.5">
      <c r="A3" s="80"/>
      <c r="B3" s="6"/>
      <c r="C3" s="6"/>
      <c r="D3" s="6"/>
      <c r="E3" s="6"/>
      <c r="F3" s="6"/>
      <c r="G3" s="49" t="s">
        <v>87</v>
      </c>
      <c r="H3" s="61"/>
      <c r="I3" s="200">
        <f>SUMIFS(ES_13[26M04],ES_13[Product Category],$G3)</f>
        <v>0</v>
      </c>
      <c r="J3" s="200">
        <f>SUMIFS(ES_13[26M05],ES_13[Product Category],$G3)</f>
        <v>0</v>
      </c>
      <c r="K3" s="200">
        <f>SUMIFS(ES_13[26M06],ES_13[Product Category],$G3)</f>
        <v>0</v>
      </c>
      <c r="L3" s="202">
        <f>SUMIFS(ES_13[26M07],ES_13[Product Category],$G3)</f>
        <v>0</v>
      </c>
      <c r="M3" s="202">
        <f>SUMIFS(ES_13[26M08],ES_13[Product Category],$G3)</f>
        <v>0</v>
      </c>
      <c r="N3" s="202">
        <f>SUMIFS(ES_13[26M09],ES_13[Product Category],$G3)</f>
        <v>0</v>
      </c>
      <c r="O3" s="202" cm="1">
        <f t="array" ref="O3">IFERROR(SUM(_xlfn._xlws.FILTER(ES_13[26M10],(ES_13[Product Category]=$G3)*ISNUMBER(_xlfn.XMATCH(ES_13[Stage],{"3 - Negotiation","4 - BAFO","5 - Finalize contract","6 - Won","7 - Booked"})))),0)</f>
        <v>0</v>
      </c>
      <c r="P3" s="202" cm="1">
        <f t="array" ref="P3">IFERROR(SUM(_xlfn._xlws.FILTER(ES_13[26M11],(ES_13[Product Category]=$G3)*ISNUMBER(_xlfn.XMATCH(ES_13[Stage],{"3 - Negotiation","4 - BAFO","5 - Finalize contract","6 - Won","7 - Booked"})))),0)</f>
        <v>0</v>
      </c>
      <c r="Q3" s="202" cm="1">
        <f t="array" ref="Q3">IFERROR(SUM(_xlfn._xlws.FILTER(ES_13[26M12],(ES_13[Product Category]=$G3)*ISNUMBER(_xlfn.XMATCH(ES_13[Stage],{"3 - Negotiation","4 - BAFO","5 - Finalize contract","6 - Won","7 - Booked"})))),0)</f>
        <v>0</v>
      </c>
      <c r="R3" s="200">
        <f>SUMIFS(ES_13[26Q2],ES_13[Product Category],$G3)</f>
        <v>0</v>
      </c>
      <c r="S3" s="200">
        <f>SUMIFS(ES_13[26Q3],ES_13[Country],$G3)</f>
        <v>0</v>
      </c>
      <c r="T3" s="200">
        <f>SUMIFS(ES_13[26Q4],ES_13[Customer name],$G3)</f>
        <v>0</v>
      </c>
    </row>
    <row r="4" spans="1:21" ht="13.5">
      <c r="A4" s="80"/>
      <c r="B4" s="6"/>
      <c r="C4" s="6"/>
      <c r="D4" s="6"/>
      <c r="E4" s="6"/>
      <c r="F4" s="6"/>
      <c r="G4" s="49" t="s">
        <v>70</v>
      </c>
      <c r="H4" s="61"/>
      <c r="I4" s="200">
        <f>SUMIFS(ES_13[26M04],ES_13[Product Category],$G4)</f>
        <v>9.0500000000000007</v>
      </c>
      <c r="J4" s="200">
        <f>SUMIFS(ES_13[26M05],ES_13[Product Category],$G4)</f>
        <v>10</v>
      </c>
      <c r="K4" s="200">
        <f>SUMIFS(ES_13[26M06],ES_13[Product Category],$G4)</f>
        <v>11.600000000000001</v>
      </c>
      <c r="L4" s="202">
        <f>SUMIFS(ES_13[26M07],ES_13[Product Category],$G4)</f>
        <v>7.8000000000000007</v>
      </c>
      <c r="M4" s="202">
        <f>SUMIFS(ES_13[26M08],ES_13[Product Category],$G4)</f>
        <v>1.3</v>
      </c>
      <c r="N4" s="202">
        <f>SUMIFS(ES_13[26M09],ES_13[Product Category],$G4)</f>
        <v>11.600000000000003</v>
      </c>
      <c r="O4" s="202" cm="1">
        <f t="array" ref="O4">SUM(_xlfn._xlws.FILTER(ES_13[26M10],(ES_13[Product Category]=$G4)*ISNUMBER(_xlfn.XMATCH(ES_13[Stage],{"3 - Negotiation","4 - BAFO","5 - Finalize contract","6 - Won","7 - Booked"}))))</f>
        <v>9.4000000000000021</v>
      </c>
      <c r="P4" s="202" cm="1">
        <f t="array" ref="P4">SUM(_xlfn._xlws.FILTER(ES_13[26M12],(ES_13[Product Category]=$G4)*ISNUMBER(_xlfn.XMATCH(ES_13[Stage],{"3 - Negotiation","4 - BAFO","5 - Finalize contract","6 - Won","7 - Booked"}))))</f>
        <v>5.6000000000000005</v>
      </c>
      <c r="Q4" s="202" cm="1">
        <f t="array" ref="Q4">SUM(_xlfn._xlws.FILTER(ES_13[26M12],(ES_13[Product Category]=$G4)*ISNUMBER(_xlfn.XMATCH(ES_13[Stage],{"3 - Negotiation","4 - BAFO","5 - Finalize contract","6 - Won","7 - Booked"}))))</f>
        <v>5.6000000000000005</v>
      </c>
      <c r="R4" s="200">
        <f>SUMIFS(ES_13[26Q2],ES_13[Product Category],$G4)</f>
        <v>30.650000000000002</v>
      </c>
      <c r="S4" s="200">
        <f>SUMIFS(ES_13[26Q3],ES_13[Country],$G4)</f>
        <v>0</v>
      </c>
      <c r="T4" s="200">
        <f>SUMIFS(ES_13[26Q4],ES_13[Customer name],$G4)</f>
        <v>0</v>
      </c>
    </row>
    <row r="5" spans="1:21" s="8" customFormat="1" ht="14">
      <c r="A5" s="10" t="s">
        <v>45</v>
      </c>
      <c r="B5" s="11" t="s">
        <v>1</v>
      </c>
      <c r="C5" s="10" t="s">
        <v>92</v>
      </c>
      <c r="D5" s="10" t="s">
        <v>3</v>
      </c>
      <c r="E5" s="10" t="s">
        <v>28</v>
      </c>
      <c r="F5" s="10" t="s">
        <v>5</v>
      </c>
      <c r="G5" s="10" t="s">
        <v>93</v>
      </c>
      <c r="H5" s="9" t="s">
        <v>94</v>
      </c>
      <c r="I5" s="12" t="s">
        <v>95</v>
      </c>
      <c r="J5" s="12" t="s">
        <v>96</v>
      </c>
      <c r="K5" s="12" t="s">
        <v>97</v>
      </c>
      <c r="L5" s="12" t="s">
        <v>98</v>
      </c>
      <c r="M5" s="12" t="s">
        <v>99</v>
      </c>
      <c r="N5" s="12" t="s">
        <v>100</v>
      </c>
      <c r="O5" s="12" t="s">
        <v>34</v>
      </c>
      <c r="P5" s="12" t="s">
        <v>101</v>
      </c>
      <c r="Q5" s="12" t="s">
        <v>36</v>
      </c>
      <c r="R5" s="203" t="s">
        <v>626</v>
      </c>
      <c r="S5" s="203" t="s">
        <v>627</v>
      </c>
      <c r="T5" s="109" t="s">
        <v>628</v>
      </c>
      <c r="U5" s="77" t="s">
        <v>26</v>
      </c>
    </row>
    <row r="6" spans="1:21" ht="14.5">
      <c r="A6" s="14" t="s">
        <v>29</v>
      </c>
      <c r="B6" s="1" t="s">
        <v>475</v>
      </c>
      <c r="D6" s="2" t="s">
        <v>197</v>
      </c>
      <c r="E6" s="2" t="s">
        <v>229</v>
      </c>
      <c r="F6" s="2" t="s">
        <v>120</v>
      </c>
      <c r="H6" s="43" t="s">
        <v>117</v>
      </c>
      <c r="I6" s="13">
        <v>20</v>
      </c>
      <c r="J6" s="13"/>
      <c r="K6" s="13">
        <v>25</v>
      </c>
      <c r="L6" s="13">
        <v>30</v>
      </c>
      <c r="M6" s="13">
        <v>10</v>
      </c>
      <c r="N6" s="13">
        <v>25</v>
      </c>
      <c r="O6" s="13">
        <v>25</v>
      </c>
      <c r="P6" s="13">
        <v>25</v>
      </c>
      <c r="Q6" s="13">
        <v>10</v>
      </c>
      <c r="R6" s="32">
        <f>SUM(ES_13[[#This Row],[26M04]:[26M06]])</f>
        <v>45</v>
      </c>
      <c r="S6" s="79">
        <f>SUM(ES_13[[#This Row],[26M07]:[26M09]])</f>
        <v>65</v>
      </c>
      <c r="T6" s="79">
        <f>SUM(ES_13[[#This Row],[26M10]:[26M12]])</f>
        <v>60</v>
      </c>
      <c r="U6" s="85" t="str">
        <f>VLOOKUP(ES_13[[#This Row],[Product Line]],Prod_T6[],4,0)</f>
        <v>ESS</v>
      </c>
    </row>
    <row r="7" spans="1:21" ht="14.5">
      <c r="A7" s="14" t="s">
        <v>29</v>
      </c>
      <c r="B7" s="1" t="s">
        <v>475</v>
      </c>
      <c r="D7" s="2" t="s">
        <v>197</v>
      </c>
      <c r="E7" s="2" t="s">
        <v>64</v>
      </c>
      <c r="F7" s="2" t="s">
        <v>120</v>
      </c>
      <c r="H7" s="43" t="s">
        <v>117</v>
      </c>
      <c r="I7" s="13">
        <v>20</v>
      </c>
      <c r="J7" s="13"/>
      <c r="K7" s="13">
        <v>15</v>
      </c>
      <c r="L7" s="13">
        <v>20</v>
      </c>
      <c r="M7" s="13">
        <v>5</v>
      </c>
      <c r="N7" s="13">
        <v>15</v>
      </c>
      <c r="O7" s="13">
        <v>15</v>
      </c>
      <c r="P7" s="13">
        <v>15</v>
      </c>
      <c r="Q7" s="13">
        <v>5</v>
      </c>
      <c r="R7" s="32">
        <f>SUM(ES_13[[#This Row],[26M04]:[26M06]])</f>
        <v>35</v>
      </c>
      <c r="S7" s="79">
        <f>SUM(ES_13[[#This Row],[26M07]:[26M09]])</f>
        <v>40</v>
      </c>
      <c r="T7" s="79">
        <f>SUM(ES_13[[#This Row],[26M10]:[26M12]])</f>
        <v>35</v>
      </c>
      <c r="U7" s="85" t="str">
        <f>VLOOKUP(ES_13[[#This Row],[Product Line]],Prod_T6[],4,0)</f>
        <v>ESS</v>
      </c>
    </row>
    <row r="8" spans="1:21" ht="14.5">
      <c r="A8" s="14" t="s">
        <v>29</v>
      </c>
      <c r="B8" s="1" t="s">
        <v>475</v>
      </c>
      <c r="D8" s="2" t="s">
        <v>197</v>
      </c>
      <c r="E8" s="2" t="s">
        <v>65</v>
      </c>
      <c r="F8" s="2" t="s">
        <v>120</v>
      </c>
      <c r="H8" s="43" t="s">
        <v>117</v>
      </c>
      <c r="I8" s="13">
        <v>20</v>
      </c>
      <c r="J8" s="13"/>
      <c r="K8" s="13">
        <v>20</v>
      </c>
      <c r="L8" s="13">
        <v>20</v>
      </c>
      <c r="M8" s="13">
        <v>20</v>
      </c>
      <c r="N8" s="13">
        <v>30</v>
      </c>
      <c r="O8" s="13">
        <v>35</v>
      </c>
      <c r="P8" s="13">
        <v>35</v>
      </c>
      <c r="Q8" s="13">
        <v>15</v>
      </c>
      <c r="R8" s="32">
        <f>SUM(ES_13[[#This Row],[26M04]:[26M06]])</f>
        <v>40</v>
      </c>
      <c r="S8" s="79">
        <f>SUM(ES_13[[#This Row],[26M07]:[26M09]])</f>
        <v>70</v>
      </c>
      <c r="T8" s="79">
        <f>SUM(ES_13[[#This Row],[26M10]:[26M12]])</f>
        <v>85</v>
      </c>
      <c r="U8" s="85" t="str">
        <f>VLOOKUP(ES_13[[#This Row],[Product Line]],Prod_T6[],4,0)</f>
        <v>ESS</v>
      </c>
    </row>
    <row r="9" spans="1:21" ht="12" customHeight="1">
      <c r="A9" s="14" t="s">
        <v>29</v>
      </c>
      <c r="B9" s="1" t="s">
        <v>487</v>
      </c>
      <c r="D9" s="2" t="s">
        <v>134</v>
      </c>
      <c r="E9" s="2" t="s">
        <v>135</v>
      </c>
      <c r="F9" s="2" t="s">
        <v>120</v>
      </c>
      <c r="H9" s="43" t="s">
        <v>117</v>
      </c>
      <c r="I9" s="13">
        <v>0.25</v>
      </c>
      <c r="J9" s="13"/>
      <c r="K9" s="13"/>
      <c r="L9" s="13">
        <v>0.1</v>
      </c>
      <c r="M9" s="13">
        <v>0.1</v>
      </c>
      <c r="N9" s="13">
        <v>0.2</v>
      </c>
      <c r="O9" s="13">
        <v>0.2</v>
      </c>
      <c r="P9" s="13">
        <v>0.2</v>
      </c>
      <c r="Q9" s="13"/>
      <c r="R9" s="32">
        <f>SUM(ES_13[[#This Row],[26M04]:[26M06]])</f>
        <v>0.25</v>
      </c>
      <c r="S9" s="79">
        <f>SUM(ES_13[[#This Row],[26M07]:[26M09]])</f>
        <v>0.4</v>
      </c>
      <c r="T9" s="79">
        <f>SUM(ES_13[[#This Row],[26M10]:[26M12]])</f>
        <v>0.4</v>
      </c>
      <c r="U9" s="85" t="str">
        <f>VLOOKUP(ES_13[[#This Row],[Product Line]],Prod_T6[],4,0)</f>
        <v>PV</v>
      </c>
    </row>
    <row r="10" spans="1:21" ht="13">
      <c r="A10" s="14" t="s">
        <v>29</v>
      </c>
      <c r="B10" s="1" t="s">
        <v>487</v>
      </c>
      <c r="D10" s="2" t="s">
        <v>134</v>
      </c>
      <c r="E10" s="2" t="s">
        <v>263</v>
      </c>
      <c r="F10" s="2" t="s">
        <v>154</v>
      </c>
      <c r="G10" s="2" t="s">
        <v>488</v>
      </c>
      <c r="H10" s="43" t="s">
        <v>489</v>
      </c>
      <c r="I10" s="13"/>
      <c r="J10" s="13"/>
      <c r="K10" s="13"/>
      <c r="L10" s="13"/>
      <c r="M10" s="13"/>
      <c r="N10" s="13"/>
      <c r="O10" s="13"/>
      <c r="P10" s="13"/>
      <c r="Q10" s="13">
        <v>1.2</v>
      </c>
      <c r="R10" s="32">
        <f>SUM(ES_13[[#This Row],[26M04]:[26M06]])</f>
        <v>0</v>
      </c>
      <c r="S10" s="79">
        <f>SUM(ES_13[[#This Row],[26M07]:[26M09]])</f>
        <v>0</v>
      </c>
      <c r="T10" s="79">
        <f>SUM(ES_13[[#This Row],[26M10]:[26M12]])</f>
        <v>1.2</v>
      </c>
      <c r="U10" s="120" t="str">
        <f>VLOOKUP(ES_13[[#This Row],[Product Line]],Prod_T6[],4,0)</f>
        <v>PV</v>
      </c>
    </row>
    <row r="11" spans="1:21" ht="14.5">
      <c r="A11" s="14" t="s">
        <v>29</v>
      </c>
      <c r="B11" s="1" t="s">
        <v>487</v>
      </c>
      <c r="D11" s="2" t="s">
        <v>118</v>
      </c>
      <c r="E11" s="2" t="s">
        <v>180</v>
      </c>
      <c r="F11" s="2" t="s">
        <v>120</v>
      </c>
      <c r="H11" s="43" t="s">
        <v>117</v>
      </c>
      <c r="I11" s="13">
        <v>0</v>
      </c>
      <c r="J11" s="13">
        <v>0.8</v>
      </c>
      <c r="K11" s="13">
        <v>1.2</v>
      </c>
      <c r="L11" s="13">
        <v>0.8</v>
      </c>
      <c r="M11" s="13">
        <v>0.4</v>
      </c>
      <c r="N11" s="13">
        <v>1.2</v>
      </c>
      <c r="O11" s="13">
        <v>1.2</v>
      </c>
      <c r="P11" s="13">
        <v>1.2</v>
      </c>
      <c r="Q11" s="13">
        <v>0.4</v>
      </c>
      <c r="R11" s="32">
        <f>SUM(ES_13[[#This Row],[26M04]:[26M06]])</f>
        <v>2</v>
      </c>
      <c r="S11" s="79">
        <f>SUM(ES_13[[#This Row],[26M07]:[26M09]])</f>
        <v>2.4000000000000004</v>
      </c>
      <c r="T11" s="79">
        <f>SUM(ES_13[[#This Row],[26M10]:[26M12]])</f>
        <v>2.8</v>
      </c>
      <c r="U11" s="85" t="str">
        <f>VLOOKUP(ES_13[[#This Row],[Product Line]],Prod_T6[],4,0)</f>
        <v>PV</v>
      </c>
    </row>
    <row r="12" spans="1:21" ht="14.5">
      <c r="A12" s="14" t="s">
        <v>29</v>
      </c>
      <c r="B12" s="1" t="s">
        <v>487</v>
      </c>
      <c r="D12" s="2" t="s">
        <v>118</v>
      </c>
      <c r="E12" s="2" t="s">
        <v>255</v>
      </c>
      <c r="F12" s="2" t="s">
        <v>120</v>
      </c>
      <c r="H12" s="43" t="s">
        <v>117</v>
      </c>
      <c r="I12" s="13">
        <v>0.4</v>
      </c>
      <c r="J12" s="13">
        <v>1</v>
      </c>
      <c r="K12" s="13">
        <v>1</v>
      </c>
      <c r="L12" s="13">
        <v>1.2</v>
      </c>
      <c r="M12" s="13">
        <v>0.4</v>
      </c>
      <c r="N12" s="13">
        <v>1</v>
      </c>
      <c r="O12" s="13">
        <v>1.2</v>
      </c>
      <c r="P12" s="13">
        <v>1.2</v>
      </c>
      <c r="Q12" s="13">
        <v>0.4</v>
      </c>
      <c r="R12" s="32">
        <f>SUM(ES_13[[#This Row],[26M04]:[26M06]])</f>
        <v>2.4</v>
      </c>
      <c r="S12" s="79">
        <f>SUM(ES_13[[#This Row],[26M07]:[26M09]])</f>
        <v>2.6</v>
      </c>
      <c r="T12" s="79">
        <f>SUM(ES_13[[#This Row],[26M10]:[26M12]])</f>
        <v>2.8</v>
      </c>
      <c r="U12" s="85" t="str">
        <f>VLOOKUP(ES_13[[#This Row],[Product Line]],Prod_T6[],4,0)</f>
        <v>PV</v>
      </c>
    </row>
    <row r="13" spans="1:21" ht="14.5">
      <c r="A13" s="14" t="s">
        <v>29</v>
      </c>
      <c r="B13" s="1" t="s">
        <v>487</v>
      </c>
      <c r="D13" s="2" t="s">
        <v>118</v>
      </c>
      <c r="E13" s="2" t="s">
        <v>119</v>
      </c>
      <c r="F13" s="2" t="s">
        <v>120</v>
      </c>
      <c r="H13" s="43" t="s">
        <v>117</v>
      </c>
      <c r="I13" s="13">
        <v>0.4</v>
      </c>
      <c r="J13" s="13">
        <v>0.4</v>
      </c>
      <c r="K13" s="13">
        <v>0.4</v>
      </c>
      <c r="L13" s="13">
        <v>0.4</v>
      </c>
      <c r="M13" s="13"/>
      <c r="N13" s="13">
        <v>0.8</v>
      </c>
      <c r="O13" s="13">
        <v>0.4</v>
      </c>
      <c r="P13" s="13">
        <v>0.8</v>
      </c>
      <c r="Q13" s="13">
        <v>0.4</v>
      </c>
      <c r="R13" s="32">
        <f>SUM(ES_13[[#This Row],[26M04]:[26M06]])</f>
        <v>1.2000000000000002</v>
      </c>
      <c r="S13" s="79">
        <f>SUM(ES_13[[#This Row],[26M07]:[26M09]])</f>
        <v>1.2000000000000002</v>
      </c>
      <c r="T13" s="79">
        <f>SUM(ES_13[[#This Row],[26M10]:[26M12]])</f>
        <v>1.6</v>
      </c>
      <c r="U13" s="85" t="str">
        <f>VLOOKUP(ES_13[[#This Row],[Product Line]],Prod_T6[],4,0)</f>
        <v>PV</v>
      </c>
    </row>
    <row r="14" spans="1:21" ht="14.5">
      <c r="A14" s="14" t="s">
        <v>29</v>
      </c>
      <c r="B14" s="1" t="s">
        <v>487</v>
      </c>
      <c r="D14" s="2" t="s">
        <v>149</v>
      </c>
      <c r="E14" s="2" t="s">
        <v>433</v>
      </c>
      <c r="F14" s="2" t="s">
        <v>120</v>
      </c>
      <c r="H14" s="43" t="s">
        <v>132</v>
      </c>
      <c r="I14" s="13">
        <v>2</v>
      </c>
      <c r="J14" s="13">
        <v>1</v>
      </c>
      <c r="K14" s="13">
        <v>2</v>
      </c>
      <c r="L14" s="13">
        <v>1.7</v>
      </c>
      <c r="M14" s="13"/>
      <c r="N14" s="13"/>
      <c r="O14" s="13"/>
      <c r="P14" s="13"/>
      <c r="Q14" s="13"/>
      <c r="R14" s="32">
        <f>SUM(ES_13[[#This Row],[26M04]:[26M06]])</f>
        <v>5</v>
      </c>
      <c r="S14" s="79">
        <f>SUM(ES_13[[#This Row],[26M07]:[26M09]])</f>
        <v>1.7</v>
      </c>
      <c r="T14" s="79">
        <f>SUM(ES_13[[#This Row],[26M10]:[26M12]])</f>
        <v>0</v>
      </c>
      <c r="U14" s="85" t="str">
        <f>VLOOKUP(ES_13[[#This Row],[Product Line]],Prod_T6[],4,0)</f>
        <v>PV</v>
      </c>
    </row>
    <row r="15" spans="1:21" ht="14.5">
      <c r="A15" s="14" t="s">
        <v>29</v>
      </c>
      <c r="B15" s="1" t="s">
        <v>487</v>
      </c>
      <c r="D15" s="2" t="s">
        <v>149</v>
      </c>
      <c r="E15" s="2" t="s">
        <v>1238</v>
      </c>
      <c r="F15" s="2" t="s">
        <v>120</v>
      </c>
      <c r="H15" s="43" t="s">
        <v>132</v>
      </c>
      <c r="I15" s="13"/>
      <c r="J15" s="13"/>
      <c r="K15" s="13">
        <v>4</v>
      </c>
      <c r="L15" s="13"/>
      <c r="M15" s="13"/>
      <c r="N15" s="13"/>
      <c r="O15" s="13"/>
      <c r="P15" s="13"/>
      <c r="Q15" s="13"/>
      <c r="R15" s="32">
        <f>SUM(ES_13[[#This Row],[26M04]:[26M06]])</f>
        <v>4</v>
      </c>
      <c r="S15" s="79">
        <f>SUM(ES_13[[#This Row],[26M07]:[26M09]])</f>
        <v>0</v>
      </c>
      <c r="T15" s="79">
        <f>SUM(ES_13[[#This Row],[26M10]:[26M12]])</f>
        <v>0</v>
      </c>
      <c r="U15" s="85" t="str">
        <f>VLOOKUP(ES_13[[#This Row],[Product Line]],Prod_T6[],4,0)</f>
        <v>PV</v>
      </c>
    </row>
    <row r="16" spans="1:21" ht="14.5">
      <c r="A16" s="14" t="s">
        <v>29</v>
      </c>
      <c r="B16" s="1" t="s">
        <v>487</v>
      </c>
      <c r="D16" s="2" t="s">
        <v>149</v>
      </c>
      <c r="E16" s="2" t="s">
        <v>1239</v>
      </c>
      <c r="F16" s="2" t="s">
        <v>120</v>
      </c>
      <c r="H16" s="43" t="s">
        <v>132</v>
      </c>
      <c r="I16" s="13"/>
      <c r="J16" s="13"/>
      <c r="K16" s="13">
        <v>0.8</v>
      </c>
      <c r="L16" s="13">
        <v>0.8</v>
      </c>
      <c r="M16" s="13"/>
      <c r="N16" s="13"/>
      <c r="O16" s="13"/>
      <c r="P16" s="13"/>
      <c r="Q16" s="13"/>
      <c r="R16" s="32">
        <f>SUM(ES_13[[#This Row],[26M04]:[26M06]])</f>
        <v>0.8</v>
      </c>
      <c r="S16" s="79">
        <f>SUM(ES_13[[#This Row],[26M07]:[26M09]])</f>
        <v>0.8</v>
      </c>
      <c r="T16" s="79">
        <f>SUM(ES_13[[#This Row],[26M10]:[26M12]])</f>
        <v>0</v>
      </c>
      <c r="U16" s="85" t="str">
        <f>VLOOKUP(ES_13[[#This Row],[Product Line]],Prod_T6[],4,0)</f>
        <v>PV</v>
      </c>
    </row>
    <row r="17" spans="1:21" ht="14.5">
      <c r="A17" s="14" t="s">
        <v>29</v>
      </c>
      <c r="B17" s="1" t="s">
        <v>487</v>
      </c>
      <c r="D17" s="2" t="s">
        <v>54</v>
      </c>
      <c r="E17" s="2" t="s">
        <v>160</v>
      </c>
      <c r="F17" s="2" t="s">
        <v>120</v>
      </c>
      <c r="H17" s="43" t="s">
        <v>132</v>
      </c>
      <c r="I17" s="13">
        <v>1</v>
      </c>
      <c r="J17" s="13"/>
      <c r="K17" s="13"/>
      <c r="L17" s="13"/>
      <c r="M17" s="13"/>
      <c r="N17" s="13"/>
      <c r="O17" s="13"/>
      <c r="P17" s="13"/>
      <c r="Q17" s="13"/>
      <c r="R17" s="32">
        <f>SUM(ES_13[[#This Row],[26M04]:[26M06]])</f>
        <v>1</v>
      </c>
      <c r="S17" s="79">
        <f>SUM(ES_13[[#This Row],[26M07]:[26M09]])</f>
        <v>0</v>
      </c>
      <c r="T17" s="79">
        <f>SUM(ES_13[[#This Row],[26M10]:[26M12]])</f>
        <v>0</v>
      </c>
      <c r="U17" s="85" t="str">
        <f>VLOOKUP(ES_13[[#This Row],[Product Line]],Prod_T6[],4,0)</f>
        <v>PV</v>
      </c>
    </row>
    <row r="18" spans="1:21" ht="14.5">
      <c r="A18" s="14" t="s">
        <v>29</v>
      </c>
      <c r="B18" s="1" t="s">
        <v>487</v>
      </c>
      <c r="D18" s="2" t="s">
        <v>54</v>
      </c>
      <c r="E18" s="2" t="s">
        <v>297</v>
      </c>
      <c r="F18" s="2" t="s">
        <v>120</v>
      </c>
      <c r="G18" s="2" t="s">
        <v>1240</v>
      </c>
      <c r="H18" s="43" t="s">
        <v>132</v>
      </c>
      <c r="I18" s="13">
        <v>2</v>
      </c>
      <c r="J18" s="13">
        <v>1</v>
      </c>
      <c r="K18" s="13"/>
      <c r="L18" s="13"/>
      <c r="M18" s="13"/>
      <c r="N18" s="13"/>
      <c r="O18" s="13"/>
      <c r="P18" s="13"/>
      <c r="Q18" s="13"/>
      <c r="R18" s="32">
        <f>SUM(ES_13[[#This Row],[26M04]:[26M06]])</f>
        <v>3</v>
      </c>
      <c r="S18" s="79">
        <f>SUM(ES_13[[#This Row],[26M07]:[26M09]])</f>
        <v>0</v>
      </c>
      <c r="T18" s="79">
        <f>SUM(ES_13[[#This Row],[26M10]:[26M12]])</f>
        <v>0</v>
      </c>
      <c r="U18" s="85" t="str">
        <f>VLOOKUP(ES_13[[#This Row],[Product Line]],Prod_T6[],4,0)</f>
        <v>PV</v>
      </c>
    </row>
    <row r="19" spans="1:21" ht="14.5">
      <c r="A19" s="14" t="s">
        <v>29</v>
      </c>
      <c r="B19" s="1" t="s">
        <v>487</v>
      </c>
      <c r="D19" s="2" t="s">
        <v>113</v>
      </c>
      <c r="E19" s="2" t="s">
        <v>153</v>
      </c>
      <c r="F19" s="2" t="s">
        <v>120</v>
      </c>
      <c r="H19" s="43" t="s">
        <v>132</v>
      </c>
      <c r="I19" s="13"/>
      <c r="J19" s="13">
        <v>2</v>
      </c>
      <c r="K19" s="13"/>
      <c r="L19" s="13">
        <v>0.8</v>
      </c>
      <c r="M19" s="13"/>
      <c r="N19" s="13"/>
      <c r="O19" s="13"/>
      <c r="P19" s="13"/>
      <c r="Q19" s="13"/>
      <c r="R19" s="32">
        <f>SUM(ES_13[[#This Row],[26M04]:[26M06]])</f>
        <v>2</v>
      </c>
      <c r="S19" s="79">
        <f>SUM(ES_13[[#This Row],[26M07]:[26M09]])</f>
        <v>0.8</v>
      </c>
      <c r="T19" s="79">
        <f>SUM(ES_13[[#This Row],[26M10]:[26M12]])</f>
        <v>0</v>
      </c>
      <c r="U19" s="85" t="str">
        <f>VLOOKUP(ES_13[[#This Row],[Product Line]],Prod_T6[],4,0)</f>
        <v>PV</v>
      </c>
    </row>
    <row r="20" spans="1:21" ht="14.5">
      <c r="A20" s="14" t="s">
        <v>29</v>
      </c>
      <c r="B20" s="1" t="s">
        <v>487</v>
      </c>
      <c r="D20" s="2" t="s">
        <v>113</v>
      </c>
      <c r="E20" s="2" t="s">
        <v>182</v>
      </c>
      <c r="F20" s="2" t="s">
        <v>120</v>
      </c>
      <c r="H20" s="43" t="s">
        <v>132</v>
      </c>
      <c r="I20" s="13"/>
      <c r="J20" s="13">
        <v>1</v>
      </c>
      <c r="K20" s="13"/>
      <c r="L20" s="13"/>
      <c r="M20" s="13"/>
      <c r="N20" s="13"/>
      <c r="O20" s="13"/>
      <c r="P20" s="13"/>
      <c r="Q20" s="13"/>
      <c r="R20" s="32">
        <f>SUM(ES_13[[#This Row],[26M04]:[26M06]])</f>
        <v>1</v>
      </c>
      <c r="S20" s="79">
        <f>SUM(ES_13[[#This Row],[26M07]:[26M09]])</f>
        <v>0</v>
      </c>
      <c r="T20" s="79">
        <f>SUM(ES_13[[#This Row],[26M10]:[26M12]])</f>
        <v>0</v>
      </c>
      <c r="U20" s="85" t="str">
        <f>VLOOKUP(ES_13[[#This Row],[Product Line]],Prod_T6[],4,0)</f>
        <v>PV</v>
      </c>
    </row>
    <row r="21" spans="1:21" ht="14.5">
      <c r="A21" s="14" t="s">
        <v>29</v>
      </c>
      <c r="B21" s="1" t="s">
        <v>486</v>
      </c>
      <c r="D21" s="2" t="s">
        <v>149</v>
      </c>
      <c r="E21" s="2" t="s">
        <v>433</v>
      </c>
      <c r="F21" s="2" t="s">
        <v>154</v>
      </c>
      <c r="H21" s="43" t="s">
        <v>132</v>
      </c>
      <c r="I21" s="13">
        <v>2</v>
      </c>
      <c r="J21" s="13"/>
      <c r="K21" s="13"/>
      <c r="L21" s="13"/>
      <c r="M21" s="13"/>
      <c r="N21" s="13">
        <v>0.8</v>
      </c>
      <c r="O21" s="13"/>
      <c r="P21" s="13">
        <v>1.2</v>
      </c>
      <c r="Q21" s="13"/>
      <c r="R21" s="32">
        <f>SUM(ES_13[[#This Row],[26M04]:[26M06]])</f>
        <v>2</v>
      </c>
      <c r="S21" s="79">
        <f>SUM(ES_13[[#This Row],[26M07]:[26M09]])</f>
        <v>0.8</v>
      </c>
      <c r="T21" s="79">
        <f>SUM(ES_13[[#This Row],[26M10]:[26M12]])</f>
        <v>1.2</v>
      </c>
      <c r="U21" s="85" t="str">
        <f>VLOOKUP(ES_13[[#This Row],[Product Line]],Prod_T6[],4,0)</f>
        <v>PV</v>
      </c>
    </row>
    <row r="22" spans="1:21" ht="14.5">
      <c r="A22" s="14" t="s">
        <v>29</v>
      </c>
      <c r="B22" s="1" t="s">
        <v>486</v>
      </c>
      <c r="D22" s="2" t="s">
        <v>149</v>
      </c>
      <c r="E22" s="2" t="s">
        <v>722</v>
      </c>
      <c r="F22" s="2" t="s">
        <v>154</v>
      </c>
      <c r="H22" s="43" t="s">
        <v>132</v>
      </c>
      <c r="I22" s="13"/>
      <c r="J22" s="13">
        <v>2</v>
      </c>
      <c r="K22" s="13"/>
      <c r="L22" s="13"/>
      <c r="M22" s="13"/>
      <c r="N22" s="13"/>
      <c r="O22" s="13">
        <v>0.8</v>
      </c>
      <c r="P22" s="13">
        <v>0.8</v>
      </c>
      <c r="Q22" s="13"/>
      <c r="R22" s="32">
        <f>SUM(ES_13[[#This Row],[26M04]:[26M06]])</f>
        <v>2</v>
      </c>
      <c r="S22" s="79">
        <f>SUM(ES_13[[#This Row],[26M07]:[26M09]])</f>
        <v>0</v>
      </c>
      <c r="T22" s="79">
        <f>SUM(ES_13[[#This Row],[26M10]:[26M12]])</f>
        <v>1.6</v>
      </c>
      <c r="U22" s="85" t="str">
        <f>VLOOKUP(ES_13[[#This Row],[Product Line]],Prod_T6[],4,0)</f>
        <v>PV</v>
      </c>
    </row>
    <row r="23" spans="1:21" ht="14.25" customHeight="1">
      <c r="A23" s="14" t="s">
        <v>29</v>
      </c>
      <c r="B23" s="1" t="s">
        <v>486</v>
      </c>
      <c r="D23" s="2" t="s">
        <v>149</v>
      </c>
      <c r="E23" s="2" t="s">
        <v>1238</v>
      </c>
      <c r="F23" s="2" t="s">
        <v>154</v>
      </c>
      <c r="H23" s="43" t="s">
        <v>132</v>
      </c>
      <c r="I23" s="13"/>
      <c r="J23" s="13"/>
      <c r="K23" s="13">
        <v>1</v>
      </c>
      <c r="L23" s="13"/>
      <c r="M23" s="13"/>
      <c r="N23" s="13">
        <v>1.6</v>
      </c>
      <c r="O23" s="13">
        <v>1.6</v>
      </c>
      <c r="P23" s="13">
        <v>1.2</v>
      </c>
      <c r="Q23" s="13">
        <v>1.2</v>
      </c>
      <c r="R23" s="32">
        <f>SUM(ES_13[[#This Row],[26M04]:[26M06]])</f>
        <v>1</v>
      </c>
      <c r="S23" s="79">
        <f>SUM(ES_13[[#This Row],[26M07]:[26M09]])</f>
        <v>1.6</v>
      </c>
      <c r="T23" s="79">
        <f>SUM(ES_13[[#This Row],[26M10]:[26M12]])</f>
        <v>4</v>
      </c>
      <c r="U23" s="85" t="str">
        <f>VLOOKUP(ES_13[[#This Row],[Product Line]],Prod_T6[],4,0)</f>
        <v>PV</v>
      </c>
    </row>
    <row r="24" spans="1:21" ht="14.25" customHeight="1">
      <c r="A24" s="14" t="s">
        <v>29</v>
      </c>
      <c r="B24" s="1" t="s">
        <v>486</v>
      </c>
      <c r="D24" s="2" t="s">
        <v>54</v>
      </c>
      <c r="E24" s="2" t="s">
        <v>160</v>
      </c>
      <c r="F24" s="2" t="s">
        <v>154</v>
      </c>
      <c r="H24" s="43" t="s">
        <v>132</v>
      </c>
      <c r="I24" s="13"/>
      <c r="J24" s="13"/>
      <c r="K24" s="13"/>
      <c r="L24" s="13"/>
      <c r="M24" s="13"/>
      <c r="N24" s="13">
        <v>0.8</v>
      </c>
      <c r="O24" s="13"/>
      <c r="P24" s="13">
        <v>0.8</v>
      </c>
      <c r="Q24" s="13"/>
      <c r="R24" s="32">
        <f>SUM(ES_13[[#This Row],[26M04]:[26M06]])</f>
        <v>0</v>
      </c>
      <c r="S24" s="79">
        <f>SUM(ES_13[[#This Row],[26M07]:[26M09]])</f>
        <v>0.8</v>
      </c>
      <c r="T24" s="79">
        <f>SUM(ES_13[[#This Row],[26M10]:[26M12]])</f>
        <v>0.8</v>
      </c>
      <c r="U24" s="85" t="str">
        <f>VLOOKUP(ES_13[[#This Row],[Product Line]],Prod_T6[],4,0)</f>
        <v>PV</v>
      </c>
    </row>
    <row r="25" spans="1:21" ht="14.25" customHeight="1">
      <c r="A25" s="14" t="s">
        <v>29</v>
      </c>
      <c r="B25" s="1" t="s">
        <v>486</v>
      </c>
      <c r="D25" s="2" t="s">
        <v>113</v>
      </c>
      <c r="E25" s="2" t="s">
        <v>182</v>
      </c>
      <c r="F25" s="2" t="s">
        <v>120</v>
      </c>
      <c r="H25" s="43" t="s">
        <v>132</v>
      </c>
      <c r="I25" s="13"/>
      <c r="J25" s="13"/>
      <c r="K25" s="13">
        <v>0.8</v>
      </c>
      <c r="L25" s="13"/>
      <c r="M25" s="13"/>
      <c r="N25" s="13">
        <v>0.4</v>
      </c>
      <c r="O25" s="13">
        <v>0.8</v>
      </c>
      <c r="P25" s="13">
        <v>0.8</v>
      </c>
      <c r="Q25" s="13"/>
      <c r="R25" s="32">
        <f>SUM(ES_13[[#This Row],[26M04]:[26M06]])</f>
        <v>0.8</v>
      </c>
      <c r="S25" s="79">
        <f>SUM(ES_13[[#This Row],[26M07]:[26M09]])</f>
        <v>0.4</v>
      </c>
      <c r="T25" s="79">
        <f>SUM(ES_13[[#This Row],[26M10]:[26M12]])</f>
        <v>1.6</v>
      </c>
      <c r="U25" s="85" t="str">
        <f>VLOOKUP(ES_13[[#This Row],[Product Line]],Prod_T6[],4,0)</f>
        <v>PV</v>
      </c>
    </row>
    <row r="26" spans="1:21" ht="14.25" customHeight="1">
      <c r="A26" s="14" t="s">
        <v>29</v>
      </c>
      <c r="B26" s="1" t="s">
        <v>476</v>
      </c>
      <c r="D26" s="2" t="s">
        <v>149</v>
      </c>
      <c r="E26" s="2" t="s">
        <v>1238</v>
      </c>
      <c r="F26" s="2" t="s">
        <v>120</v>
      </c>
      <c r="H26" s="43" t="s">
        <v>132</v>
      </c>
      <c r="I26" s="13"/>
      <c r="J26" s="13">
        <v>0.4</v>
      </c>
      <c r="K26" s="13"/>
      <c r="L26" s="13"/>
      <c r="M26" s="13"/>
      <c r="N26" s="13">
        <v>0.8</v>
      </c>
      <c r="O26" s="13"/>
      <c r="P26" s="13">
        <v>0.8</v>
      </c>
      <c r="Q26" s="13"/>
      <c r="R26" s="32">
        <f>SUM(ES_13[[#This Row],[26M04]:[26M06]])</f>
        <v>0.4</v>
      </c>
      <c r="S26" s="79">
        <f>SUM(ES_13[[#This Row],[26M07]:[26M09]])</f>
        <v>0.8</v>
      </c>
      <c r="T26" s="79">
        <f>SUM(ES_13[[#This Row],[26M10]:[26M12]])</f>
        <v>0.8</v>
      </c>
      <c r="U26" s="85" t="str">
        <f>VLOOKUP(ES_13[[#This Row],[Product Line]],Prod_T6[],4,0)</f>
        <v>PV</v>
      </c>
    </row>
    <row r="27" spans="1:21" ht="14.25" customHeight="1">
      <c r="A27" s="14" t="s">
        <v>29</v>
      </c>
      <c r="B27" s="1" t="s">
        <v>476</v>
      </c>
      <c r="D27" s="2" t="s">
        <v>149</v>
      </c>
      <c r="E27" s="2" t="s">
        <v>1239</v>
      </c>
      <c r="F27" s="2" t="s">
        <v>136</v>
      </c>
      <c r="H27" s="43" t="s">
        <v>132</v>
      </c>
      <c r="I27" s="13">
        <v>1</v>
      </c>
      <c r="J27" s="13"/>
      <c r="K27" s="13"/>
      <c r="L27" s="13"/>
      <c r="M27" s="13"/>
      <c r="N27" s="13"/>
      <c r="O27" s="13"/>
      <c r="P27" s="13"/>
      <c r="Q27" s="13">
        <v>0.4</v>
      </c>
      <c r="R27" s="32">
        <f>SUM(ES_13[[#This Row],[26M04]:[26M06]])</f>
        <v>1</v>
      </c>
      <c r="S27" s="79">
        <f>SUM(ES_13[[#This Row],[26M07]:[26M09]])</f>
        <v>0</v>
      </c>
      <c r="T27" s="79">
        <f>SUM(ES_13[[#This Row],[26M10]:[26M12]])</f>
        <v>0.4</v>
      </c>
      <c r="U27" s="85" t="str">
        <f>VLOOKUP(ES_13[[#This Row],[Product Line]],Prod_T6[],4,0)</f>
        <v>PV</v>
      </c>
    </row>
    <row r="28" spans="1:21" ht="14.25" customHeight="1">
      <c r="A28" s="14" t="s">
        <v>29</v>
      </c>
      <c r="B28" s="1" t="s">
        <v>477</v>
      </c>
      <c r="D28" s="2" t="s">
        <v>149</v>
      </c>
      <c r="E28" s="2" t="s">
        <v>1238</v>
      </c>
      <c r="F28" s="2" t="s">
        <v>136</v>
      </c>
      <c r="H28" s="43" t="s">
        <v>132</v>
      </c>
      <c r="I28" s="13"/>
      <c r="J28" s="13"/>
      <c r="K28" s="13"/>
      <c r="L28" s="13">
        <v>1.6</v>
      </c>
      <c r="M28" s="13"/>
      <c r="N28" s="13">
        <v>0.4</v>
      </c>
      <c r="O28" s="13">
        <v>0.4</v>
      </c>
      <c r="P28" s="13">
        <v>0.4</v>
      </c>
      <c r="Q28" s="13">
        <v>0.4</v>
      </c>
      <c r="R28" s="32">
        <f>SUM(ES_13[[#This Row],[26M04]:[26M06]])</f>
        <v>0</v>
      </c>
      <c r="S28" s="79">
        <f>SUM(ES_13[[#This Row],[26M07]:[26M09]])</f>
        <v>2</v>
      </c>
      <c r="T28" s="79">
        <f>SUM(ES_13[[#This Row],[26M10]:[26M12]])</f>
        <v>1.2000000000000002</v>
      </c>
      <c r="U28" s="85" t="str">
        <f>VLOOKUP(ES_13[[#This Row],[Product Line]],Prod_T6[],4,0)</f>
        <v>PV</v>
      </c>
    </row>
    <row r="29" spans="1:21" ht="14.25" customHeight="1">
      <c r="A29" s="14" t="s">
        <v>29</v>
      </c>
      <c r="B29" s="1" t="s">
        <v>477</v>
      </c>
      <c r="D29" s="2" t="s">
        <v>149</v>
      </c>
      <c r="E29" s="2" t="s">
        <v>433</v>
      </c>
      <c r="F29" s="2" t="s">
        <v>136</v>
      </c>
      <c r="H29" s="43" t="s">
        <v>132</v>
      </c>
      <c r="I29" s="13"/>
      <c r="J29" s="13">
        <v>0.4</v>
      </c>
      <c r="K29" s="13">
        <v>0.4</v>
      </c>
      <c r="L29" s="13">
        <v>0.4</v>
      </c>
      <c r="M29" s="13"/>
      <c r="N29" s="67">
        <v>0.4</v>
      </c>
      <c r="O29" s="67"/>
      <c r="P29" s="67"/>
      <c r="Q29" s="67"/>
      <c r="R29" s="32">
        <f>SUM(ES_13[[#This Row],[26M04]:[26M06]])</f>
        <v>0.8</v>
      </c>
      <c r="S29" s="79">
        <f>SUM(ES_13[[#This Row],[26M07]:[26M09]])</f>
        <v>0.8</v>
      </c>
      <c r="T29" s="79">
        <f>SUM(ES_13[[#This Row],[26M10]:[26M12]])</f>
        <v>0</v>
      </c>
      <c r="U29" s="85" t="str">
        <f>VLOOKUP(ES_13[[#This Row],[Product Line]],Prod_T6[],4,0)</f>
        <v>PV</v>
      </c>
    </row>
    <row r="30" spans="1:21" ht="14.25" customHeight="1">
      <c r="A30" s="29" t="s">
        <v>29</v>
      </c>
      <c r="B30" s="1" t="s">
        <v>478</v>
      </c>
      <c r="D30" s="2" t="s">
        <v>149</v>
      </c>
      <c r="E30" s="2" t="s">
        <v>1238</v>
      </c>
      <c r="F30" s="2" t="s">
        <v>120</v>
      </c>
      <c r="H30" s="43" t="s">
        <v>117</v>
      </c>
      <c r="I30" s="13"/>
      <c r="J30" s="13"/>
      <c r="K30" s="13"/>
      <c r="L30" s="13"/>
      <c r="M30" s="13"/>
      <c r="N30" s="67">
        <v>0.4</v>
      </c>
      <c r="O30" s="67"/>
      <c r="P30" s="67">
        <v>0.4</v>
      </c>
      <c r="Q30" s="67"/>
      <c r="R30" s="32">
        <f>SUM(ES_13[[#This Row],[26M04]:[26M06]])</f>
        <v>0</v>
      </c>
      <c r="S30" s="79">
        <f>SUM(ES_13[[#This Row],[26M07]:[26M09]])</f>
        <v>0.4</v>
      </c>
      <c r="T30" s="79">
        <f>SUM(ES_13[[#This Row],[26M10]:[26M12]])</f>
        <v>0.4</v>
      </c>
      <c r="U30" s="85" t="str">
        <f>VLOOKUP(ES_13[[#This Row],[Product Line]],Prod_T6[],4,0)</f>
        <v>PV</v>
      </c>
    </row>
    <row r="31" spans="1:21" ht="14.25" customHeight="1">
      <c r="A31" s="29" t="s">
        <v>29</v>
      </c>
      <c r="B31" s="1" t="s">
        <v>478</v>
      </c>
      <c r="D31" s="2" t="s">
        <v>54</v>
      </c>
      <c r="E31" s="2" t="s">
        <v>160</v>
      </c>
      <c r="F31" s="2" t="s">
        <v>120</v>
      </c>
      <c r="H31" s="43" t="s">
        <v>117</v>
      </c>
      <c r="I31" s="13"/>
      <c r="J31" s="13"/>
      <c r="K31" s="13"/>
      <c r="L31" s="13"/>
      <c r="M31" s="13"/>
      <c r="N31" s="67"/>
      <c r="O31" s="67">
        <v>0.4</v>
      </c>
      <c r="P31" s="67"/>
      <c r="Q31" s="67"/>
      <c r="R31" s="32">
        <f>SUM(ES_13[[#This Row],[26M04]:[26M06]])</f>
        <v>0</v>
      </c>
      <c r="S31" s="79">
        <f>SUM(ES_13[[#This Row],[26M07]:[26M09]])</f>
        <v>0</v>
      </c>
      <c r="T31" s="79">
        <f>SUM(ES_13[[#This Row],[26M10]:[26M12]])</f>
        <v>0.4</v>
      </c>
      <c r="U31" s="85" t="str">
        <f>VLOOKUP(ES_13[[#This Row],[Product Line]],Prod_T6[],4,0)</f>
        <v>PV</v>
      </c>
    </row>
    <row r="32" spans="1:21" ht="14.25" customHeight="1">
      <c r="A32" s="29" t="s">
        <v>29</v>
      </c>
      <c r="B32" s="1" t="s">
        <v>478</v>
      </c>
      <c r="D32" s="2" t="s">
        <v>149</v>
      </c>
      <c r="E32" s="2" t="s">
        <v>433</v>
      </c>
      <c r="F32" s="254" t="s">
        <v>154</v>
      </c>
      <c r="H32" s="183"/>
      <c r="I32" s="13"/>
      <c r="J32" s="13"/>
      <c r="K32" s="13"/>
      <c r="L32" s="13"/>
      <c r="M32" s="13"/>
      <c r="N32" s="67">
        <v>0.4</v>
      </c>
      <c r="O32" s="67"/>
      <c r="P32" s="67"/>
      <c r="Q32" s="67">
        <v>0.4</v>
      </c>
      <c r="R32" s="32">
        <f>SUM(ES_13[[#This Row],[26M04]:[26M06]])</f>
        <v>0</v>
      </c>
      <c r="S32" s="79">
        <f>SUM(ES_13[[#This Row],[26M07]:[26M09]])</f>
        <v>0.4</v>
      </c>
      <c r="T32" s="79">
        <f>SUM(ES_13[[#This Row],[26M10]:[26M12]])</f>
        <v>0.4</v>
      </c>
      <c r="U32" s="120" t="str">
        <f>VLOOKUP(ES_13[[#This Row],[Product Line]],Prod_T6[],4,0)</f>
        <v>PV</v>
      </c>
    </row>
    <row r="33" spans="1:21" ht="14.25" customHeight="1">
      <c r="A33" s="29" t="s">
        <v>29</v>
      </c>
      <c r="B33" s="1" t="s">
        <v>479</v>
      </c>
      <c r="D33" s="2" t="s">
        <v>149</v>
      </c>
      <c r="E33" s="2" t="s">
        <v>1238</v>
      </c>
      <c r="F33" s="254" t="s">
        <v>136</v>
      </c>
      <c r="H33" s="183"/>
      <c r="I33" s="13"/>
      <c r="J33" s="13"/>
      <c r="K33" s="13"/>
      <c r="L33" s="13"/>
      <c r="M33" s="13"/>
      <c r="N33" s="67">
        <v>0.4</v>
      </c>
      <c r="O33" s="67">
        <v>0.4</v>
      </c>
      <c r="P33" s="67"/>
      <c r="Q33" s="67">
        <v>0.4</v>
      </c>
      <c r="R33" s="32">
        <f>SUM(ES_13[[#This Row],[26M04]:[26M06]])</f>
        <v>0</v>
      </c>
      <c r="S33" s="79">
        <f>SUM(ES_13[[#This Row],[26M07]:[26M09]])</f>
        <v>0.4</v>
      </c>
      <c r="T33" s="79">
        <f>SUM(ES_13[[#This Row],[26M10]:[26M12]])</f>
        <v>0.8</v>
      </c>
      <c r="U33" s="120" t="str">
        <f>VLOOKUP(ES_13[[#This Row],[Product Line]],Prod_T6[],4,0)</f>
        <v>PV</v>
      </c>
    </row>
    <row r="34" spans="1:21" ht="14.25" customHeight="1">
      <c r="A34" s="29" t="s">
        <v>29</v>
      </c>
      <c r="B34" s="1" t="s">
        <v>479</v>
      </c>
      <c r="D34" s="2" t="s">
        <v>54</v>
      </c>
      <c r="E34" s="2" t="s">
        <v>160</v>
      </c>
      <c r="F34" s="254" t="s">
        <v>136</v>
      </c>
      <c r="H34" s="183"/>
      <c r="I34" s="13"/>
      <c r="J34" s="13"/>
      <c r="K34" s="13"/>
      <c r="L34" s="13"/>
      <c r="M34" s="13"/>
      <c r="N34" s="67">
        <v>0.4</v>
      </c>
      <c r="O34" s="67"/>
      <c r="P34" s="67">
        <v>0.4</v>
      </c>
      <c r="Q34" s="67"/>
      <c r="R34" s="32">
        <f>SUM(ES_13[[#This Row],[26M04]:[26M06]])</f>
        <v>0</v>
      </c>
      <c r="S34" s="79">
        <f>SUM(ES_13[[#This Row],[26M07]:[26M09]])</f>
        <v>0.4</v>
      </c>
      <c r="T34" s="79">
        <f>SUM(ES_13[[#This Row],[26M10]:[26M12]])</f>
        <v>0.4</v>
      </c>
      <c r="U34" s="120" t="str">
        <f>VLOOKUP(ES_13[[#This Row],[Product Line]],Prod_T6[],4,0)</f>
        <v>PV</v>
      </c>
    </row>
    <row r="35" spans="1:21" ht="14.25" customHeight="1">
      <c r="A35" s="29" t="s">
        <v>29</v>
      </c>
      <c r="B35" s="1" t="s">
        <v>480</v>
      </c>
      <c r="D35" s="2" t="s">
        <v>54</v>
      </c>
      <c r="E35" s="2" t="s">
        <v>160</v>
      </c>
      <c r="F35" s="254" t="s">
        <v>136</v>
      </c>
      <c r="H35" s="183"/>
      <c r="I35" s="13"/>
      <c r="J35" s="13"/>
      <c r="K35" s="13"/>
      <c r="L35" s="13"/>
      <c r="M35" s="13">
        <v>0.4</v>
      </c>
      <c r="N35" s="67"/>
      <c r="O35" s="67"/>
      <c r="P35" s="67"/>
      <c r="Q35" s="67"/>
      <c r="R35" s="32">
        <f>SUM(ES_13[[#This Row],[26M04]:[26M06]])</f>
        <v>0</v>
      </c>
      <c r="S35" s="79">
        <f>SUM(ES_13[[#This Row],[26M07]:[26M09]])</f>
        <v>0.4</v>
      </c>
      <c r="T35" s="79">
        <f>SUM(ES_13[[#This Row],[26M10]:[26M12]])</f>
        <v>0</v>
      </c>
      <c r="U35" s="120" t="str">
        <f>VLOOKUP(ES_13[[#This Row],[Product Line]],Prod_T6[],4,0)</f>
        <v>PV</v>
      </c>
    </row>
    <row r="36" spans="1:21" ht="14.25" customHeight="1">
      <c r="A36" s="29" t="s">
        <v>29</v>
      </c>
      <c r="B36" s="1" t="s">
        <v>480</v>
      </c>
      <c r="D36" s="2" t="s">
        <v>54</v>
      </c>
      <c r="E36" s="2" t="s">
        <v>166</v>
      </c>
      <c r="F36" s="254" t="s">
        <v>136</v>
      </c>
      <c r="H36" s="183"/>
      <c r="I36" s="13"/>
      <c r="J36" s="13"/>
      <c r="K36" s="13"/>
      <c r="L36" s="13"/>
      <c r="M36" s="13"/>
      <c r="N36" s="67"/>
      <c r="O36" s="67">
        <v>0.4</v>
      </c>
      <c r="P36" s="67">
        <v>0.8</v>
      </c>
      <c r="Q36" s="67">
        <v>0.4</v>
      </c>
      <c r="R36" s="32">
        <f>SUM(ES_13[[#This Row],[26M04]:[26M06]])</f>
        <v>0</v>
      </c>
      <c r="S36" s="79">
        <f>SUM(ES_13[[#This Row],[26M07]:[26M09]])</f>
        <v>0</v>
      </c>
      <c r="T36" s="79">
        <f>SUM(ES_13[[#This Row],[26M10]:[26M12]])</f>
        <v>1.6</v>
      </c>
      <c r="U36" s="120" t="str">
        <f>VLOOKUP(ES_13[[#This Row],[Product Line]],Prod_T6[],4,0)</f>
        <v>PV</v>
      </c>
    </row>
    <row r="37" spans="1:21" ht="14.25" customHeight="1">
      <c r="A37" s="29" t="s">
        <v>29</v>
      </c>
      <c r="B37" s="1" t="s">
        <v>481</v>
      </c>
      <c r="D37" s="2" t="s">
        <v>149</v>
      </c>
      <c r="E37" s="2" t="s">
        <v>1238</v>
      </c>
      <c r="H37" s="43"/>
      <c r="I37" s="13"/>
      <c r="J37" s="13"/>
      <c r="K37" s="13"/>
      <c r="L37" s="13"/>
      <c r="M37" s="13"/>
      <c r="N37" s="67">
        <v>0.4</v>
      </c>
      <c r="O37" s="67"/>
      <c r="P37" s="67"/>
      <c r="Q37" s="67"/>
      <c r="R37" s="32">
        <f>SUM(ES_13[[#This Row],[26M04]:[26M06]])</f>
        <v>0</v>
      </c>
      <c r="S37" s="79">
        <f>SUM(ES_13[[#This Row],[26M07]:[26M09]])</f>
        <v>0.4</v>
      </c>
      <c r="T37" s="79">
        <f>SUM(ES_13[[#This Row],[26M10]:[26M12]])</f>
        <v>0</v>
      </c>
      <c r="U37" s="120" t="str">
        <f>VLOOKUP(ES_13[[#This Row],[Product Line]],Prod_T6[],4,0)</f>
        <v>PV</v>
      </c>
    </row>
    <row r="38" spans="1:21" ht="14.25" customHeight="1">
      <c r="A38" s="29" t="s">
        <v>29</v>
      </c>
      <c r="B38" s="1" t="s">
        <v>481</v>
      </c>
      <c r="D38" s="2" t="s">
        <v>54</v>
      </c>
      <c r="E38" s="2" t="s">
        <v>166</v>
      </c>
      <c r="H38" s="43"/>
      <c r="I38" s="13"/>
      <c r="J38" s="13"/>
      <c r="K38" s="13"/>
      <c r="L38" s="13"/>
      <c r="M38" s="13"/>
      <c r="N38" s="67">
        <v>0.4</v>
      </c>
      <c r="O38" s="67"/>
      <c r="P38" s="67"/>
      <c r="Q38" s="67"/>
      <c r="R38" s="32">
        <f>SUM(ES_13[[#This Row],[26M04]:[26M06]])</f>
        <v>0</v>
      </c>
      <c r="S38" s="79">
        <f>SUM(ES_13[[#This Row],[26M07]:[26M09]])</f>
        <v>0.4</v>
      </c>
      <c r="T38" s="79">
        <f>SUM(ES_13[[#This Row],[26M10]:[26M12]])</f>
        <v>0</v>
      </c>
      <c r="U38" s="120" t="str">
        <f>VLOOKUP(ES_13[[#This Row],[Product Line]],Prod_T6[],4,0)</f>
        <v>PV</v>
      </c>
    </row>
    <row r="39" spans="1:21" ht="14.25" customHeight="1">
      <c r="A39" s="29" t="s">
        <v>29</v>
      </c>
      <c r="B39" s="1" t="s">
        <v>482</v>
      </c>
      <c r="D39" s="2" t="s">
        <v>149</v>
      </c>
      <c r="E39" s="2" t="s">
        <v>1239</v>
      </c>
      <c r="F39" s="2" t="s">
        <v>120</v>
      </c>
      <c r="H39" s="43"/>
      <c r="I39" s="13"/>
      <c r="J39" s="13"/>
      <c r="K39" s="13"/>
      <c r="L39" s="13"/>
      <c r="M39" s="13"/>
      <c r="N39" s="67"/>
      <c r="O39" s="67">
        <v>1.6</v>
      </c>
      <c r="P39" s="67">
        <v>0.8</v>
      </c>
      <c r="Q39" s="67"/>
      <c r="R39" s="32">
        <f>SUM(ES_13[[#This Row],[26M04]:[26M06]])</f>
        <v>0</v>
      </c>
      <c r="S39" s="79">
        <f>SUM(ES_13[[#This Row],[26M07]:[26M09]])</f>
        <v>0</v>
      </c>
      <c r="T39" s="79">
        <f>SUM(ES_13[[#This Row],[26M10]:[26M12]])</f>
        <v>2.4000000000000004</v>
      </c>
      <c r="U39" s="120" t="str">
        <f>VLOOKUP(ES_13[[#This Row],[Product Line]],Prod_T6[],4,0)</f>
        <v>PV</v>
      </c>
    </row>
    <row r="40" spans="1:21" ht="14.25" customHeight="1">
      <c r="A40" s="29" t="s">
        <v>29</v>
      </c>
      <c r="B40" s="1" t="s">
        <v>483</v>
      </c>
      <c r="D40" s="2" t="s">
        <v>149</v>
      </c>
      <c r="E40" s="2" t="s">
        <v>433</v>
      </c>
      <c r="F40" s="2" t="s">
        <v>154</v>
      </c>
      <c r="H40" s="43"/>
      <c r="I40" s="13"/>
      <c r="J40" s="13"/>
      <c r="K40" s="13"/>
      <c r="L40" s="13"/>
      <c r="M40" s="13"/>
      <c r="N40" s="67"/>
      <c r="O40" s="67"/>
      <c r="P40" s="67">
        <v>0.8</v>
      </c>
      <c r="Q40" s="67"/>
      <c r="R40" s="32">
        <f>SUM(ES_13[[#This Row],[26M04]:[26M06]])</f>
        <v>0</v>
      </c>
      <c r="S40" s="79">
        <f>SUM(ES_13[[#This Row],[26M07]:[26M09]])</f>
        <v>0</v>
      </c>
      <c r="T40" s="79">
        <f>SUM(ES_13[[#This Row],[26M10]:[26M12]])</f>
        <v>0.8</v>
      </c>
      <c r="U40" s="120" t="str">
        <f>VLOOKUP(ES_13[[#This Row],[Product Line]],Prod_T6[],4,0)</f>
        <v>PV</v>
      </c>
    </row>
    <row r="41" spans="1:21" ht="14.25" customHeight="1">
      <c r="A41" s="29" t="s">
        <v>29</v>
      </c>
      <c r="B41" s="1" t="s">
        <v>483</v>
      </c>
      <c r="D41" s="2" t="s">
        <v>149</v>
      </c>
      <c r="E41" s="2" t="s">
        <v>1238</v>
      </c>
      <c r="F41" s="2" t="s">
        <v>136</v>
      </c>
      <c r="H41" s="43"/>
      <c r="I41" s="13"/>
      <c r="J41" s="13"/>
      <c r="K41" s="13"/>
      <c r="L41" s="13"/>
      <c r="M41" s="13"/>
      <c r="N41" s="67">
        <v>0.8</v>
      </c>
      <c r="O41" s="67"/>
      <c r="P41" s="67">
        <v>0.4</v>
      </c>
      <c r="Q41" s="67"/>
      <c r="R41" s="32">
        <f>SUM(ES_13[[#This Row],[26M04]:[26M06]])</f>
        <v>0</v>
      </c>
      <c r="S41" s="79">
        <f>SUM(ES_13[[#This Row],[26M07]:[26M09]])</f>
        <v>0.8</v>
      </c>
      <c r="T41" s="79">
        <f>SUM(ES_13[[#This Row],[26M10]:[26M12]])</f>
        <v>0.4</v>
      </c>
      <c r="U41" s="120" t="str">
        <f>VLOOKUP(ES_13[[#This Row],[Product Line]],Prod_T6[],4,0)</f>
        <v>PV</v>
      </c>
    </row>
    <row r="42" spans="1:21" ht="14.25" customHeight="1">
      <c r="A42" s="29" t="s">
        <v>29</v>
      </c>
      <c r="B42" s="1" t="s">
        <v>475</v>
      </c>
      <c r="D42" s="2" t="s">
        <v>414</v>
      </c>
      <c r="E42" s="266" t="s">
        <v>484</v>
      </c>
      <c r="F42" s="2" t="s">
        <v>115</v>
      </c>
      <c r="H42" s="43" t="s">
        <v>117</v>
      </c>
      <c r="I42" s="13"/>
      <c r="J42" s="13"/>
      <c r="K42" s="13"/>
      <c r="L42" s="13"/>
      <c r="M42" s="13"/>
      <c r="N42" s="67"/>
      <c r="O42" s="67"/>
      <c r="P42" s="67">
        <v>20</v>
      </c>
      <c r="Q42" s="67">
        <v>60</v>
      </c>
      <c r="R42" s="32">
        <f>SUM(ES_13[[#This Row],[26M04]:[26M06]])</f>
        <v>0</v>
      </c>
      <c r="S42" s="79">
        <f>SUM(ES_13[[#This Row],[26M07]:[26M09]])</f>
        <v>0</v>
      </c>
      <c r="T42" s="79">
        <f>SUM(ES_13[[#This Row],[26M10]:[26M12]])</f>
        <v>80</v>
      </c>
      <c r="U42" s="85" t="str">
        <f>VLOOKUP(ES_13[[#This Row],[Product Line]],Prod_T6[],4,0)</f>
        <v>ESS</v>
      </c>
    </row>
    <row r="43" spans="1:21" ht="14.25" customHeight="1">
      <c r="A43" s="29" t="s">
        <v>29</v>
      </c>
      <c r="B43" s="1" t="s">
        <v>475</v>
      </c>
      <c r="D43" s="2" t="s">
        <v>414</v>
      </c>
      <c r="E43" s="266" t="s">
        <v>1241</v>
      </c>
      <c r="F43" s="2" t="s">
        <v>115</v>
      </c>
      <c r="H43" s="43" t="s">
        <v>117</v>
      </c>
      <c r="I43" s="13"/>
      <c r="J43" s="13"/>
      <c r="K43" s="13"/>
      <c r="L43" s="13"/>
      <c r="M43" s="13"/>
      <c r="N43" s="67"/>
      <c r="O43" s="67"/>
      <c r="P43" s="67">
        <v>2</v>
      </c>
      <c r="Q43" s="67">
        <v>6</v>
      </c>
      <c r="R43" s="32">
        <f>SUM(ES_13[[#This Row],[26M04]:[26M06]])</f>
        <v>0</v>
      </c>
      <c r="S43" s="79">
        <f>SUM(ES_13[[#This Row],[26M07]:[26M09]])</f>
        <v>0</v>
      </c>
      <c r="T43" s="79">
        <f>SUM(ES_13[[#This Row],[26M10]:[26M12]])</f>
        <v>8</v>
      </c>
      <c r="U43" s="85" t="str">
        <f>VLOOKUP(ES_13[[#This Row],[Product Line]],Prod_T6[],4,0)</f>
        <v>ESS</v>
      </c>
    </row>
    <row r="44" spans="1:21" ht="14.25" customHeight="1">
      <c r="A44" s="29" t="s">
        <v>29</v>
      </c>
      <c r="B44" s="1" t="s">
        <v>475</v>
      </c>
      <c r="D44" s="2" t="s">
        <v>141</v>
      </c>
      <c r="E44" s="2" t="s">
        <v>46</v>
      </c>
      <c r="F44" s="2" t="s">
        <v>154</v>
      </c>
      <c r="H44" s="43" t="s">
        <v>117</v>
      </c>
      <c r="I44" s="13"/>
      <c r="J44" s="13"/>
      <c r="K44" s="13"/>
      <c r="L44" s="13"/>
      <c r="M44" s="13"/>
      <c r="N44" s="67">
        <v>4</v>
      </c>
      <c r="O44" s="67">
        <v>12</v>
      </c>
      <c r="P44" s="67">
        <v>12</v>
      </c>
      <c r="Q44" s="67">
        <v>4</v>
      </c>
      <c r="R44" s="32">
        <f>SUM(ES_13[[#This Row],[26M04]:[26M06]])</f>
        <v>0</v>
      </c>
      <c r="S44" s="79">
        <f>SUM(ES_13[[#This Row],[26M07]:[26M09]])</f>
        <v>4</v>
      </c>
      <c r="T44" s="79">
        <f>SUM(ES_13[[#This Row],[26M10]:[26M12]])</f>
        <v>28</v>
      </c>
      <c r="U44" s="85" t="str">
        <f>VLOOKUP(ES_13[[#This Row],[Product Line]],Prod_T6[],4,0)</f>
        <v>ESS</v>
      </c>
    </row>
    <row r="45" spans="1:21" ht="14.25" customHeight="1">
      <c r="A45" s="29" t="s">
        <v>29</v>
      </c>
      <c r="B45" s="1" t="s">
        <v>475</v>
      </c>
      <c r="D45" s="2" t="s">
        <v>141</v>
      </c>
      <c r="E45" s="2" t="s">
        <v>50</v>
      </c>
      <c r="F45" s="2" t="s">
        <v>154</v>
      </c>
      <c r="H45" s="43" t="s">
        <v>117</v>
      </c>
      <c r="I45" s="13"/>
      <c r="J45" s="13"/>
      <c r="K45" s="13"/>
      <c r="L45" s="13"/>
      <c r="M45" s="13"/>
      <c r="N45" s="67"/>
      <c r="O45" s="67">
        <v>2</v>
      </c>
      <c r="P45" s="67">
        <v>4</v>
      </c>
      <c r="Q45" s="67">
        <v>4</v>
      </c>
      <c r="R45" s="32">
        <f>SUM(ES_13[[#This Row],[26M04]:[26M06]])</f>
        <v>0</v>
      </c>
      <c r="S45" s="79">
        <f>SUM(ES_13[[#This Row],[26M07]:[26M09]])</f>
        <v>0</v>
      </c>
      <c r="T45" s="79">
        <f>SUM(ES_13[[#This Row],[26M10]:[26M12]])</f>
        <v>10</v>
      </c>
      <c r="U45" s="85" t="str">
        <f>VLOOKUP(ES_13[[#This Row],[Product Line]],Prod_T6[],4,0)</f>
        <v>ESS</v>
      </c>
    </row>
    <row r="47" spans="1:21" ht="14.25" customHeight="1">
      <c r="I47" s="102">
        <f>SUBTOTAL(9,ES_13[26M04])</f>
        <v>69.05</v>
      </c>
      <c r="J47" s="102">
        <f>SUBTOTAL(9,ES_13[26M05])</f>
        <v>10</v>
      </c>
      <c r="K47" s="102">
        <f>SUBTOTAL(9,ES_13[26M06])</f>
        <v>71.599999999999994</v>
      </c>
      <c r="L47" s="102">
        <f>SUBTOTAL(9,ES_13[26M07])</f>
        <v>77.8</v>
      </c>
      <c r="M47" s="102">
        <f>SUBTOTAL(9,ES_13[26M08])</f>
        <v>36.299999999999997</v>
      </c>
      <c r="N47" s="102">
        <f>SUBTOTAL(9,ES_13[26M09])</f>
        <v>85.600000000000037</v>
      </c>
      <c r="O47" s="102"/>
      <c r="P47" s="102"/>
      <c r="Q47" s="102"/>
      <c r="R47" s="103">
        <f>SUBTOTAL(9,ES_13[26Q2])</f>
        <v>150.65000000000006</v>
      </c>
      <c r="S47" s="102">
        <f>SUBTOTAL(9,ES_13[26Q3])</f>
        <v>199.7000000000001</v>
      </c>
      <c r="T47" s="102">
        <f>SUBTOTAL(9,ES_13[26Q4])</f>
        <v>334.00000000000006</v>
      </c>
    </row>
  </sheetData>
  <phoneticPr fontId="65" type="noConversion"/>
  <dataValidations count="4">
    <dataValidation type="list" allowBlank="1" showInputMessage="1" showErrorMessage="1" sqref="A6:A45" xr:uid="{90E7FE64-D14B-4370-9128-77FE21324020}">
      <formula1>Country_List</formula1>
    </dataValidation>
    <dataValidation type="list" allowBlank="1" showInputMessage="1" showErrorMessage="1" sqref="D6:D45" xr:uid="{A46C291A-3BE9-4B3D-B7FF-28E6E92DBB48}">
      <formula1>Product_List</formula1>
    </dataValidation>
    <dataValidation type="list" allowBlank="1" showInputMessage="1" showErrorMessage="1" sqref="F6:F45" xr:uid="{F4866F14-43B5-439E-8DFF-4A01D2D7EBBA}">
      <formula1>Stage_List</formula1>
    </dataValidation>
    <dataValidation type="list" allowBlank="1" showInputMessage="1" showErrorMessage="1" sqref="B6:B17 B21:B27 E6:E45" xr:uid="{8C4CB2A7-A6D0-41AA-A505-1BE265263DE5}">
      <formula1>INDIRECT(A6)</formula1>
    </dataValidation>
  </dataValidations>
  <pageMargins left="0.70866141732283505" right="0.70866141732283505" top="0.74803149606299202" bottom="0.74803149606299202" header="0.31496062992126" footer="0.31496062992126"/>
  <pageSetup paperSize="9" scale="41" orientation="landscape" r:id="rId1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8212-760F-4F9C-AB01-89CFE6E425D9}">
  <sheetPr>
    <tabColor theme="4" tint="0.39997558519241921"/>
    <pageSetUpPr fitToPage="1"/>
  </sheetPr>
  <dimension ref="A1:U110"/>
  <sheetViews>
    <sheetView topLeftCell="A67" zoomScale="115" zoomScaleNormal="115" workbookViewId="0">
      <pane xSplit="8" topLeftCell="P1" activePane="topRight" state="frozen"/>
      <selection activeCell="D6" sqref="D6:Q80"/>
      <selection pane="topRight" activeCell="D6" sqref="D6:Q80"/>
    </sheetView>
  </sheetViews>
  <sheetFormatPr defaultColWidth="8.08984375" defaultRowHeight="14.25" customHeight="1" outlineLevelCol="1"/>
  <cols>
    <col min="1" max="1" width="12" style="2" customWidth="1" outlineLevel="1"/>
    <col min="2" max="2" width="25.6328125" style="1" customWidth="1"/>
    <col min="3" max="3" width="12.36328125" style="3" customWidth="1" outlineLevel="1"/>
    <col min="4" max="4" width="15.36328125" style="2" bestFit="1" customWidth="1"/>
    <col min="5" max="5" width="38.6328125" style="2" customWidth="1"/>
    <col min="6" max="6" width="17.36328125" style="1" customWidth="1"/>
    <col min="7" max="7" width="24.36328125" style="1" hidden="1" customWidth="1"/>
    <col min="8" max="8" width="19.08984375" style="46" customWidth="1" outlineLevel="1"/>
    <col min="9" max="11" width="8.08984375" style="2" customWidth="1"/>
    <col min="12" max="12" width="9" style="2" customWidth="1"/>
    <col min="13" max="17" width="8.08984375" style="2" customWidth="1"/>
    <col min="18" max="18" width="8.08984375" style="5" customWidth="1" outlineLevel="1" collapsed="1"/>
    <col min="19" max="16322" width="8.08984375" style="2" customWidth="1"/>
    <col min="16323" max="16384" width="8.08984375" style="2"/>
  </cols>
  <sheetData>
    <row r="1" spans="1:21" ht="13">
      <c r="B1" s="2"/>
      <c r="F1" s="1" t="s">
        <v>5</v>
      </c>
      <c r="H1" s="45"/>
      <c r="I1" s="2" t="s">
        <v>623</v>
      </c>
      <c r="J1" s="2" t="s">
        <v>623</v>
      </c>
      <c r="K1" s="2" t="s">
        <v>623</v>
      </c>
      <c r="L1" s="2" t="s">
        <v>623</v>
      </c>
      <c r="M1" s="2" t="s">
        <v>623</v>
      </c>
      <c r="N1" s="2" t="s">
        <v>623</v>
      </c>
      <c r="O1" s="2" t="s">
        <v>623</v>
      </c>
      <c r="P1" s="2" t="s">
        <v>623</v>
      </c>
      <c r="Q1" s="2" t="s">
        <v>623</v>
      </c>
      <c r="R1" s="5" t="s">
        <v>623</v>
      </c>
      <c r="S1" s="5" t="s">
        <v>623</v>
      </c>
      <c r="T1" s="5" t="s">
        <v>623</v>
      </c>
    </row>
    <row r="2" spans="1:21" ht="13.5">
      <c r="B2" s="2"/>
      <c r="G2" s="49" t="s">
        <v>27</v>
      </c>
      <c r="H2" s="61"/>
      <c r="I2" s="200">
        <f>SUMIFS(FR_CH3[26M04],FR_CH3[Product Category],$G2)</f>
        <v>94</v>
      </c>
      <c r="J2" s="200">
        <f>SUMIFS(FR_CH3[26M05],FR_CH3[Product Category],$G2)</f>
        <v>4</v>
      </c>
      <c r="K2" s="200">
        <f>SUMIFS(FR_CH3[26M06],FR_CH3[Product Category],$G2)</f>
        <v>3</v>
      </c>
      <c r="L2" s="200">
        <f>SUMIFS(FR_CH3[26M07],FR_CH3[Product Category],$G2)</f>
        <v>208</v>
      </c>
      <c r="M2" s="200">
        <f>SUMIFS(FR_CH3[26M08],FR_CH3[Product Category],$G2)</f>
        <v>122</v>
      </c>
      <c r="N2" s="200">
        <f>SUMIFS(FR_CH3[26M09],FR_CH3[Product Category],$G2)</f>
        <v>214</v>
      </c>
      <c r="O2" s="200">
        <f>SUMIFS(FR_CH3[26M10],FR_CH3[Country],$G2)</f>
        <v>0</v>
      </c>
      <c r="P2" s="200">
        <f>SUMIFS(FR_CH3[26M11],FR_CH3[Customer name],$G2)</f>
        <v>0</v>
      </c>
      <c r="Q2" s="200">
        <f>SUMIFS(FR_CH3[26M12],FR_CH3[RSM],$G2)</f>
        <v>0</v>
      </c>
      <c r="R2" s="200">
        <f>SUMIFS(FR_CH3[26Q2],FR_CH3[Product Category],$G2)</f>
        <v>206</v>
      </c>
      <c r="S2" s="200">
        <f>SUMIFS(FR_CH3[26Q2],FR_CH3[Product Category],$G2)</f>
        <v>206</v>
      </c>
      <c r="T2" s="200">
        <f>SUMIFS(FR_CH3[26Q3],FR_CH3[Country],$G2)</f>
        <v>0</v>
      </c>
    </row>
    <row r="3" spans="1:21" ht="13.5">
      <c r="B3" s="2"/>
      <c r="G3" s="49" t="s">
        <v>87</v>
      </c>
      <c r="H3" s="61"/>
      <c r="I3" s="200">
        <f>SUMIFS(FR_CH3[26M04],FR_CH3[Product Category],$G3)</f>
        <v>0</v>
      </c>
      <c r="J3" s="200">
        <f>SUMIFS(FR_CH3[26M05],FR_CH3[Product Category],$G3)</f>
        <v>0</v>
      </c>
      <c r="K3" s="200">
        <f>SUMIFS(FR_CH3[26M06],FR_CH3[Product Category],$G3)</f>
        <v>0</v>
      </c>
      <c r="L3" s="200">
        <f>SUMIFS(FR_CH3[26M07],FR_CH3[Product Category],$G3)</f>
        <v>0</v>
      </c>
      <c r="M3" s="200">
        <f>SUMIFS(FR_CH3[26M08],FR_CH3[Product Category],$G3)</f>
        <v>0</v>
      </c>
      <c r="N3" s="200">
        <f>SUMIFS(FR_CH3[26M09],FR_CH3[Product Category],$G3)</f>
        <v>0</v>
      </c>
      <c r="O3" s="200">
        <f>SUMIFS(FR_CH3[26M10],FR_CH3[Country],$G3)</f>
        <v>0</v>
      </c>
      <c r="P3" s="200">
        <f>SUMIFS(FR_CH3[26M11],FR_CH3[Customer name],$G3)</f>
        <v>0</v>
      </c>
      <c r="Q3" s="200">
        <f>SUMIFS(FR_CH3[26M12],FR_CH3[RSM],$G3)</f>
        <v>0</v>
      </c>
      <c r="R3" s="200">
        <f>SUMIFS(FR_CH3[26Q2],FR_CH3[Product Category],$G3)</f>
        <v>0</v>
      </c>
      <c r="S3" s="200">
        <f>SUMIFS(FR_CH3[26Q2],FR_CH3[Product Category],$G3)</f>
        <v>0</v>
      </c>
      <c r="T3" s="200">
        <f>SUMIFS(FR_CH3[26Q3],FR_CH3[Country],$G3)</f>
        <v>0</v>
      </c>
    </row>
    <row r="4" spans="1:21" ht="13.5">
      <c r="B4" s="2"/>
      <c r="C4" s="2"/>
      <c r="F4" s="2"/>
      <c r="G4" s="49" t="s">
        <v>70</v>
      </c>
      <c r="H4" s="61"/>
      <c r="I4" s="200">
        <f>SUMIFS(FR_CH3[26M04],FR_CH3[Product Category],$G4)</f>
        <v>21.629000000000001</v>
      </c>
      <c r="J4" s="200">
        <f>SUMIFS(FR_CH3[26M05],FR_CH3[Product Category],$G4)</f>
        <v>15.900000000000006</v>
      </c>
      <c r="K4" s="200">
        <f>SUMIFS(FR_CH3[26M06],FR_CH3[Product Category],$G4)</f>
        <v>18.950000000000006</v>
      </c>
      <c r="L4" s="200">
        <f>SUMIFS(FR_CH3[26M07],FR_CH3[Product Category],$G4)</f>
        <v>21.357000000000003</v>
      </c>
      <c r="M4" s="200">
        <f>SUMIFS(FR_CH3[26M08],FR_CH3[Product Category],$G4)</f>
        <v>28.721999999999991</v>
      </c>
      <c r="N4" s="200">
        <f>SUMIFS(FR_CH3[26M09],FR_CH3[Product Category],$G4)</f>
        <v>50.894999999999996</v>
      </c>
      <c r="O4" s="200">
        <f>SUMIFS(FR_CH3[26M10],FR_CH3[Country],$G4)</f>
        <v>0</v>
      </c>
      <c r="P4" s="200">
        <f>SUMIFS(FR_CH3[26M11],FR_CH3[Customer name],$G4)</f>
        <v>0</v>
      </c>
      <c r="Q4" s="200">
        <f>SUMIFS(FR_CH3[26M12],FR_CH3[RSM],$G4)</f>
        <v>0</v>
      </c>
      <c r="R4" s="200">
        <f>SUMIFS(FR_CH3[26Q2],FR_CH3[Product Category],$G4)</f>
        <v>54.219000000000008</v>
      </c>
      <c r="S4" s="200">
        <f>SUMIFS(FR_CH3[26Q2],FR_CH3[Product Category],$G4)</f>
        <v>54.219000000000008</v>
      </c>
      <c r="T4" s="200">
        <f>SUMIFS(FR_CH3[26Q3],FR_CH3[Country],$G4)</f>
        <v>0</v>
      </c>
    </row>
    <row r="5" spans="1:21" s="8" customFormat="1" ht="50.25" customHeight="1">
      <c r="A5" s="10" t="s">
        <v>45</v>
      </c>
      <c r="B5" s="11" t="s">
        <v>1</v>
      </c>
      <c r="C5" s="10" t="s">
        <v>92</v>
      </c>
      <c r="D5" s="10" t="s">
        <v>3</v>
      </c>
      <c r="E5" s="10" t="s">
        <v>28</v>
      </c>
      <c r="F5" s="11" t="s">
        <v>5</v>
      </c>
      <c r="G5" s="33" t="s">
        <v>93</v>
      </c>
      <c r="H5" s="9" t="s">
        <v>94</v>
      </c>
      <c r="I5" s="12" t="s">
        <v>95</v>
      </c>
      <c r="J5" s="12" t="s">
        <v>96</v>
      </c>
      <c r="K5" s="12" t="s">
        <v>97</v>
      </c>
      <c r="L5" s="12" t="s">
        <v>98</v>
      </c>
      <c r="M5" s="12" t="s">
        <v>99</v>
      </c>
      <c r="N5" s="12" t="s">
        <v>100</v>
      </c>
      <c r="O5" s="12" t="s">
        <v>34</v>
      </c>
      <c r="P5" s="12" t="s">
        <v>101</v>
      </c>
      <c r="Q5" s="12" t="s">
        <v>36</v>
      </c>
      <c r="R5" s="203" t="s">
        <v>626</v>
      </c>
      <c r="S5" s="203" t="s">
        <v>627</v>
      </c>
      <c r="T5" s="203" t="s">
        <v>628</v>
      </c>
      <c r="U5" s="78" t="s">
        <v>26</v>
      </c>
    </row>
    <row r="6" spans="1:21" ht="14.5">
      <c r="A6" s="14" t="s">
        <v>30</v>
      </c>
      <c r="B6" s="1" t="s">
        <v>199</v>
      </c>
      <c r="C6" s="3" t="s">
        <v>186</v>
      </c>
      <c r="D6" s="2" t="s">
        <v>197</v>
      </c>
      <c r="E6" s="2" t="s">
        <v>59</v>
      </c>
      <c r="F6" s="1" t="s">
        <v>120</v>
      </c>
      <c r="H6" s="15" t="s">
        <v>117</v>
      </c>
      <c r="I6" s="205">
        <v>8</v>
      </c>
      <c r="J6" s="205">
        <v>0</v>
      </c>
      <c r="K6" s="205">
        <v>0</v>
      </c>
      <c r="L6" s="205">
        <v>16</v>
      </c>
      <c r="M6" s="13">
        <v>12</v>
      </c>
      <c r="N6" s="13">
        <v>8</v>
      </c>
      <c r="O6" s="13">
        <v>8</v>
      </c>
      <c r="P6" s="13">
        <v>8</v>
      </c>
      <c r="Q6" s="13">
        <v>8</v>
      </c>
      <c r="R6" s="32">
        <f>SUM(FR_CH3[[#This Row],[26M04]:[26M06]])</f>
        <v>8</v>
      </c>
      <c r="S6" s="79">
        <f>SUM(FR_CH3[[#This Row],[26M07]:[26M09]])</f>
        <v>36</v>
      </c>
      <c r="T6" s="79">
        <f>SUM(FR_CH3[[#This Row],[26M10]:[26M12]])</f>
        <v>24</v>
      </c>
      <c r="U6" s="85" t="str">
        <f>VLOOKUP(FR_CH3[[#This Row],[Product Line]],Prod_T6[],4,0)</f>
        <v>ESS</v>
      </c>
    </row>
    <row r="7" spans="1:21" ht="14.5">
      <c r="A7" s="14" t="s">
        <v>30</v>
      </c>
      <c r="B7" s="1" t="s">
        <v>199</v>
      </c>
      <c r="C7" s="3" t="s">
        <v>186</v>
      </c>
      <c r="D7" s="2" t="s">
        <v>197</v>
      </c>
      <c r="E7" s="2" t="s">
        <v>58</v>
      </c>
      <c r="F7" s="1" t="s">
        <v>120</v>
      </c>
      <c r="H7" s="15" t="s">
        <v>117</v>
      </c>
      <c r="I7" s="13">
        <v>4</v>
      </c>
      <c r="J7" s="13">
        <v>0</v>
      </c>
      <c r="K7" s="13">
        <v>0</v>
      </c>
      <c r="L7" s="13">
        <v>4</v>
      </c>
      <c r="M7" s="13">
        <v>4</v>
      </c>
      <c r="N7" s="13">
        <v>4</v>
      </c>
      <c r="O7" s="13">
        <v>4</v>
      </c>
      <c r="P7" s="13">
        <v>4</v>
      </c>
      <c r="Q7" s="13">
        <v>4</v>
      </c>
      <c r="R7" s="32">
        <f>SUM(FR_CH3[[#This Row],[26M04]:[26M06]])</f>
        <v>4</v>
      </c>
      <c r="S7" s="79">
        <f>SUM(FR_CH3[[#This Row],[26M07]:[26M09]])</f>
        <v>12</v>
      </c>
      <c r="T7" s="79">
        <f>SUM(FR_CH3[[#This Row],[26M10]:[26M12]])</f>
        <v>12</v>
      </c>
      <c r="U7" s="85" t="str">
        <f>VLOOKUP(FR_CH3[[#This Row],[Product Line]],Prod_T6[],4,0)</f>
        <v>ESS</v>
      </c>
    </row>
    <row r="8" spans="1:21" ht="14.5">
      <c r="A8" s="14" t="s">
        <v>30</v>
      </c>
      <c r="B8" s="1" t="s">
        <v>199</v>
      </c>
      <c r="C8" s="3" t="s">
        <v>186</v>
      </c>
      <c r="D8" s="2" t="s">
        <v>197</v>
      </c>
      <c r="E8" s="2" t="s">
        <v>61</v>
      </c>
      <c r="F8" s="1" t="s">
        <v>120</v>
      </c>
      <c r="H8" s="15" t="s">
        <v>117</v>
      </c>
      <c r="I8" s="13">
        <v>4</v>
      </c>
      <c r="J8" s="13">
        <v>0</v>
      </c>
      <c r="K8" s="13">
        <v>0</v>
      </c>
      <c r="L8" s="13">
        <v>0</v>
      </c>
      <c r="M8" s="13">
        <v>0</v>
      </c>
      <c r="N8" s="13">
        <v>4</v>
      </c>
      <c r="O8" s="13">
        <v>0</v>
      </c>
      <c r="P8" s="13">
        <v>4</v>
      </c>
      <c r="Q8" s="13">
        <v>4</v>
      </c>
      <c r="R8" s="32">
        <f>SUM(FR_CH3[[#This Row],[26M04]:[26M06]])</f>
        <v>4</v>
      </c>
      <c r="S8" s="79">
        <f>SUM(FR_CH3[[#This Row],[26M07]:[26M09]])</f>
        <v>4</v>
      </c>
      <c r="T8" s="79">
        <f>SUM(FR_CH3[[#This Row],[26M10]:[26M12]])</f>
        <v>8</v>
      </c>
      <c r="U8" s="85" t="str">
        <f>VLOOKUP(FR_CH3[[#This Row],[Product Line]],Prod_T6[],4,0)</f>
        <v>ESS</v>
      </c>
    </row>
    <row r="9" spans="1:21" ht="14.5">
      <c r="A9" s="14" t="s">
        <v>30</v>
      </c>
      <c r="B9" s="1" t="s">
        <v>199</v>
      </c>
      <c r="C9" s="2" t="s">
        <v>186</v>
      </c>
      <c r="D9" s="2" t="s">
        <v>197</v>
      </c>
      <c r="E9" s="2" t="s">
        <v>62</v>
      </c>
      <c r="F9" s="1" t="s">
        <v>120</v>
      </c>
      <c r="H9" s="15" t="s">
        <v>117</v>
      </c>
      <c r="I9" s="13">
        <v>4</v>
      </c>
      <c r="J9" s="13">
        <v>0</v>
      </c>
      <c r="K9" s="13">
        <v>0</v>
      </c>
      <c r="L9" s="13">
        <v>0</v>
      </c>
      <c r="M9" s="13">
        <v>2</v>
      </c>
      <c r="N9" s="13">
        <v>2</v>
      </c>
      <c r="O9" s="13">
        <v>2</v>
      </c>
      <c r="P9" s="13">
        <v>2</v>
      </c>
      <c r="Q9" s="13">
        <v>2</v>
      </c>
      <c r="R9" s="32">
        <f>SUM(FR_CH3[[#This Row],[26M04]:[26M06]])</f>
        <v>4</v>
      </c>
      <c r="S9" s="79">
        <f>SUM(FR_CH3[[#This Row],[26M07]:[26M09]])</f>
        <v>4</v>
      </c>
      <c r="T9" s="79">
        <f>SUM(FR_CH3[[#This Row],[26M10]:[26M12]])</f>
        <v>6</v>
      </c>
      <c r="U9" s="85" t="str">
        <f>VLOOKUP(FR_CH3[[#This Row],[Product Line]],Prod_T6[],4,0)</f>
        <v>ESS</v>
      </c>
    </row>
    <row r="10" spans="1:21" ht="14.5">
      <c r="A10" s="14" t="s">
        <v>30</v>
      </c>
      <c r="B10" s="1" t="s">
        <v>199</v>
      </c>
      <c r="C10" s="3" t="s">
        <v>186</v>
      </c>
      <c r="D10" s="2" t="s">
        <v>118</v>
      </c>
      <c r="E10" s="2" t="s">
        <v>231</v>
      </c>
      <c r="F10" s="1" t="s">
        <v>120</v>
      </c>
      <c r="H10" s="15" t="s">
        <v>117</v>
      </c>
      <c r="I10" s="13">
        <v>0.2</v>
      </c>
      <c r="J10" s="13">
        <v>0.2</v>
      </c>
      <c r="K10" s="13">
        <v>0.2</v>
      </c>
      <c r="L10" s="13">
        <v>0.2</v>
      </c>
      <c r="M10" s="13">
        <v>0.2</v>
      </c>
      <c r="N10" s="13">
        <v>0</v>
      </c>
      <c r="O10" s="13">
        <v>0</v>
      </c>
      <c r="P10" s="13">
        <v>0</v>
      </c>
      <c r="Q10" s="13">
        <v>0</v>
      </c>
      <c r="R10" s="32">
        <v>1.2</v>
      </c>
      <c r="S10" s="139">
        <f>SUM(FR_CH3[[#This Row],[26M07]:[26M09]])</f>
        <v>0.4</v>
      </c>
      <c r="T10" s="79">
        <f>SUM(FR_CH3[[#This Row],[26M10]:[26M12]])</f>
        <v>0</v>
      </c>
      <c r="U10" s="85" t="str">
        <f>VLOOKUP(FR_CH3[[#This Row],[Product Line]],Prod_T6[],4,0)</f>
        <v>PV</v>
      </c>
    </row>
    <row r="11" spans="1:21" ht="14.5">
      <c r="A11" s="14" t="s">
        <v>30</v>
      </c>
      <c r="B11" s="1" t="s">
        <v>199</v>
      </c>
      <c r="C11" s="3" t="s">
        <v>186</v>
      </c>
      <c r="D11" s="2" t="s">
        <v>118</v>
      </c>
      <c r="E11" s="2" t="s">
        <v>123</v>
      </c>
      <c r="F11" s="1" t="s">
        <v>120</v>
      </c>
      <c r="H11" s="15" t="s">
        <v>117</v>
      </c>
      <c r="I11" s="13">
        <v>0.4</v>
      </c>
      <c r="J11" s="13">
        <v>0</v>
      </c>
      <c r="K11" s="13">
        <v>0.4</v>
      </c>
      <c r="L11" s="13">
        <v>0.4</v>
      </c>
      <c r="M11" s="13">
        <v>0.4</v>
      </c>
      <c r="N11" s="13">
        <v>0.4</v>
      </c>
      <c r="O11" s="13">
        <v>0.4</v>
      </c>
      <c r="P11" s="13">
        <v>0.4</v>
      </c>
      <c r="Q11" s="13">
        <v>0.2</v>
      </c>
      <c r="R11" s="32">
        <v>1</v>
      </c>
      <c r="S11" s="79">
        <f>SUM(FR_CH3[[#This Row],[26M07]:[26M09]])</f>
        <v>1.2000000000000002</v>
      </c>
      <c r="T11" s="79">
        <f>SUM(FR_CH3[[#This Row],[26M10]:[26M12]])</f>
        <v>1</v>
      </c>
      <c r="U11" s="85" t="str">
        <f>VLOOKUP(FR_CH3[[#This Row],[Product Line]],Prod_T6[],4,0)</f>
        <v>PV</v>
      </c>
    </row>
    <row r="12" spans="1:21" ht="14.5">
      <c r="A12" s="14" t="s">
        <v>30</v>
      </c>
      <c r="B12" s="1" t="s">
        <v>217</v>
      </c>
      <c r="C12" s="3" t="s">
        <v>192</v>
      </c>
      <c r="D12" s="2" t="s">
        <v>118</v>
      </c>
      <c r="E12" s="2" t="s">
        <v>231</v>
      </c>
      <c r="F12" s="1" t="s">
        <v>120</v>
      </c>
      <c r="H12" s="15" t="s">
        <v>117</v>
      </c>
      <c r="I12" s="13"/>
      <c r="J12" s="13">
        <v>0.4</v>
      </c>
      <c r="K12" s="13">
        <v>0.75</v>
      </c>
      <c r="L12" s="13">
        <v>0.51300000000000001</v>
      </c>
      <c r="M12" s="13"/>
      <c r="N12" s="67">
        <v>1.135</v>
      </c>
      <c r="O12" s="67">
        <v>0.89700000000000002</v>
      </c>
      <c r="P12" s="67">
        <v>0.4</v>
      </c>
      <c r="Q12" s="67">
        <v>1.25</v>
      </c>
      <c r="R12" s="32">
        <v>1.2</v>
      </c>
      <c r="S12" s="79">
        <f>SUM(FR_CH3[[#This Row],[26M07]:[26M09]])</f>
        <v>1.6480000000000001</v>
      </c>
      <c r="T12" s="79">
        <f>SUM(FR_CH3[[#This Row],[26M10]:[26M12]])</f>
        <v>2.5470000000000002</v>
      </c>
      <c r="U12" s="85" t="str">
        <f>VLOOKUP(FR_CH3[[#This Row],[Product Line]],Prod_T6[],4,0)</f>
        <v>PV</v>
      </c>
    </row>
    <row r="13" spans="1:21" ht="14.5">
      <c r="A13" s="14" t="s">
        <v>30</v>
      </c>
      <c r="B13" s="1" t="s">
        <v>198</v>
      </c>
      <c r="C13" s="3" t="s">
        <v>186</v>
      </c>
      <c r="D13" s="2" t="s">
        <v>118</v>
      </c>
      <c r="E13" s="2" t="s">
        <v>123</v>
      </c>
      <c r="F13" s="1" t="s">
        <v>120</v>
      </c>
      <c r="H13" s="15" t="s">
        <v>117</v>
      </c>
      <c r="I13" s="13">
        <v>0.2</v>
      </c>
      <c r="J13" s="13">
        <v>0</v>
      </c>
      <c r="K13" s="13">
        <v>0.2</v>
      </c>
      <c r="L13" s="13">
        <v>0.2</v>
      </c>
      <c r="M13" s="13">
        <v>0.2</v>
      </c>
      <c r="N13" s="13">
        <v>0.2</v>
      </c>
      <c r="O13" s="13">
        <v>0.4</v>
      </c>
      <c r="P13" s="13">
        <v>0.4</v>
      </c>
      <c r="Q13" s="13">
        <v>0.2</v>
      </c>
      <c r="R13" s="32">
        <f>SUM(FR_CH3[[#This Row],[26M04]:[26M06]])</f>
        <v>0.4</v>
      </c>
      <c r="S13" s="79">
        <f>SUM(FR_CH3[[#This Row],[26M07]:[26M09]])</f>
        <v>0.60000000000000009</v>
      </c>
      <c r="T13" s="79">
        <f>SUM(FR_CH3[[#This Row],[26M10]:[26M12]])</f>
        <v>1</v>
      </c>
      <c r="U13" s="85" t="str">
        <f>VLOOKUP(FR_CH3[[#This Row],[Product Line]],Prod_T6[],4,0)</f>
        <v>PV</v>
      </c>
    </row>
    <row r="14" spans="1:21" ht="14.5">
      <c r="A14" s="14" t="s">
        <v>30</v>
      </c>
      <c r="B14" s="1" t="s">
        <v>190</v>
      </c>
      <c r="C14" s="3" t="s">
        <v>186</v>
      </c>
      <c r="D14" s="2" t="s">
        <v>118</v>
      </c>
      <c r="E14" s="2" t="s">
        <v>123</v>
      </c>
      <c r="F14" s="1" t="s">
        <v>120</v>
      </c>
      <c r="H14" s="15" t="s">
        <v>117</v>
      </c>
      <c r="I14" s="13">
        <v>0.2</v>
      </c>
      <c r="J14" s="13">
        <v>0</v>
      </c>
      <c r="K14" s="13">
        <v>0.2</v>
      </c>
      <c r="L14" s="13">
        <v>0.2</v>
      </c>
      <c r="M14" s="13">
        <v>0.2</v>
      </c>
      <c r="N14" s="13">
        <v>0.2</v>
      </c>
      <c r="O14" s="13">
        <v>0.4</v>
      </c>
      <c r="P14" s="13">
        <v>0.4</v>
      </c>
      <c r="Q14" s="13">
        <v>0.2</v>
      </c>
      <c r="R14" s="32">
        <f>SUM(FR_CH3[[#This Row],[26M04]:[26M06]])</f>
        <v>0.4</v>
      </c>
      <c r="S14" s="79">
        <f>SUM(FR_CH3[[#This Row],[26M07]:[26M09]])</f>
        <v>0.60000000000000009</v>
      </c>
      <c r="T14" s="79">
        <f>SUM(FR_CH3[[#This Row],[26M10]:[26M12]])</f>
        <v>1</v>
      </c>
      <c r="U14" s="85" t="str">
        <f>VLOOKUP(FR_CH3[[#This Row],[Product Line]],Prod_T6[],4,0)</f>
        <v>PV</v>
      </c>
    </row>
    <row r="15" spans="1:21" ht="14.5">
      <c r="A15" s="14" t="s">
        <v>30</v>
      </c>
      <c r="B15" s="1" t="s">
        <v>189</v>
      </c>
      <c r="C15" s="3" t="s">
        <v>186</v>
      </c>
      <c r="D15" s="2" t="s">
        <v>118</v>
      </c>
      <c r="E15" s="2" t="s">
        <v>123</v>
      </c>
      <c r="F15" s="1" t="s">
        <v>120</v>
      </c>
      <c r="H15" s="15" t="s">
        <v>117</v>
      </c>
      <c r="I15" s="13">
        <v>0.2</v>
      </c>
      <c r="J15" s="13">
        <v>0</v>
      </c>
      <c r="K15" s="13">
        <v>0.2</v>
      </c>
      <c r="L15" s="13">
        <v>0.4</v>
      </c>
      <c r="M15" s="13">
        <v>0.4</v>
      </c>
      <c r="N15" s="13">
        <v>0.4</v>
      </c>
      <c r="O15" s="13"/>
      <c r="P15" s="13"/>
      <c r="Q15" s="13"/>
      <c r="R15" s="32">
        <f>SUM(FR_CH3[[#This Row],[26M04]:[26M06]])</f>
        <v>0.4</v>
      </c>
      <c r="S15" s="79">
        <f>SUM(FR_CH3[[#This Row],[26M07]:[26M09]])</f>
        <v>1.2000000000000002</v>
      </c>
      <c r="T15" s="79">
        <f>SUM(FR_CH3[[#This Row],[26M10]:[26M12]])</f>
        <v>0</v>
      </c>
      <c r="U15" s="85" t="str">
        <f>VLOOKUP(FR_CH3[[#This Row],[Product Line]],Prod_T6[],4,0)</f>
        <v>PV</v>
      </c>
    </row>
    <row r="16" spans="1:21" ht="14.5">
      <c r="A16" s="14" t="s">
        <v>30</v>
      </c>
      <c r="B16" s="1" t="s">
        <v>203</v>
      </c>
      <c r="D16" s="2" t="s">
        <v>118</v>
      </c>
      <c r="E16" s="2" t="s">
        <v>123</v>
      </c>
      <c r="F16" s="1" t="s">
        <v>120</v>
      </c>
      <c r="H16" s="15" t="s">
        <v>117</v>
      </c>
      <c r="I16" s="13"/>
      <c r="J16" s="13">
        <v>0</v>
      </c>
      <c r="K16" s="13"/>
      <c r="L16" s="13"/>
      <c r="M16" s="13">
        <v>1</v>
      </c>
      <c r="N16" s="13"/>
      <c r="O16" s="13"/>
      <c r="P16" s="13"/>
      <c r="Q16" s="13"/>
      <c r="R16" s="32">
        <f>SUM(FR_CH3[[#This Row],[26M04]:[26M06]])</f>
        <v>0</v>
      </c>
      <c r="S16" s="79">
        <f>SUM(FR_CH3[[#This Row],[26M07]:[26M09]])</f>
        <v>1</v>
      </c>
      <c r="T16" s="79">
        <f>SUM(FR_CH3[[#This Row],[26M10]:[26M12]])</f>
        <v>0</v>
      </c>
      <c r="U16" s="85" t="str">
        <f>VLOOKUP(FR_CH3[[#This Row],[Product Line]],Prod_T6[],4,0)</f>
        <v>PV</v>
      </c>
    </row>
    <row r="17" spans="1:21" ht="14.5">
      <c r="A17" s="14" t="s">
        <v>30</v>
      </c>
      <c r="B17" s="1" t="s">
        <v>198</v>
      </c>
      <c r="C17" s="3" t="s">
        <v>186</v>
      </c>
      <c r="D17" s="2" t="s">
        <v>197</v>
      </c>
      <c r="E17" s="2" t="s">
        <v>59</v>
      </c>
      <c r="F17" s="1" t="s">
        <v>120</v>
      </c>
      <c r="H17" s="15" t="s">
        <v>117</v>
      </c>
      <c r="I17" s="13">
        <v>8</v>
      </c>
      <c r="J17" s="13">
        <v>0</v>
      </c>
      <c r="K17" s="13">
        <v>0</v>
      </c>
      <c r="L17" s="13">
        <v>8</v>
      </c>
      <c r="M17" s="13">
        <v>3</v>
      </c>
      <c r="N17" s="13">
        <v>8</v>
      </c>
      <c r="O17" s="13">
        <v>12</v>
      </c>
      <c r="P17" s="13">
        <v>8</v>
      </c>
      <c r="Q17" s="13">
        <v>12</v>
      </c>
      <c r="R17" s="32">
        <v>3</v>
      </c>
      <c r="S17" s="79">
        <f>SUM(FR_CH3[[#This Row],[26M07]:[26M09]])</f>
        <v>19</v>
      </c>
      <c r="T17" s="79">
        <f>SUM(FR_CH3[[#This Row],[26M10]:[26M12]])</f>
        <v>32</v>
      </c>
      <c r="U17" s="85" t="str">
        <f>VLOOKUP(FR_CH3[[#This Row],[Product Line]],Prod_T6[],4,0)</f>
        <v>ESS</v>
      </c>
    </row>
    <row r="18" spans="1:21" ht="14.5">
      <c r="A18" s="14" t="s">
        <v>30</v>
      </c>
      <c r="B18" s="1" t="s">
        <v>198</v>
      </c>
      <c r="C18" s="3" t="s">
        <v>186</v>
      </c>
      <c r="D18" s="2" t="s">
        <v>197</v>
      </c>
      <c r="E18" s="2" t="s">
        <v>58</v>
      </c>
      <c r="F18" s="1" t="s">
        <v>120</v>
      </c>
      <c r="H18" s="15" t="s">
        <v>117</v>
      </c>
      <c r="I18" s="13">
        <v>8</v>
      </c>
      <c r="J18" s="13">
        <v>0</v>
      </c>
      <c r="K18" s="13">
        <v>0</v>
      </c>
      <c r="L18" s="13">
        <v>8</v>
      </c>
      <c r="M18" s="13">
        <v>8</v>
      </c>
      <c r="N18" s="13">
        <v>4</v>
      </c>
      <c r="O18" s="13">
        <v>4</v>
      </c>
      <c r="P18" s="13">
        <v>4</v>
      </c>
      <c r="Q18" s="13">
        <v>4</v>
      </c>
      <c r="R18" s="32">
        <v>0.8</v>
      </c>
      <c r="S18" s="79">
        <f>SUM(FR_CH3[[#This Row],[26M07]:[26M09]])</f>
        <v>20</v>
      </c>
      <c r="T18" s="79">
        <f>SUM(FR_CH3[[#This Row],[26M10]:[26M12]])</f>
        <v>12</v>
      </c>
      <c r="U18" s="85" t="str">
        <f>VLOOKUP(FR_CH3[[#This Row],[Product Line]],Prod_T6[],4,0)</f>
        <v>ESS</v>
      </c>
    </row>
    <row r="19" spans="1:21" ht="14.5">
      <c r="A19" s="29" t="s">
        <v>30</v>
      </c>
      <c r="B19" s="1" t="s">
        <v>198</v>
      </c>
      <c r="C19" s="3" t="s">
        <v>186</v>
      </c>
      <c r="D19" s="2" t="s">
        <v>197</v>
      </c>
      <c r="E19" s="2" t="s">
        <v>61</v>
      </c>
      <c r="F19" s="1" t="s">
        <v>120</v>
      </c>
      <c r="H19" s="15" t="s">
        <v>117</v>
      </c>
      <c r="I19" s="13">
        <v>4</v>
      </c>
      <c r="J19" s="13">
        <v>0</v>
      </c>
      <c r="K19" s="13">
        <v>0</v>
      </c>
      <c r="L19" s="13">
        <v>8</v>
      </c>
      <c r="M19" s="13">
        <v>0</v>
      </c>
      <c r="N19" s="13">
        <v>4</v>
      </c>
      <c r="O19" s="13">
        <v>2</v>
      </c>
      <c r="P19" s="13">
        <v>8</v>
      </c>
      <c r="Q19" s="13">
        <v>2</v>
      </c>
      <c r="R19" s="32">
        <v>1.2</v>
      </c>
      <c r="S19" s="79">
        <f>SUM(FR_CH3[[#This Row],[26M07]:[26M09]])</f>
        <v>12</v>
      </c>
      <c r="T19" s="79">
        <f>SUM(FR_CH3[[#This Row],[26M10]:[26M12]])</f>
        <v>12</v>
      </c>
      <c r="U19" s="85" t="str">
        <f>VLOOKUP(FR_CH3[[#This Row],[Product Line]],Prod_T6[],4,0)</f>
        <v>ESS</v>
      </c>
    </row>
    <row r="20" spans="1:21" ht="14.5">
      <c r="A20" s="29" t="s">
        <v>30</v>
      </c>
      <c r="B20" s="1" t="s">
        <v>198</v>
      </c>
      <c r="C20" s="3" t="s">
        <v>186</v>
      </c>
      <c r="D20" s="2" t="s">
        <v>197</v>
      </c>
      <c r="E20" s="2" t="s">
        <v>62</v>
      </c>
      <c r="F20" s="1" t="s">
        <v>120</v>
      </c>
      <c r="H20" s="15" t="s">
        <v>117</v>
      </c>
      <c r="I20" s="13">
        <v>4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8</v>
      </c>
      <c r="P20" s="13">
        <v>8</v>
      </c>
      <c r="Q20" s="13">
        <v>2</v>
      </c>
      <c r="R20" s="32">
        <f>SUM(FR_CH3[[#This Row],[26M04]:[26M06]])</f>
        <v>4</v>
      </c>
      <c r="S20" s="79">
        <f>SUM(FR_CH3[[#This Row],[26M07]:[26M09]])</f>
        <v>0</v>
      </c>
      <c r="T20" s="79">
        <f>SUM(FR_CH3[[#This Row],[26M10]:[26M12]])</f>
        <v>18</v>
      </c>
      <c r="U20" s="85" t="str">
        <f>VLOOKUP(FR_CH3[[#This Row],[Product Line]],Prod_T6[],4,0)</f>
        <v>ESS</v>
      </c>
    </row>
    <row r="21" spans="1:21" ht="14.5">
      <c r="A21" s="14" t="s">
        <v>30</v>
      </c>
      <c r="B21" s="1" t="s">
        <v>233</v>
      </c>
      <c r="D21" s="2" t="s">
        <v>118</v>
      </c>
      <c r="E21" s="2" t="s">
        <v>231</v>
      </c>
      <c r="F21" s="1" t="s">
        <v>120</v>
      </c>
      <c r="H21" s="15" t="s">
        <v>117</v>
      </c>
      <c r="I21" s="13">
        <v>0.3</v>
      </c>
      <c r="J21" s="13">
        <v>0.3</v>
      </c>
      <c r="K21" s="13">
        <v>0.3</v>
      </c>
      <c r="L21" s="13"/>
      <c r="M21" s="13"/>
      <c r="N21" s="13"/>
      <c r="O21" s="13"/>
      <c r="P21" s="13"/>
      <c r="Q21" s="13"/>
      <c r="R21" s="32">
        <f>SUM(FR_CH3[[#This Row],[26M04]:[26M06]])</f>
        <v>0.89999999999999991</v>
      </c>
      <c r="S21" s="79">
        <f>SUM(FR_CH3[[#This Row],[26M07]:[26M09]])</f>
        <v>0</v>
      </c>
      <c r="T21" s="79">
        <f>SUM(FR_CH3[[#This Row],[26M10]:[26M12]])</f>
        <v>0</v>
      </c>
      <c r="U21" s="85" t="str">
        <f>VLOOKUP(FR_CH3[[#This Row],[Product Line]],Prod_T6[],4,0)</f>
        <v>PV</v>
      </c>
    </row>
    <row r="22" spans="1:21" ht="14.5">
      <c r="A22" s="14" t="s">
        <v>30</v>
      </c>
      <c r="B22" s="1" t="s">
        <v>232</v>
      </c>
      <c r="D22" s="2" t="s">
        <v>118</v>
      </c>
      <c r="E22" s="2" t="s">
        <v>231</v>
      </c>
      <c r="F22" s="1" t="s">
        <v>120</v>
      </c>
      <c r="H22" s="15" t="s">
        <v>117</v>
      </c>
      <c r="I22" s="13"/>
      <c r="J22" s="13">
        <v>0.3</v>
      </c>
      <c r="K22" s="13"/>
      <c r="L22" s="13"/>
      <c r="M22" s="13"/>
      <c r="N22" s="13"/>
      <c r="O22" s="13"/>
      <c r="P22" s="13"/>
      <c r="Q22" s="13"/>
      <c r="R22" s="32">
        <f>SUM(FR_CH3[[#This Row],[26M04]:[26M06]])</f>
        <v>0.3</v>
      </c>
      <c r="S22" s="79">
        <f>SUM(FR_CH3[[#This Row],[26M07]:[26M09]])</f>
        <v>0</v>
      </c>
      <c r="T22" s="79">
        <f>SUM(FR_CH3[[#This Row],[26M10]:[26M12]])</f>
        <v>0</v>
      </c>
      <c r="U22" s="85" t="str">
        <f>VLOOKUP(FR_CH3[[#This Row],[Product Line]],Prod_T6[],4,0)</f>
        <v>PV</v>
      </c>
    </row>
    <row r="23" spans="1:21" ht="14.5">
      <c r="A23" s="14" t="s">
        <v>30</v>
      </c>
      <c r="B23" s="1" t="s">
        <v>188</v>
      </c>
      <c r="C23" s="3" t="s">
        <v>186</v>
      </c>
      <c r="D23" s="2" t="s">
        <v>118</v>
      </c>
      <c r="E23" s="2" t="s">
        <v>231</v>
      </c>
      <c r="F23" s="1" t="s">
        <v>120</v>
      </c>
      <c r="H23" s="15" t="s">
        <v>117</v>
      </c>
      <c r="I23" s="13">
        <v>0.3</v>
      </c>
      <c r="J23" s="13">
        <v>0.3</v>
      </c>
      <c r="K23" s="13">
        <v>0.5</v>
      </c>
      <c r="L23" s="13"/>
      <c r="M23" s="13"/>
      <c r="N23" s="13"/>
      <c r="O23" s="13"/>
      <c r="P23" s="13"/>
      <c r="Q23" s="13"/>
      <c r="R23" s="32">
        <f>SUM(FR_CH3[[#This Row],[26M04]:[26M06]])</f>
        <v>1.1000000000000001</v>
      </c>
      <c r="S23" s="79">
        <f>SUM(FR_CH3[[#This Row],[26M07]:[26M09]])</f>
        <v>0</v>
      </c>
      <c r="T23" s="79">
        <f>SUM(FR_CH3[[#This Row],[26M10]:[26M12]])</f>
        <v>0</v>
      </c>
      <c r="U23" s="85" t="str">
        <f>VLOOKUP(FR_CH3[[#This Row],[Product Line]],Prod_T6[],4,0)</f>
        <v>PV</v>
      </c>
    </row>
    <row r="24" spans="1:21" ht="14.5">
      <c r="A24" s="14" t="s">
        <v>30</v>
      </c>
      <c r="B24" s="1" t="s">
        <v>188</v>
      </c>
      <c r="C24" s="3" t="s">
        <v>186</v>
      </c>
      <c r="D24" s="2" t="s">
        <v>118</v>
      </c>
      <c r="E24" s="2" t="s">
        <v>123</v>
      </c>
      <c r="F24" s="1" t="s">
        <v>120</v>
      </c>
      <c r="H24" s="15" t="s">
        <v>117</v>
      </c>
      <c r="I24" s="13">
        <v>0.6</v>
      </c>
      <c r="J24" s="13">
        <v>0</v>
      </c>
      <c r="K24" s="13">
        <v>0.6</v>
      </c>
      <c r="L24" s="13">
        <v>0.6</v>
      </c>
      <c r="M24" s="13">
        <v>0.6</v>
      </c>
      <c r="N24" s="13">
        <v>0.6</v>
      </c>
      <c r="O24" s="13">
        <v>0.6</v>
      </c>
      <c r="P24" s="13">
        <v>0.6</v>
      </c>
      <c r="Q24" s="13">
        <v>0.4</v>
      </c>
      <c r="R24" s="32">
        <f>SUM(FR_CH3[[#This Row],[26M04]:[26M06]])</f>
        <v>1.2</v>
      </c>
      <c r="S24" s="79">
        <f>SUM(FR_CH3[[#This Row],[26M07]:[26M09]])</f>
        <v>1.7999999999999998</v>
      </c>
      <c r="T24" s="79">
        <f>SUM(FR_CH3[[#This Row],[26M10]:[26M12]])</f>
        <v>1.6</v>
      </c>
      <c r="U24" s="85" t="str">
        <f>VLOOKUP(FR_CH3[[#This Row],[Product Line]],Prod_T6[],4,0)</f>
        <v>PV</v>
      </c>
    </row>
    <row r="25" spans="1:21" ht="13">
      <c r="A25" s="14" t="s">
        <v>30</v>
      </c>
      <c r="B25" s="1" t="s">
        <v>198</v>
      </c>
      <c r="C25" s="3" t="s">
        <v>186</v>
      </c>
      <c r="D25" s="2" t="s">
        <v>54</v>
      </c>
      <c r="E25" s="2" t="s">
        <v>160</v>
      </c>
      <c r="F25" s="1" t="s">
        <v>230</v>
      </c>
      <c r="H25" s="40" t="s">
        <v>117</v>
      </c>
      <c r="I25" s="13"/>
      <c r="J25" s="13"/>
      <c r="K25" s="13"/>
      <c r="L25" s="13"/>
      <c r="M25" s="13"/>
      <c r="N25" s="13">
        <v>0.87</v>
      </c>
      <c r="O25" s="13">
        <v>0.87</v>
      </c>
      <c r="P25" s="13">
        <v>0.87</v>
      </c>
      <c r="Q25" s="13">
        <v>0.87</v>
      </c>
      <c r="R25" s="32">
        <f>SUM(FR_CH3[[#This Row],[26M04]:[26M06]])</f>
        <v>0</v>
      </c>
      <c r="S25" s="79">
        <f>SUM(FR_CH3[[#This Row],[26M07]:[26M09]])</f>
        <v>0.87</v>
      </c>
      <c r="T25" s="79">
        <f>SUM(FR_CH3[[#This Row],[26M10]:[26M12]])</f>
        <v>2.61</v>
      </c>
      <c r="U25" s="120" t="str">
        <f>VLOOKUP(FR_CH3[[#This Row],[Product Line]],Prod_T6[],4,0)</f>
        <v>PV</v>
      </c>
    </row>
    <row r="26" spans="1:21" ht="14.5">
      <c r="A26" s="14" t="s">
        <v>30</v>
      </c>
      <c r="B26" s="1" t="s">
        <v>185</v>
      </c>
      <c r="C26" s="3" t="s">
        <v>186</v>
      </c>
      <c r="D26" s="2" t="s">
        <v>118</v>
      </c>
      <c r="E26" s="2" t="s">
        <v>123</v>
      </c>
      <c r="F26" s="1" t="s">
        <v>120</v>
      </c>
      <c r="H26" s="15" t="s">
        <v>117</v>
      </c>
      <c r="I26" s="13">
        <v>0.4</v>
      </c>
      <c r="J26" s="13">
        <v>0</v>
      </c>
      <c r="K26" s="13">
        <v>0.4</v>
      </c>
      <c r="L26" s="13">
        <v>0.4</v>
      </c>
      <c r="M26" s="13">
        <v>0.2</v>
      </c>
      <c r="N26" s="13">
        <v>0.2</v>
      </c>
      <c r="O26" s="13">
        <v>0.4</v>
      </c>
      <c r="P26" s="13">
        <v>0.4</v>
      </c>
      <c r="Q26" s="13">
        <v>0.2</v>
      </c>
      <c r="R26" s="32">
        <f>SUM(FR_CH3[[#This Row],[26M04]:[26M06]])</f>
        <v>0.8</v>
      </c>
      <c r="S26" s="79">
        <f>SUM(FR_CH3[[#This Row],[26M07]:[26M09]])</f>
        <v>0.8</v>
      </c>
      <c r="T26" s="79">
        <f>SUM(FR_CH3[[#This Row],[26M10]:[26M12]])</f>
        <v>1</v>
      </c>
      <c r="U26" s="85" t="str">
        <f>VLOOKUP(FR_CH3[[#This Row],[Product Line]],Prod_T6[],4,0)</f>
        <v>PV</v>
      </c>
    </row>
    <row r="27" spans="1:21" ht="14.5">
      <c r="A27" s="14" t="s">
        <v>30</v>
      </c>
      <c r="B27" s="1" t="s">
        <v>200</v>
      </c>
      <c r="C27" s="3" t="s">
        <v>186</v>
      </c>
      <c r="D27" s="2" t="s">
        <v>118</v>
      </c>
      <c r="E27" s="2" t="s">
        <v>123</v>
      </c>
      <c r="F27" s="1" t="s">
        <v>120</v>
      </c>
      <c r="H27" s="15" t="s">
        <v>117</v>
      </c>
      <c r="I27" s="13"/>
      <c r="J27" s="13"/>
      <c r="K27" s="13"/>
      <c r="L27" s="13"/>
      <c r="M27" s="13"/>
      <c r="N27" s="13">
        <v>0.2</v>
      </c>
      <c r="O27" s="13">
        <v>0.2</v>
      </c>
      <c r="P27" s="13">
        <v>0.2</v>
      </c>
      <c r="Q27" s="13">
        <v>0.2</v>
      </c>
      <c r="R27" s="32">
        <f>SUM(FR_CH3[[#This Row],[26M04]:[26M06]])</f>
        <v>0</v>
      </c>
      <c r="S27" s="79">
        <f>SUM(FR_CH3[[#This Row],[26M07]:[26M09]])</f>
        <v>0.2</v>
      </c>
      <c r="T27" s="79">
        <f>SUM(FR_CH3[[#This Row],[26M10]:[26M12]])</f>
        <v>0.60000000000000009</v>
      </c>
      <c r="U27" s="85" t="str">
        <f>VLOOKUP(FR_CH3[[#This Row],[Product Line]],Prod_T6[],4,0)</f>
        <v>PV</v>
      </c>
    </row>
    <row r="28" spans="1:21" ht="14.5">
      <c r="A28" s="14" t="s">
        <v>30</v>
      </c>
      <c r="B28" s="1" t="s">
        <v>190</v>
      </c>
      <c r="C28" s="3" t="s">
        <v>186</v>
      </c>
      <c r="D28" s="2" t="s">
        <v>197</v>
      </c>
      <c r="E28" s="2" t="s">
        <v>59</v>
      </c>
      <c r="F28" s="1" t="s">
        <v>120</v>
      </c>
      <c r="H28" s="15" t="s">
        <v>117</v>
      </c>
      <c r="I28" s="13">
        <v>4</v>
      </c>
      <c r="J28" s="13">
        <v>0</v>
      </c>
      <c r="K28" s="13">
        <v>0</v>
      </c>
      <c r="L28" s="13"/>
      <c r="M28" s="13"/>
      <c r="N28" s="13"/>
      <c r="O28" s="13"/>
      <c r="P28" s="13"/>
      <c r="Q28" s="13"/>
      <c r="R28" s="32">
        <f>SUM(FR_CH3[[#This Row],[26M04]:[26M06]])</f>
        <v>4</v>
      </c>
      <c r="S28" s="79">
        <f>SUM(FR_CH3[[#This Row],[26M07]:[26M09]])</f>
        <v>0</v>
      </c>
      <c r="T28" s="79">
        <f>SUM(FR_CH3[[#This Row],[26M10]:[26M12]])</f>
        <v>0</v>
      </c>
      <c r="U28" s="85" t="str">
        <f>VLOOKUP(FR_CH3[[#This Row],[Product Line]],Prod_T6[],4,0)</f>
        <v>ESS</v>
      </c>
    </row>
    <row r="29" spans="1:21" ht="13">
      <c r="A29" s="14" t="s">
        <v>30</v>
      </c>
      <c r="B29" s="1" t="s">
        <v>237</v>
      </c>
      <c r="C29" s="3" t="s">
        <v>192</v>
      </c>
      <c r="D29" s="2" t="s">
        <v>118</v>
      </c>
      <c r="E29" s="2" t="s">
        <v>123</v>
      </c>
      <c r="F29" s="1" t="s">
        <v>120</v>
      </c>
      <c r="H29" s="40" t="s">
        <v>117</v>
      </c>
      <c r="I29" s="13"/>
      <c r="J29" s="13"/>
      <c r="K29" s="13"/>
      <c r="L29" s="13">
        <v>0.14399999999999999</v>
      </c>
      <c r="M29" s="13"/>
      <c r="N29" s="13">
        <v>0.14399999999999999</v>
      </c>
      <c r="O29" s="13"/>
      <c r="P29" s="13"/>
      <c r="Q29" s="13"/>
      <c r="R29" s="32">
        <f>SUM(FR_CH3[[#This Row],[26M04]:[26M06]])</f>
        <v>0</v>
      </c>
      <c r="S29" s="79">
        <f>SUM(FR_CH3[[#This Row],[26M07]:[26M09]])</f>
        <v>0.28799999999999998</v>
      </c>
      <c r="T29" s="79">
        <f>SUM(FR_CH3[[#This Row],[26M10]:[26M12]])</f>
        <v>0</v>
      </c>
      <c r="U29" s="120" t="str">
        <f>VLOOKUP(FR_CH3[[#This Row],[Product Line]],Prod_T6[],4,0)</f>
        <v>PV</v>
      </c>
    </row>
    <row r="30" spans="1:21" ht="14.5">
      <c r="A30" s="14" t="s">
        <v>30</v>
      </c>
      <c r="B30" s="1" t="s">
        <v>199</v>
      </c>
      <c r="C30" s="3" t="s">
        <v>186</v>
      </c>
      <c r="D30" s="2" t="s">
        <v>54</v>
      </c>
      <c r="E30" s="2" t="s">
        <v>201</v>
      </c>
      <c r="F30" s="1" t="s">
        <v>120</v>
      </c>
      <c r="H30" s="15" t="s">
        <v>117</v>
      </c>
      <c r="I30" s="13">
        <v>0.4</v>
      </c>
      <c r="J30" s="13">
        <v>0.4</v>
      </c>
      <c r="K30" s="13">
        <v>0.4</v>
      </c>
      <c r="L30" s="13">
        <v>0.4</v>
      </c>
      <c r="M30" s="13">
        <v>0</v>
      </c>
      <c r="N30" s="13">
        <v>0.4</v>
      </c>
      <c r="O30" s="13">
        <v>0</v>
      </c>
      <c r="P30" s="13">
        <v>0</v>
      </c>
      <c r="Q30" s="13">
        <v>0</v>
      </c>
      <c r="R30" s="32">
        <f>SUM(FR_CH3[[#This Row],[26M04]:[26M06]])</f>
        <v>1.2000000000000002</v>
      </c>
      <c r="S30" s="108">
        <f>SUM(FR_CH3[[#This Row],[26M07]:[26M09]])</f>
        <v>0.8</v>
      </c>
      <c r="T30" s="108">
        <f>SUM(FR_CH3[[#This Row],[26M10]:[26M12]])</f>
        <v>0</v>
      </c>
      <c r="U30" s="85" t="str">
        <f>VLOOKUP(FR_CH3[[#This Row],[Product Line]],Prod_T6[],4,0)</f>
        <v>PV</v>
      </c>
    </row>
    <row r="31" spans="1:21" ht="14.5">
      <c r="A31" s="14" t="s">
        <v>30</v>
      </c>
      <c r="B31" s="1" t="s">
        <v>199</v>
      </c>
      <c r="C31" s="3" t="s">
        <v>186</v>
      </c>
      <c r="D31" s="2" t="s">
        <v>54</v>
      </c>
      <c r="E31" s="2" t="s">
        <v>202</v>
      </c>
      <c r="F31" s="1" t="s">
        <v>120</v>
      </c>
      <c r="H31" s="15" t="s">
        <v>117</v>
      </c>
      <c r="I31" s="13">
        <v>0.8</v>
      </c>
      <c r="J31" s="13">
        <v>0.8</v>
      </c>
      <c r="K31" s="13">
        <v>0.8</v>
      </c>
      <c r="L31" s="13">
        <v>0.8</v>
      </c>
      <c r="M31" s="13">
        <v>2.16</v>
      </c>
      <c r="N31" s="13">
        <v>1.296</v>
      </c>
      <c r="O31" s="13">
        <v>0.8</v>
      </c>
      <c r="P31" s="13">
        <v>0.8</v>
      </c>
      <c r="Q31" s="13">
        <v>0.8</v>
      </c>
      <c r="R31" s="32">
        <f>SUM(FR_CH3[[#This Row],[26M04]:[26M06]])</f>
        <v>2.4000000000000004</v>
      </c>
      <c r="S31" s="79">
        <f>SUM(FR_CH3[[#This Row],[26M07]:[26M09]])</f>
        <v>4.2560000000000002</v>
      </c>
      <c r="T31" s="79">
        <f>SUM(FR_CH3[[#This Row],[26M10]:[26M12]])</f>
        <v>2.4000000000000004</v>
      </c>
      <c r="U31" s="85" t="str">
        <f>VLOOKUP(FR_CH3[[#This Row],[Product Line]],Prod_T6[],4,0)</f>
        <v>PV</v>
      </c>
    </row>
    <row r="32" spans="1:21" ht="14.5">
      <c r="A32" s="14" t="s">
        <v>30</v>
      </c>
      <c r="B32" s="1" t="s">
        <v>199</v>
      </c>
      <c r="C32" s="3" t="s">
        <v>186</v>
      </c>
      <c r="D32" s="2" t="s">
        <v>54</v>
      </c>
      <c r="E32" s="2" t="s">
        <v>121</v>
      </c>
      <c r="F32" s="1" t="s">
        <v>120</v>
      </c>
      <c r="H32" s="15" t="s">
        <v>117</v>
      </c>
      <c r="I32" s="2">
        <v>0.4</v>
      </c>
      <c r="J32" s="13">
        <v>1</v>
      </c>
      <c r="K32" s="13">
        <v>1</v>
      </c>
      <c r="L32" s="13">
        <v>1</v>
      </c>
      <c r="M32" s="13">
        <v>0</v>
      </c>
      <c r="N32" s="13">
        <v>0.4</v>
      </c>
      <c r="O32" s="13">
        <v>0.4</v>
      </c>
      <c r="P32" s="13">
        <v>0.4</v>
      </c>
      <c r="Q32" s="13">
        <v>0.4</v>
      </c>
      <c r="R32" s="32">
        <f>SUM(FR_CH3[[#This Row],[26M04]:[26M06]])</f>
        <v>2.4</v>
      </c>
      <c r="S32" s="79">
        <f>SUM(FR_CH3[[#This Row],[26M07]:[26M09]])</f>
        <v>1.4</v>
      </c>
      <c r="T32" s="79">
        <f>SUM(FR_CH3[[#This Row],[26M10]:[26M12]])</f>
        <v>1.2000000000000002</v>
      </c>
      <c r="U32" s="85" t="str">
        <f>VLOOKUP(FR_CH3[[#This Row],[Product Line]],Prod_T6[],4,0)</f>
        <v>PV</v>
      </c>
    </row>
    <row r="33" spans="1:21" ht="14.5">
      <c r="A33" s="14" t="s">
        <v>30</v>
      </c>
      <c r="B33" s="1" t="s">
        <v>250</v>
      </c>
      <c r="D33" s="2" t="s">
        <v>54</v>
      </c>
      <c r="E33" s="2" t="s">
        <v>201</v>
      </c>
      <c r="F33" s="1" t="s">
        <v>136</v>
      </c>
      <c r="H33" s="15" t="s">
        <v>117</v>
      </c>
      <c r="I33" s="13">
        <v>0.4</v>
      </c>
      <c r="J33" s="13">
        <v>0.2</v>
      </c>
      <c r="K33" s="13">
        <v>0.2</v>
      </c>
      <c r="L33" s="13"/>
      <c r="M33" s="13"/>
      <c r="N33" s="13"/>
      <c r="O33" s="13"/>
      <c r="P33" s="13"/>
      <c r="Q33" s="13"/>
      <c r="R33" s="32">
        <f>SUM(FR_CH3[[#This Row],[26M04]:[26M06]])</f>
        <v>0.8</v>
      </c>
      <c r="S33" s="79">
        <f>SUM(FR_CH3[[#This Row],[26M07]:[26M09]])</f>
        <v>0</v>
      </c>
      <c r="T33" s="79">
        <f>SUM(FR_CH3[[#This Row],[26M10]:[26M12]])</f>
        <v>0</v>
      </c>
      <c r="U33" s="85" t="str">
        <f>VLOOKUP(FR_CH3[[#This Row],[Product Line]],Prod_T6[],4,0)</f>
        <v>PV</v>
      </c>
    </row>
    <row r="34" spans="1:21" ht="14.5">
      <c r="A34" s="14" t="s">
        <v>30</v>
      </c>
      <c r="B34" s="1" t="s">
        <v>250</v>
      </c>
      <c r="D34" s="2" t="s">
        <v>118</v>
      </c>
      <c r="E34" s="2" t="s">
        <v>231</v>
      </c>
      <c r="F34" s="2" t="s">
        <v>130</v>
      </c>
      <c r="H34" s="15" t="s">
        <v>117</v>
      </c>
      <c r="I34" s="13">
        <v>0.4</v>
      </c>
      <c r="J34" s="13">
        <v>0.4</v>
      </c>
      <c r="K34" s="13">
        <v>0.4</v>
      </c>
      <c r="L34" s="13"/>
      <c r="M34" s="13"/>
      <c r="N34" s="13"/>
      <c r="O34" s="13"/>
      <c r="P34" s="13"/>
      <c r="Q34" s="13"/>
      <c r="R34" s="32">
        <f>SUM(FR_CH3[[#This Row],[26M04]:[26M06]])</f>
        <v>1.2000000000000002</v>
      </c>
      <c r="S34" s="79">
        <f>SUM(FR_CH3[[#This Row],[26M07]:[26M09]])</f>
        <v>0</v>
      </c>
      <c r="T34" s="79">
        <f>SUM(FR_CH3[[#This Row],[26M10]:[26M12]])</f>
        <v>0</v>
      </c>
      <c r="U34" s="85" t="str">
        <f>VLOOKUP(FR_CH3[[#This Row],[Product Line]],Prod_T6[],4,0)</f>
        <v>PV</v>
      </c>
    </row>
    <row r="35" spans="1:21" ht="14.5">
      <c r="A35" s="14" t="s">
        <v>30</v>
      </c>
      <c r="B35" s="1" t="s">
        <v>189</v>
      </c>
      <c r="C35" s="3" t="s">
        <v>186</v>
      </c>
      <c r="D35" s="2" t="s">
        <v>197</v>
      </c>
      <c r="E35" s="2" t="s">
        <v>59</v>
      </c>
      <c r="F35" s="1" t="s">
        <v>120</v>
      </c>
      <c r="H35" s="15" t="s">
        <v>117</v>
      </c>
      <c r="I35" s="13">
        <v>6</v>
      </c>
      <c r="J35" s="13">
        <v>0</v>
      </c>
      <c r="K35" s="13">
        <v>0</v>
      </c>
      <c r="L35" s="13">
        <v>16</v>
      </c>
      <c r="M35" s="13">
        <v>12</v>
      </c>
      <c r="N35" s="13">
        <v>12</v>
      </c>
      <c r="O35" s="13">
        <v>12</v>
      </c>
      <c r="P35" s="13">
        <v>8</v>
      </c>
      <c r="Q35" s="13">
        <v>12</v>
      </c>
      <c r="R35" s="32">
        <f>SUM(FR_CH3[[#This Row],[26M04]:[26M06]])</f>
        <v>6</v>
      </c>
      <c r="S35" s="79">
        <f>SUM(FR_CH3[[#This Row],[26M07]:[26M09]])</f>
        <v>40</v>
      </c>
      <c r="T35" s="79">
        <f>SUM(FR_CH3[[#This Row],[26M10]:[26M12]])</f>
        <v>32</v>
      </c>
      <c r="U35" s="85" t="str">
        <f>VLOOKUP(FR_CH3[[#This Row],[Product Line]],Prod_T6[],4,0)</f>
        <v>ESS</v>
      </c>
    </row>
    <row r="36" spans="1:21" ht="14.5">
      <c r="A36" s="14" t="s">
        <v>30</v>
      </c>
      <c r="B36" s="1" t="s">
        <v>189</v>
      </c>
      <c r="C36" s="3" t="s">
        <v>186</v>
      </c>
      <c r="D36" s="2" t="s">
        <v>197</v>
      </c>
      <c r="E36" s="2" t="s">
        <v>58</v>
      </c>
      <c r="F36" s="1" t="s">
        <v>120</v>
      </c>
      <c r="H36" s="15" t="s">
        <v>117</v>
      </c>
      <c r="I36" s="13">
        <v>4</v>
      </c>
      <c r="J36" s="13">
        <v>0</v>
      </c>
      <c r="K36" s="13">
        <v>0</v>
      </c>
      <c r="L36" s="13">
        <v>4</v>
      </c>
      <c r="M36" s="13">
        <v>4</v>
      </c>
      <c r="N36" s="13">
        <v>4</v>
      </c>
      <c r="O36" s="13">
        <v>4</v>
      </c>
      <c r="P36" s="13">
        <v>4</v>
      </c>
      <c r="Q36" s="13">
        <v>4</v>
      </c>
      <c r="R36" s="32">
        <f>SUM(FR_CH3[[#This Row],[26M04]:[26M06]])</f>
        <v>4</v>
      </c>
      <c r="S36" s="79">
        <f>SUM(FR_CH3[[#This Row],[26M07]:[26M09]])</f>
        <v>12</v>
      </c>
      <c r="T36" s="79">
        <f>SUM(FR_CH3[[#This Row],[26M10]:[26M12]])</f>
        <v>12</v>
      </c>
      <c r="U36" s="85" t="str">
        <f>VLOOKUP(FR_CH3[[#This Row],[Product Line]],Prod_T6[],4,0)</f>
        <v>ESS</v>
      </c>
    </row>
    <row r="37" spans="1:21" ht="14.5">
      <c r="A37" s="14" t="s">
        <v>30</v>
      </c>
      <c r="B37" s="1" t="s">
        <v>189</v>
      </c>
      <c r="C37" s="2" t="s">
        <v>249</v>
      </c>
      <c r="D37" s="2" t="s">
        <v>197</v>
      </c>
      <c r="E37" s="2" t="s">
        <v>61</v>
      </c>
      <c r="F37" s="1" t="s">
        <v>120</v>
      </c>
      <c r="H37" s="15" t="s">
        <v>117</v>
      </c>
      <c r="I37" s="13">
        <v>4</v>
      </c>
      <c r="J37" s="13">
        <v>0</v>
      </c>
      <c r="K37" s="13">
        <v>0</v>
      </c>
      <c r="L37" s="13">
        <v>8</v>
      </c>
      <c r="M37" s="13">
        <v>0</v>
      </c>
      <c r="N37" s="13">
        <v>4</v>
      </c>
      <c r="O37" s="13">
        <v>0</v>
      </c>
      <c r="P37" s="13">
        <v>4</v>
      </c>
      <c r="Q37" s="13">
        <v>4</v>
      </c>
      <c r="R37" s="32">
        <f>SUM(FR_CH3[[#This Row],[26M04]:[26M06]])</f>
        <v>4</v>
      </c>
      <c r="S37" s="79">
        <f>SUM(FR_CH3[[#This Row],[26M07]:[26M09]])</f>
        <v>12</v>
      </c>
      <c r="T37" s="79">
        <f>SUM(FR_CH3[[#This Row],[26M10]:[26M12]])</f>
        <v>8</v>
      </c>
      <c r="U37" s="85" t="str">
        <f>VLOOKUP(FR_CH3[[#This Row],[Product Line]],Prod_T6[],4,0)</f>
        <v>ESS</v>
      </c>
    </row>
    <row r="38" spans="1:21" ht="14.5">
      <c r="A38" s="14" t="s">
        <v>30</v>
      </c>
      <c r="B38" s="1" t="s">
        <v>189</v>
      </c>
      <c r="C38" s="2" t="s">
        <v>249</v>
      </c>
      <c r="D38" s="2" t="s">
        <v>197</v>
      </c>
      <c r="E38" s="2" t="s">
        <v>62</v>
      </c>
      <c r="F38" s="1" t="s">
        <v>120</v>
      </c>
      <c r="H38" s="15" t="s">
        <v>117</v>
      </c>
      <c r="I38" s="13">
        <v>4</v>
      </c>
      <c r="J38" s="13">
        <v>0</v>
      </c>
      <c r="K38" s="13">
        <v>0</v>
      </c>
      <c r="L38" s="13">
        <v>0</v>
      </c>
      <c r="M38" s="13">
        <v>2</v>
      </c>
      <c r="N38" s="13">
        <v>2</v>
      </c>
      <c r="O38" s="13">
        <v>2</v>
      </c>
      <c r="P38" s="13">
        <v>2</v>
      </c>
      <c r="Q38" s="13">
        <v>2</v>
      </c>
      <c r="R38" s="32">
        <f>SUM(FR_CH3[[#This Row],[26M04]:[26M06]])</f>
        <v>4</v>
      </c>
      <c r="S38" s="79">
        <f>SUM(FR_CH3[[#This Row],[26M07]:[26M09]])</f>
        <v>4</v>
      </c>
      <c r="T38" s="79">
        <f>SUM(FR_CH3[[#This Row],[26M10]:[26M12]])</f>
        <v>6</v>
      </c>
      <c r="U38" s="85" t="str">
        <f>VLOOKUP(FR_CH3[[#This Row],[Product Line]],Prod_T6[],4,0)</f>
        <v>ESS</v>
      </c>
    </row>
    <row r="39" spans="1:21" ht="14.5">
      <c r="A39" s="14" t="s">
        <v>30</v>
      </c>
      <c r="B39" s="1" t="s">
        <v>198</v>
      </c>
      <c r="C39" s="3" t="s">
        <v>186</v>
      </c>
      <c r="D39" s="2" t="s">
        <v>54</v>
      </c>
      <c r="E39" s="2" t="s">
        <v>201</v>
      </c>
      <c r="F39" s="1" t="s">
        <v>120</v>
      </c>
      <c r="H39" s="15" t="s">
        <v>132</v>
      </c>
      <c r="I39" s="13">
        <v>2</v>
      </c>
      <c r="J39" s="13">
        <v>1</v>
      </c>
      <c r="K39" s="13">
        <v>1</v>
      </c>
      <c r="L39" s="13">
        <v>2</v>
      </c>
      <c r="M39" s="13">
        <v>3.37</v>
      </c>
      <c r="N39" s="13">
        <v>0</v>
      </c>
      <c r="O39" s="13">
        <v>0</v>
      </c>
      <c r="P39" s="13">
        <v>0</v>
      </c>
      <c r="Q39" s="13">
        <v>0</v>
      </c>
      <c r="R39" s="32">
        <f>SUM(FR_CH3[[#This Row],[26M04]:[26M06]])</f>
        <v>4</v>
      </c>
      <c r="S39" s="79">
        <f>SUM(FR_CH3[[#This Row],[26M07]:[26M09]])</f>
        <v>5.37</v>
      </c>
      <c r="T39" s="79">
        <f>SUM(FR_CH3[[#This Row],[26M10]:[26M12]])</f>
        <v>0</v>
      </c>
      <c r="U39" s="85" t="str">
        <f>VLOOKUP(FR_CH3[[#This Row],[Product Line]],Prod_T6[],4,0)</f>
        <v>PV</v>
      </c>
    </row>
    <row r="40" spans="1:21" ht="13">
      <c r="A40" s="14" t="s">
        <v>30</v>
      </c>
      <c r="B40" s="1" t="s">
        <v>198</v>
      </c>
      <c r="C40" s="3" t="s">
        <v>186</v>
      </c>
      <c r="D40" s="2" t="s">
        <v>54</v>
      </c>
      <c r="E40" s="2" t="s">
        <v>193</v>
      </c>
      <c r="F40" s="1" t="s">
        <v>120</v>
      </c>
      <c r="H40" s="15" t="s">
        <v>132</v>
      </c>
      <c r="I40" s="13"/>
      <c r="J40" s="13"/>
      <c r="K40" s="13"/>
      <c r="L40" s="13"/>
      <c r="M40" s="13">
        <v>0.85</v>
      </c>
      <c r="N40" s="13">
        <v>0.85</v>
      </c>
      <c r="O40" s="13">
        <v>0.85</v>
      </c>
      <c r="P40" s="13"/>
      <c r="Q40" s="13"/>
      <c r="R40" s="32">
        <f>SUM(FR_CH3[[#This Row],[26M04]:[26M06]])</f>
        <v>0</v>
      </c>
      <c r="S40" s="79">
        <f>SUM(FR_CH3[[#This Row],[26M07]:[26M09]])</f>
        <v>1.7</v>
      </c>
      <c r="T40" s="79">
        <f>SUM(FR_CH3[[#This Row],[26M10]:[26M12]])</f>
        <v>0.85</v>
      </c>
      <c r="U40" s="120" t="str">
        <f>VLOOKUP(FR_CH3[[#This Row],[Product Line]],Prod_T6[],4,0)</f>
        <v>PV</v>
      </c>
    </row>
    <row r="41" spans="1:21" ht="14.5">
      <c r="A41" s="14" t="s">
        <v>30</v>
      </c>
      <c r="B41" s="1" t="s">
        <v>198</v>
      </c>
      <c r="C41" s="3" t="s">
        <v>186</v>
      </c>
      <c r="D41" s="2" t="s">
        <v>54</v>
      </c>
      <c r="E41" s="2" t="s">
        <v>121</v>
      </c>
      <c r="F41" s="1" t="s">
        <v>120</v>
      </c>
      <c r="H41" s="15" t="s">
        <v>117</v>
      </c>
      <c r="I41" s="2">
        <v>0.8</v>
      </c>
      <c r="J41" s="2">
        <v>0.8</v>
      </c>
      <c r="K41" s="2">
        <v>0.8</v>
      </c>
      <c r="L41" s="13">
        <v>0.6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32">
        <f>SUM(FR_CH3[[#This Row],[26M04]:[26M06]])</f>
        <v>2.4000000000000004</v>
      </c>
      <c r="S41" s="79">
        <f>SUM(FR_CH3[[#This Row],[26M07]:[26M09]])</f>
        <v>0.6</v>
      </c>
      <c r="T41" s="79">
        <f>SUM(FR_CH3[[#This Row],[26M10]:[26M12]])</f>
        <v>0</v>
      </c>
      <c r="U41" s="85" t="str">
        <f>VLOOKUP(FR_CH3[[#This Row],[Product Line]],Prod_T6[],4,0)</f>
        <v>PV</v>
      </c>
    </row>
    <row r="42" spans="1:21" ht="13">
      <c r="A42" s="14" t="s">
        <v>30</v>
      </c>
      <c r="B42" s="1" t="s">
        <v>198</v>
      </c>
      <c r="C42" s="3" t="s">
        <v>186</v>
      </c>
      <c r="D42" s="2" t="s">
        <v>54</v>
      </c>
      <c r="E42" s="2" t="s">
        <v>202</v>
      </c>
      <c r="F42" s="1" t="s">
        <v>120</v>
      </c>
      <c r="H42" s="40" t="s">
        <v>117</v>
      </c>
      <c r="I42" s="13"/>
      <c r="J42" s="13"/>
      <c r="K42" s="13"/>
      <c r="L42" s="13">
        <v>1.3</v>
      </c>
      <c r="M42" s="13">
        <v>1.3</v>
      </c>
      <c r="N42" s="13">
        <v>1.3</v>
      </c>
      <c r="O42" s="13">
        <v>0</v>
      </c>
      <c r="P42" s="13">
        <v>0</v>
      </c>
      <c r="Q42" s="13">
        <v>0.8</v>
      </c>
      <c r="R42" s="32">
        <f>SUM(FR_CH3[[#This Row],[26M04]:[26M06]])</f>
        <v>0</v>
      </c>
      <c r="S42" s="79">
        <f>SUM(FR_CH3[[#This Row],[26M07]:[26M09]])</f>
        <v>3.9000000000000004</v>
      </c>
      <c r="T42" s="79">
        <f>SUM(FR_CH3[[#This Row],[26M10]:[26M12]])</f>
        <v>0.8</v>
      </c>
      <c r="U42" s="120" t="str">
        <f>VLOOKUP(FR_CH3[[#This Row],[Product Line]],Prod_T6[],4,0)</f>
        <v>PV</v>
      </c>
    </row>
    <row r="43" spans="1:21" ht="14.5">
      <c r="A43" s="14" t="s">
        <v>30</v>
      </c>
      <c r="B43" s="1" t="s">
        <v>190</v>
      </c>
      <c r="C43" s="3" t="s">
        <v>186</v>
      </c>
      <c r="D43" s="2" t="s">
        <v>54</v>
      </c>
      <c r="E43" s="2" t="s">
        <v>201</v>
      </c>
      <c r="F43" s="1" t="s">
        <v>120</v>
      </c>
      <c r="H43" s="15" t="s">
        <v>117</v>
      </c>
      <c r="I43" s="13">
        <v>0.4</v>
      </c>
      <c r="J43" s="13">
        <v>1</v>
      </c>
      <c r="K43" s="13">
        <v>1</v>
      </c>
      <c r="L43" s="13">
        <v>0.4</v>
      </c>
      <c r="M43" s="13">
        <v>0.4</v>
      </c>
      <c r="N43" s="13">
        <v>0</v>
      </c>
      <c r="O43" s="13">
        <v>0</v>
      </c>
      <c r="P43" s="13">
        <v>0</v>
      </c>
      <c r="Q43" s="13">
        <v>0</v>
      </c>
      <c r="R43" s="32">
        <f>SUM(FR_CH3[[#This Row],[26M04]:[26M06]])</f>
        <v>2.4</v>
      </c>
      <c r="S43" s="79">
        <f>SUM(FR_CH3[[#This Row],[26M07]:[26M09]])</f>
        <v>0.8</v>
      </c>
      <c r="T43" s="79">
        <f>SUM(FR_CH3[[#This Row],[26M10]:[26M12]])</f>
        <v>0</v>
      </c>
      <c r="U43" s="85" t="str">
        <f>VLOOKUP(FR_CH3[[#This Row],[Product Line]],Prod_T6[],4,0)</f>
        <v>PV</v>
      </c>
    </row>
    <row r="44" spans="1:21" ht="14.5">
      <c r="A44" s="14" t="s">
        <v>30</v>
      </c>
      <c r="B44" s="1" t="s">
        <v>203</v>
      </c>
      <c r="C44" s="3" t="s">
        <v>1242</v>
      </c>
      <c r="D44" s="2" t="s">
        <v>149</v>
      </c>
      <c r="E44" s="2" t="s">
        <v>1243</v>
      </c>
      <c r="F44" s="1" t="s">
        <v>115</v>
      </c>
      <c r="G44" s="1" t="s">
        <v>116</v>
      </c>
      <c r="H44" s="15" t="s">
        <v>117</v>
      </c>
      <c r="I44" s="13"/>
      <c r="J44" s="13"/>
      <c r="K44" s="13"/>
      <c r="L44" s="13">
        <v>2</v>
      </c>
      <c r="M44" s="13">
        <v>6</v>
      </c>
      <c r="N44" s="13">
        <v>6</v>
      </c>
      <c r="O44" s="13"/>
      <c r="P44" s="13"/>
      <c r="Q44" s="13"/>
      <c r="R44" s="32">
        <f>SUM(FR_CH3[[#This Row],[26M04]:[26M06]])</f>
        <v>0</v>
      </c>
      <c r="S44" s="79">
        <f>SUM(FR_CH3[[#This Row],[26M07]:[26M09]])</f>
        <v>14</v>
      </c>
      <c r="T44" s="79">
        <f>SUM(FR_CH3[[#This Row],[26M10]:[26M12]])</f>
        <v>0</v>
      </c>
      <c r="U44" s="85" t="str">
        <f>VLOOKUP(FR_CH3[[#This Row],[Product Line]],Prod_T6[],4,0)</f>
        <v>PV</v>
      </c>
    </row>
    <row r="45" spans="1:21" ht="13">
      <c r="A45" s="14" t="s">
        <v>30</v>
      </c>
      <c r="B45" s="1" t="s">
        <v>203</v>
      </c>
      <c r="C45" s="3" t="s">
        <v>1242</v>
      </c>
      <c r="D45" s="2" t="s">
        <v>54</v>
      </c>
      <c r="E45" s="2" t="s">
        <v>201</v>
      </c>
      <c r="F45" s="1" t="s">
        <v>156</v>
      </c>
      <c r="G45" s="1" t="s">
        <v>248</v>
      </c>
      <c r="H45" s="15" t="s">
        <v>117</v>
      </c>
      <c r="I45" s="13"/>
      <c r="J45" s="13"/>
      <c r="K45" s="13"/>
      <c r="L45" s="13"/>
      <c r="M45" s="13">
        <v>0.84199999999999997</v>
      </c>
      <c r="N45" s="13">
        <v>2.1</v>
      </c>
      <c r="O45" s="13"/>
      <c r="P45" s="13"/>
      <c r="Q45" s="13"/>
      <c r="R45" s="32">
        <f>SUM(FR_CH3[[#This Row],[26M04]:[26M06]])</f>
        <v>0</v>
      </c>
      <c r="S45" s="79">
        <f>SUM(FR_CH3[[#This Row],[26M07]:[26M09]])</f>
        <v>2.9420000000000002</v>
      </c>
      <c r="T45" s="79">
        <f>SUM(FR_CH3[[#This Row],[26M10]:[26M12]])</f>
        <v>0</v>
      </c>
      <c r="U45" s="120" t="str">
        <f>VLOOKUP(FR_CH3[[#This Row],[Product Line]],Prod_T6[],4,0)</f>
        <v>PV</v>
      </c>
    </row>
    <row r="46" spans="1:21" ht="14.5">
      <c r="A46" s="14" t="s">
        <v>30</v>
      </c>
      <c r="B46" s="1" t="s">
        <v>203</v>
      </c>
      <c r="C46" s="3" t="s">
        <v>1242</v>
      </c>
      <c r="D46" s="2" t="s">
        <v>54</v>
      </c>
      <c r="E46" s="2" t="s">
        <v>201</v>
      </c>
      <c r="F46" s="1" t="s">
        <v>156</v>
      </c>
      <c r="G46" s="1" t="s">
        <v>248</v>
      </c>
      <c r="H46" s="15" t="s">
        <v>117</v>
      </c>
      <c r="I46" s="13">
        <v>2.1</v>
      </c>
      <c r="J46" s="13"/>
      <c r="K46" s="13"/>
      <c r="L46" s="13"/>
      <c r="M46" s="13"/>
      <c r="N46" s="13"/>
      <c r="O46" s="13"/>
      <c r="P46" s="13"/>
      <c r="Q46" s="13"/>
      <c r="R46" s="32">
        <f>SUM(FR_CH3[[#This Row],[26M04]:[26M06]])</f>
        <v>2.1</v>
      </c>
      <c r="S46" s="79">
        <f>SUM(FR_CH3[[#This Row],[26M07]:[26M09]])</f>
        <v>0</v>
      </c>
      <c r="T46" s="79">
        <f>SUM(FR_CH3[[#This Row],[26M10]:[26M12]])</f>
        <v>0</v>
      </c>
      <c r="U46" s="85" t="str">
        <f>VLOOKUP(FR_CH3[[#This Row],[Product Line]],Prod_T6[],4,0)</f>
        <v>PV</v>
      </c>
    </row>
    <row r="47" spans="1:21" ht="14.5">
      <c r="A47" s="14" t="s">
        <v>30</v>
      </c>
      <c r="B47" s="1" t="s">
        <v>203</v>
      </c>
      <c r="C47" s="3" t="s">
        <v>1242</v>
      </c>
      <c r="D47" s="2" t="s">
        <v>54</v>
      </c>
      <c r="E47" s="2" t="s">
        <v>193</v>
      </c>
      <c r="F47" s="1" t="s">
        <v>156</v>
      </c>
      <c r="G47" s="1" t="s">
        <v>248</v>
      </c>
      <c r="H47" s="15" t="s">
        <v>117</v>
      </c>
      <c r="I47" s="72">
        <v>2.129</v>
      </c>
      <c r="J47" s="13"/>
      <c r="K47" s="13"/>
      <c r="L47" s="13"/>
      <c r="M47" s="13"/>
      <c r="N47" s="13"/>
      <c r="O47" s="13"/>
      <c r="P47" s="13"/>
      <c r="Q47" s="13"/>
      <c r="R47" s="32">
        <f>SUM(FR_CH3[[#This Row],[26M04]:[26M06]])</f>
        <v>2.129</v>
      </c>
      <c r="S47" s="79">
        <f>SUM(FR_CH3[[#This Row],[26M07]:[26M09]])</f>
        <v>0</v>
      </c>
      <c r="T47" s="79">
        <f>SUM(FR_CH3[[#This Row],[26M10]:[26M12]])</f>
        <v>0</v>
      </c>
      <c r="U47" s="85" t="str">
        <f>VLOOKUP(FR_CH3[[#This Row],[Product Line]],Prod_T6[],4,0)</f>
        <v>PV</v>
      </c>
    </row>
    <row r="48" spans="1:21" ht="14.5">
      <c r="A48" s="14" t="s">
        <v>30</v>
      </c>
      <c r="B48" s="1" t="s">
        <v>203</v>
      </c>
      <c r="C48" s="3" t="s">
        <v>1242</v>
      </c>
      <c r="D48" s="2" t="s">
        <v>149</v>
      </c>
      <c r="E48" s="2" t="s">
        <v>1243</v>
      </c>
      <c r="F48" s="1" t="s">
        <v>115</v>
      </c>
      <c r="G48" s="1" t="s">
        <v>247</v>
      </c>
      <c r="H48" s="15" t="s">
        <v>117</v>
      </c>
      <c r="I48" s="13"/>
      <c r="J48" s="13"/>
      <c r="K48" s="13"/>
      <c r="L48" s="13"/>
      <c r="M48" s="13">
        <v>2</v>
      </c>
      <c r="N48" s="13">
        <v>2</v>
      </c>
      <c r="O48" s="13"/>
      <c r="P48" s="13"/>
      <c r="Q48" s="13"/>
      <c r="R48" s="32">
        <f>SUM(FR_CH3[[#This Row],[26M04]:[26M06]])</f>
        <v>0</v>
      </c>
      <c r="S48" s="79">
        <f>SUM(FR_CH3[[#This Row],[26M07]:[26M09]])</f>
        <v>4</v>
      </c>
      <c r="T48" s="79">
        <f>SUM(FR_CH3[[#This Row],[26M10]:[26M12]])</f>
        <v>0</v>
      </c>
      <c r="U48" s="85" t="str">
        <f>VLOOKUP(FR_CH3[[#This Row],[Product Line]],Prod_T6[],4,0)</f>
        <v>PV</v>
      </c>
    </row>
    <row r="49" spans="1:21" ht="14.5">
      <c r="A49" s="14" t="s">
        <v>30</v>
      </c>
      <c r="B49" s="1" t="s">
        <v>203</v>
      </c>
      <c r="C49" s="3" t="s">
        <v>1242</v>
      </c>
      <c r="D49" s="2" t="s">
        <v>149</v>
      </c>
      <c r="E49" s="2" t="s">
        <v>1243</v>
      </c>
      <c r="F49" s="1" t="s">
        <v>115</v>
      </c>
      <c r="G49" s="1" t="s">
        <v>245</v>
      </c>
      <c r="H49" s="15" t="s">
        <v>117</v>
      </c>
      <c r="I49" s="13"/>
      <c r="J49" s="13"/>
      <c r="K49" s="13"/>
      <c r="L49" s="13"/>
      <c r="M49" s="13"/>
      <c r="N49" s="13">
        <v>2</v>
      </c>
      <c r="O49" s="13"/>
      <c r="P49" s="13"/>
      <c r="Q49" s="13"/>
      <c r="R49" s="32">
        <v>0</v>
      </c>
      <c r="S49" s="79">
        <f>SUM(FR_CH3[[#This Row],[26M07]:[26M09]])</f>
        <v>2</v>
      </c>
      <c r="T49" s="79">
        <f>SUM(FR_CH3[[#This Row],[26M10]:[26M12]])</f>
        <v>0</v>
      </c>
      <c r="U49" s="85" t="str">
        <f>VLOOKUP(FR_CH3[[#This Row],[Product Line]],Prod_T6[],4,0)</f>
        <v>PV</v>
      </c>
    </row>
    <row r="50" spans="1:21" ht="14.5">
      <c r="A50" s="14" t="s">
        <v>30</v>
      </c>
      <c r="B50" s="1" t="s">
        <v>203</v>
      </c>
      <c r="C50" s="3" t="s">
        <v>1242</v>
      </c>
      <c r="D50" s="2" t="s">
        <v>149</v>
      </c>
      <c r="E50" s="2" t="s">
        <v>1243</v>
      </c>
      <c r="F50" s="1" t="s">
        <v>115</v>
      </c>
      <c r="G50" s="1" t="s">
        <v>243</v>
      </c>
      <c r="H50" s="15" t="s">
        <v>117</v>
      </c>
      <c r="I50" s="13"/>
      <c r="J50" s="13"/>
      <c r="K50" s="13"/>
      <c r="L50" s="13"/>
      <c r="M50" s="13"/>
      <c r="N50" s="13"/>
      <c r="O50" s="13"/>
      <c r="P50" s="13"/>
      <c r="Q50" s="13"/>
      <c r="R50" s="32">
        <v>0.09</v>
      </c>
      <c r="S50" s="79">
        <f>SUM(FR_CH3[[#This Row],[26M07]:[26M09]])</f>
        <v>0</v>
      </c>
      <c r="T50" s="79">
        <f>SUM(FR_CH3[[#This Row],[26M10]:[26M12]])</f>
        <v>0</v>
      </c>
      <c r="U50" s="85" t="str">
        <f>VLOOKUP(FR_CH3[[#This Row],[Product Line]],Prod_T6[],4,0)</f>
        <v>PV</v>
      </c>
    </row>
    <row r="51" spans="1:21" ht="14.5">
      <c r="A51" s="14" t="s">
        <v>30</v>
      </c>
      <c r="B51" s="1" t="s">
        <v>203</v>
      </c>
      <c r="C51" s="3" t="s">
        <v>1242</v>
      </c>
      <c r="D51" s="2" t="s">
        <v>149</v>
      </c>
      <c r="E51" s="2" t="s">
        <v>1243</v>
      </c>
      <c r="F51" s="1" t="s">
        <v>115</v>
      </c>
      <c r="G51" s="1" t="s">
        <v>241</v>
      </c>
      <c r="H51" s="15" t="s">
        <v>117</v>
      </c>
      <c r="I51" s="13"/>
      <c r="J51" s="13"/>
      <c r="K51" s="13"/>
      <c r="L51" s="13"/>
      <c r="M51" s="13">
        <v>4</v>
      </c>
      <c r="N51" s="13">
        <v>4</v>
      </c>
      <c r="O51" s="13"/>
      <c r="P51" s="13"/>
      <c r="Q51" s="13"/>
      <c r="R51" s="32">
        <f>SUM(FR_CH3[[#This Row],[26M04]:[26M06]])</f>
        <v>0</v>
      </c>
      <c r="S51" s="79">
        <f>SUM(FR_CH3[[#This Row],[26M07]:[26M09]])</f>
        <v>8</v>
      </c>
      <c r="T51" s="79">
        <f>SUM(FR_CH3[[#This Row],[26M10]:[26M12]])</f>
        <v>0</v>
      </c>
      <c r="U51" s="85" t="str">
        <f>VLOOKUP(FR_CH3[[#This Row],[Product Line]],Prod_T6[],4,0)</f>
        <v>PV</v>
      </c>
    </row>
    <row r="52" spans="1:21" ht="14.5">
      <c r="A52" s="14" t="s">
        <v>30</v>
      </c>
      <c r="B52" s="1" t="s">
        <v>203</v>
      </c>
      <c r="C52" s="3" t="s">
        <v>1242</v>
      </c>
      <c r="D52" s="2" t="s">
        <v>113</v>
      </c>
      <c r="E52" s="2" t="s">
        <v>834</v>
      </c>
      <c r="F52" s="1" t="s">
        <v>634</v>
      </c>
      <c r="G52" s="1" t="s">
        <v>239</v>
      </c>
      <c r="H52" s="15" t="s">
        <v>117</v>
      </c>
      <c r="I52" s="13"/>
      <c r="J52" s="13"/>
      <c r="K52" s="13"/>
      <c r="L52" s="13"/>
      <c r="M52" s="13"/>
      <c r="N52" s="13">
        <v>2</v>
      </c>
      <c r="O52" s="13">
        <v>2</v>
      </c>
      <c r="P52" s="13">
        <v>2</v>
      </c>
      <c r="Q52" s="13">
        <v>2</v>
      </c>
      <c r="R52" s="32">
        <f>SUM(FR_CH3[[#This Row],[26M04]:[26M06]])</f>
        <v>0</v>
      </c>
      <c r="S52" s="79">
        <f>SUM(FR_CH3[[#This Row],[26M07]:[26M09]])</f>
        <v>2</v>
      </c>
      <c r="T52" s="79">
        <f>SUM(FR_CH3[[#This Row],[26M10]:[26M12]])</f>
        <v>6</v>
      </c>
      <c r="U52" s="85" t="str">
        <f>VLOOKUP(FR_CH3[[#This Row],[Product Line]],Prod_T6[],4,0)</f>
        <v>PV</v>
      </c>
    </row>
    <row r="53" spans="1:21" ht="14.5">
      <c r="A53" s="14" t="s">
        <v>30</v>
      </c>
      <c r="B53" s="1" t="s">
        <v>190</v>
      </c>
      <c r="C53" s="3" t="s">
        <v>186</v>
      </c>
      <c r="D53" s="2" t="s">
        <v>54</v>
      </c>
      <c r="E53" s="2" t="s">
        <v>121</v>
      </c>
      <c r="F53" s="1" t="s">
        <v>120</v>
      </c>
      <c r="H53" s="15" t="s">
        <v>117</v>
      </c>
      <c r="I53" s="13">
        <v>0.6</v>
      </c>
      <c r="J53" s="13">
        <v>1</v>
      </c>
      <c r="K53" s="13">
        <v>1</v>
      </c>
      <c r="L53" s="13">
        <v>0.6</v>
      </c>
      <c r="M53" s="13">
        <v>0.4</v>
      </c>
      <c r="N53" s="13">
        <v>0.8</v>
      </c>
      <c r="O53" s="13">
        <v>1</v>
      </c>
      <c r="P53" s="13"/>
      <c r="Q53" s="13"/>
      <c r="R53" s="32">
        <f>SUM(FR_CH3[[#This Row],[26M04]:[26M06]])</f>
        <v>2.6</v>
      </c>
      <c r="S53" s="79">
        <f>SUM(FR_CH3[[#This Row],[26M07]:[26M09]])</f>
        <v>1.8</v>
      </c>
      <c r="T53" s="79">
        <f>SUM(FR_CH3[[#This Row],[26M10]:[26M12]])</f>
        <v>1</v>
      </c>
      <c r="U53" s="85" t="str">
        <f>VLOOKUP(FR_CH3[[#This Row],[Product Line]],Prod_T6[],4,0)</f>
        <v>PV</v>
      </c>
    </row>
    <row r="54" spans="1:21" ht="14.25" customHeight="1">
      <c r="A54" s="14" t="s">
        <v>30</v>
      </c>
      <c r="B54" s="1" t="s">
        <v>189</v>
      </c>
      <c r="C54" s="3" t="s">
        <v>186</v>
      </c>
      <c r="D54" s="2" t="s">
        <v>54</v>
      </c>
      <c r="E54" s="2" t="s">
        <v>201</v>
      </c>
      <c r="F54" s="1" t="s">
        <v>120</v>
      </c>
      <c r="H54" s="15" t="s">
        <v>117</v>
      </c>
      <c r="I54" s="13">
        <v>0.8</v>
      </c>
      <c r="J54" s="13">
        <v>0.4</v>
      </c>
      <c r="K54" s="13">
        <v>0.4</v>
      </c>
      <c r="L54" s="13">
        <v>0.8</v>
      </c>
      <c r="M54" s="13">
        <v>0.4</v>
      </c>
      <c r="N54" s="13">
        <v>0</v>
      </c>
      <c r="O54" s="13">
        <v>0</v>
      </c>
      <c r="P54" s="13">
        <v>0</v>
      </c>
      <c r="Q54" s="13">
        <v>0</v>
      </c>
      <c r="R54" s="32">
        <f>SUM(FR_CH3[[#This Row],[26M04]:[26M06]])</f>
        <v>1.6</v>
      </c>
      <c r="S54" s="79">
        <f>SUM(FR_CH3[[#This Row],[26M07]:[26M09]])</f>
        <v>1.2000000000000002</v>
      </c>
      <c r="T54" s="79">
        <f>SUM(FR_CH3[[#This Row],[26M10]:[26M12]])</f>
        <v>0</v>
      </c>
      <c r="U54" s="85" t="str">
        <f>VLOOKUP(FR_CH3[[#This Row],[Product Line]],Prod_T6[],4,0)</f>
        <v>PV</v>
      </c>
    </row>
    <row r="55" spans="1:21" ht="14.25" customHeight="1">
      <c r="A55" s="14" t="s">
        <v>30</v>
      </c>
      <c r="B55" s="1" t="s">
        <v>189</v>
      </c>
      <c r="C55" s="3" t="s">
        <v>186</v>
      </c>
      <c r="D55" s="2" t="s">
        <v>54</v>
      </c>
      <c r="E55" s="2" t="s">
        <v>202</v>
      </c>
      <c r="F55" s="1" t="s">
        <v>120</v>
      </c>
      <c r="H55" s="15" t="s">
        <v>117</v>
      </c>
      <c r="I55" s="13">
        <v>0.8</v>
      </c>
      <c r="J55" s="13">
        <v>0.8</v>
      </c>
      <c r="K55" s="13">
        <v>0.8</v>
      </c>
      <c r="L55" s="13">
        <v>0.8</v>
      </c>
      <c r="M55" s="13">
        <v>0.8</v>
      </c>
      <c r="N55" s="13">
        <v>0.8</v>
      </c>
      <c r="O55" s="13">
        <v>0.8</v>
      </c>
      <c r="P55" s="13">
        <v>0.8</v>
      </c>
      <c r="Q55" s="13">
        <v>0.8</v>
      </c>
      <c r="R55" s="32">
        <f>SUM(FR_CH3[[#This Row],[26M04]:[26M06]])</f>
        <v>2.4000000000000004</v>
      </c>
      <c r="S55" s="79">
        <f>SUM(FR_CH3[[#This Row],[26M07]:[26M09]])</f>
        <v>2.4000000000000004</v>
      </c>
      <c r="T55" s="79">
        <f>SUM(FR_CH3[[#This Row],[26M10]:[26M12]])</f>
        <v>2.4000000000000004</v>
      </c>
      <c r="U55" s="85" t="str">
        <f>VLOOKUP(FR_CH3[[#This Row],[Product Line]],Prod_T6[],4,0)</f>
        <v>PV</v>
      </c>
    </row>
    <row r="56" spans="1:21" ht="14.25" customHeight="1">
      <c r="A56" s="29" t="s">
        <v>30</v>
      </c>
      <c r="B56" s="1" t="s">
        <v>188</v>
      </c>
      <c r="C56" s="3" t="s">
        <v>186</v>
      </c>
      <c r="D56" s="2" t="s">
        <v>197</v>
      </c>
      <c r="E56" s="2" t="s">
        <v>59</v>
      </c>
      <c r="F56" s="1" t="s">
        <v>120</v>
      </c>
      <c r="H56" s="15" t="s">
        <v>117</v>
      </c>
      <c r="I56" s="13">
        <v>12</v>
      </c>
      <c r="J56" s="13">
        <v>0</v>
      </c>
      <c r="K56" s="13">
        <v>0</v>
      </c>
      <c r="L56" s="13">
        <v>40</v>
      </c>
      <c r="M56" s="13">
        <v>8</v>
      </c>
      <c r="N56" s="13">
        <v>25</v>
      </c>
      <c r="O56" s="13">
        <v>25</v>
      </c>
      <c r="P56" s="13">
        <v>25</v>
      </c>
      <c r="Q56" s="13">
        <v>25</v>
      </c>
      <c r="R56" s="32">
        <f>SUM(FR_CH3[[#This Row],[26M04]:[26M06]])</f>
        <v>12</v>
      </c>
      <c r="S56" s="79">
        <f>SUM(FR_CH3[[#This Row],[26M07]:[26M09]])</f>
        <v>73</v>
      </c>
      <c r="T56" s="79">
        <f>SUM(FR_CH3[[#This Row],[26M10]:[26M12]])</f>
        <v>75</v>
      </c>
      <c r="U56" s="85" t="str">
        <f>VLOOKUP(FR_CH3[[#This Row],[Product Line]],Prod_T6[],4,0)</f>
        <v>ESS</v>
      </c>
    </row>
    <row r="57" spans="1:21" ht="14.25" customHeight="1">
      <c r="A57" s="29" t="s">
        <v>30</v>
      </c>
      <c r="B57" s="1" t="s">
        <v>188</v>
      </c>
      <c r="C57" s="3" t="s">
        <v>186</v>
      </c>
      <c r="D57" s="2" t="s">
        <v>197</v>
      </c>
      <c r="E57" s="2" t="s">
        <v>58</v>
      </c>
      <c r="F57" s="1" t="s">
        <v>120</v>
      </c>
      <c r="H57" s="15" t="s">
        <v>117</v>
      </c>
      <c r="I57" s="13">
        <v>8</v>
      </c>
      <c r="J57" s="13">
        <v>0</v>
      </c>
      <c r="K57" s="13">
        <v>0</v>
      </c>
      <c r="L57" s="13">
        <v>8</v>
      </c>
      <c r="M57" s="13"/>
      <c r="N57" s="13">
        <v>5</v>
      </c>
      <c r="O57" s="13">
        <v>5</v>
      </c>
      <c r="P57" s="13">
        <v>5</v>
      </c>
      <c r="Q57" s="13">
        <v>5</v>
      </c>
      <c r="R57" s="32">
        <f>SUM(FR_CH3[[#This Row],[26M04]:[26M06]])</f>
        <v>8</v>
      </c>
      <c r="S57" s="79">
        <f>SUM(FR_CH3[[#This Row],[26M07]:[26M09]])</f>
        <v>13</v>
      </c>
      <c r="T57" s="79">
        <f>SUM(FR_CH3[[#This Row],[26M10]:[26M12]])</f>
        <v>15</v>
      </c>
      <c r="U57" s="85" t="str">
        <f>VLOOKUP(FR_CH3[[#This Row],[Product Line]],Prod_T6[],4,0)</f>
        <v>ESS</v>
      </c>
    </row>
    <row r="58" spans="1:21" ht="14.25" customHeight="1">
      <c r="A58" s="29" t="s">
        <v>30</v>
      </c>
      <c r="B58" s="1" t="s">
        <v>188</v>
      </c>
      <c r="C58" s="3" t="s">
        <v>186</v>
      </c>
      <c r="D58" s="2" t="s">
        <v>197</v>
      </c>
      <c r="E58" s="2" t="s">
        <v>61</v>
      </c>
      <c r="F58" s="1" t="s">
        <v>120</v>
      </c>
      <c r="H58" s="15" t="s">
        <v>117</v>
      </c>
      <c r="I58" s="13">
        <v>4</v>
      </c>
      <c r="J58" s="13">
        <v>0</v>
      </c>
      <c r="K58" s="13">
        <v>0</v>
      </c>
      <c r="L58" s="13">
        <v>8</v>
      </c>
      <c r="M58" s="13">
        <v>0</v>
      </c>
      <c r="N58" s="13">
        <v>3</v>
      </c>
      <c r="O58" s="13">
        <v>3</v>
      </c>
      <c r="P58" s="13">
        <v>3</v>
      </c>
      <c r="Q58" s="13">
        <v>3</v>
      </c>
      <c r="R58" s="32">
        <f>SUM(FR_CH3[[#This Row],[26M04]:[26M06]])</f>
        <v>4</v>
      </c>
      <c r="S58" s="79">
        <f>SUM(FR_CH3[[#This Row],[26M07]:[26M09]])</f>
        <v>11</v>
      </c>
      <c r="T58" s="79">
        <f>SUM(FR_CH3[[#This Row],[26M10]:[26M12]])</f>
        <v>9</v>
      </c>
      <c r="U58" s="85" t="str">
        <f>VLOOKUP(FR_CH3[[#This Row],[Product Line]],Prod_T6[],4,0)</f>
        <v>ESS</v>
      </c>
    </row>
    <row r="59" spans="1:21" ht="14.25" customHeight="1">
      <c r="A59" s="29" t="s">
        <v>30</v>
      </c>
      <c r="B59" s="1" t="s">
        <v>188</v>
      </c>
      <c r="D59" s="2" t="s">
        <v>197</v>
      </c>
      <c r="E59" s="2" t="s">
        <v>62</v>
      </c>
      <c r="F59" s="1" t="s">
        <v>120</v>
      </c>
      <c r="H59" s="15" t="s">
        <v>117</v>
      </c>
      <c r="I59" s="13">
        <v>4</v>
      </c>
      <c r="J59" s="13">
        <v>0</v>
      </c>
      <c r="K59" s="13">
        <v>0</v>
      </c>
      <c r="L59" s="13">
        <v>0</v>
      </c>
      <c r="M59" s="13">
        <v>2</v>
      </c>
      <c r="N59" s="13">
        <v>2</v>
      </c>
      <c r="O59" s="13">
        <v>2</v>
      </c>
      <c r="P59" s="13">
        <v>2</v>
      </c>
      <c r="Q59" s="13">
        <v>2</v>
      </c>
      <c r="R59" s="32">
        <f>SUM(FR_CH3[[#This Row],[26M04]:[26M06]])</f>
        <v>4</v>
      </c>
      <c r="S59" s="79">
        <f>SUM(FR_CH3[[#This Row],[26M07]:[26M09]])</f>
        <v>4</v>
      </c>
      <c r="T59" s="79">
        <f>SUM(FR_CH3[[#This Row],[26M10]:[26M12]])</f>
        <v>6</v>
      </c>
      <c r="U59" s="85" t="str">
        <f>VLOOKUP(FR_CH3[[#This Row],[Product Line]],Prod_T6[],4,0)</f>
        <v>ESS</v>
      </c>
    </row>
    <row r="60" spans="1:21" ht="14.25" customHeight="1">
      <c r="A60" s="29" t="s">
        <v>30</v>
      </c>
      <c r="B60" s="1" t="s">
        <v>189</v>
      </c>
      <c r="C60" s="3" t="s">
        <v>186</v>
      </c>
      <c r="D60" s="2" t="s">
        <v>54</v>
      </c>
      <c r="E60" s="2" t="s">
        <v>121</v>
      </c>
      <c r="F60" s="1" t="s">
        <v>120</v>
      </c>
      <c r="H60" s="15" t="s">
        <v>117</v>
      </c>
      <c r="I60" s="13">
        <v>1.2</v>
      </c>
      <c r="J60" s="13">
        <v>0.8</v>
      </c>
      <c r="K60" s="13">
        <v>0.8</v>
      </c>
      <c r="L60" s="13">
        <v>0.8</v>
      </c>
      <c r="M60" s="13">
        <v>0.4</v>
      </c>
      <c r="N60" s="13">
        <v>0.4</v>
      </c>
      <c r="O60" s="13">
        <v>0.4</v>
      </c>
      <c r="P60" s="13">
        <v>0.4</v>
      </c>
      <c r="Q60" s="13">
        <v>0.4</v>
      </c>
      <c r="R60" s="32">
        <f>SUM(FR_CH3[[#This Row],[26M04]:[26M06]])</f>
        <v>2.8</v>
      </c>
      <c r="S60" s="79">
        <f>SUM(FR_CH3[[#This Row],[26M07]:[26M09]])</f>
        <v>1.6</v>
      </c>
      <c r="T60" s="79">
        <f>SUM(FR_CH3[[#This Row],[26M10]:[26M12]])</f>
        <v>1.2000000000000002</v>
      </c>
      <c r="U60" s="85" t="str">
        <f>VLOOKUP(FR_CH3[[#This Row],[Product Line]],Prod_T6[],4,0)</f>
        <v>PV</v>
      </c>
    </row>
    <row r="61" spans="1:21" ht="14.25" customHeight="1">
      <c r="A61" s="29" t="s">
        <v>30</v>
      </c>
      <c r="B61" s="1" t="s">
        <v>188</v>
      </c>
      <c r="C61" s="3" t="s">
        <v>186</v>
      </c>
      <c r="D61" s="2" t="s">
        <v>54</v>
      </c>
      <c r="E61" s="2" t="s">
        <v>201</v>
      </c>
      <c r="F61" s="1" t="s">
        <v>120</v>
      </c>
      <c r="H61" s="15" t="s">
        <v>117</v>
      </c>
      <c r="I61" s="13">
        <v>1.2</v>
      </c>
      <c r="J61" s="13">
        <v>1</v>
      </c>
      <c r="K61" s="13">
        <v>1</v>
      </c>
      <c r="L61" s="13">
        <v>1.2</v>
      </c>
      <c r="M61" s="13">
        <v>0.4</v>
      </c>
      <c r="N61" s="13">
        <v>0</v>
      </c>
      <c r="O61" s="13">
        <v>0</v>
      </c>
      <c r="P61" s="13">
        <v>0</v>
      </c>
      <c r="Q61" s="13">
        <v>0</v>
      </c>
      <c r="R61" s="32">
        <f>SUM(FR_CH3[[#This Row],[26M04]:[26M06]])</f>
        <v>3.2</v>
      </c>
      <c r="S61" s="79">
        <f>SUM(FR_CH3[[#This Row],[26M07]:[26M09]])</f>
        <v>1.6</v>
      </c>
      <c r="T61" s="79">
        <f>SUM(FR_CH3[[#This Row],[26M10]:[26M12]])</f>
        <v>0</v>
      </c>
      <c r="U61" s="85" t="str">
        <f>VLOOKUP(FR_CH3[[#This Row],[Product Line]],Prod_T6[],4,0)</f>
        <v>PV</v>
      </c>
    </row>
    <row r="62" spans="1:21" ht="14.25" customHeight="1">
      <c r="A62" s="29" t="s">
        <v>30</v>
      </c>
      <c r="B62" s="1" t="s">
        <v>188</v>
      </c>
      <c r="C62" s="3" t="s">
        <v>186</v>
      </c>
      <c r="D62" s="2" t="s">
        <v>54</v>
      </c>
      <c r="E62" s="2" t="s">
        <v>202</v>
      </c>
      <c r="F62" s="1" t="s">
        <v>120</v>
      </c>
      <c r="H62" s="15" t="s">
        <v>117</v>
      </c>
      <c r="I62" s="13">
        <v>0.8</v>
      </c>
      <c r="J62" s="13">
        <v>0.8</v>
      </c>
      <c r="K62" s="13">
        <v>0.8</v>
      </c>
      <c r="L62" s="13">
        <v>0.8</v>
      </c>
      <c r="M62" s="13"/>
      <c r="N62" s="13"/>
      <c r="O62" s="13"/>
      <c r="P62" s="13"/>
      <c r="Q62" s="13"/>
      <c r="R62" s="32">
        <f>SUM(FR_CH3[[#This Row],[26M04]:[26M06]])</f>
        <v>2.4000000000000004</v>
      </c>
      <c r="S62" s="79">
        <f>SUM(FR_CH3[[#This Row],[26M07]:[26M09]])</f>
        <v>0.8</v>
      </c>
      <c r="T62" s="79">
        <f>SUM(FR_CH3[[#This Row],[26M10]:[26M12]])</f>
        <v>0</v>
      </c>
      <c r="U62" s="85" t="str">
        <f>VLOOKUP(FR_CH3[[#This Row],[Product Line]],Prod_T6[],4,0)</f>
        <v>PV</v>
      </c>
    </row>
    <row r="63" spans="1:21" ht="14.25" customHeight="1">
      <c r="A63" s="29" t="s">
        <v>30</v>
      </c>
      <c r="B63" s="1" t="s">
        <v>188</v>
      </c>
      <c r="C63" s="3" t="s">
        <v>186</v>
      </c>
      <c r="D63" s="2" t="s">
        <v>54</v>
      </c>
      <c r="E63" s="2" t="s">
        <v>121</v>
      </c>
      <c r="F63" s="1" t="s">
        <v>120</v>
      </c>
      <c r="H63" s="15" t="s">
        <v>117</v>
      </c>
      <c r="I63" s="13">
        <v>1.2</v>
      </c>
      <c r="J63" s="13">
        <v>1.2</v>
      </c>
      <c r="K63" s="13">
        <v>2</v>
      </c>
      <c r="L63" s="13">
        <v>2</v>
      </c>
      <c r="M63" s="13">
        <v>0.2</v>
      </c>
      <c r="N63" s="13">
        <v>0.2</v>
      </c>
      <c r="O63" s="13">
        <v>0.2</v>
      </c>
      <c r="P63" s="13">
        <v>0.2</v>
      </c>
      <c r="Q63" s="13">
        <v>0.2</v>
      </c>
      <c r="R63" s="32"/>
      <c r="S63" s="79">
        <f>SUM(FR_CH3[[#This Row],[26M07]:[26M09]])</f>
        <v>2.4000000000000004</v>
      </c>
      <c r="T63" s="79">
        <f>SUM(FR_CH3[[#This Row],[26M10]:[26M12]])</f>
        <v>0.60000000000000009</v>
      </c>
      <c r="U63" s="85" t="str">
        <f>VLOOKUP(FR_CH3[[#This Row],[Product Line]],Prod_T6[],4,0)</f>
        <v>PV</v>
      </c>
    </row>
    <row r="64" spans="1:21" ht="14.25" customHeight="1">
      <c r="A64" s="29" t="s">
        <v>30</v>
      </c>
      <c r="B64" s="1" t="s">
        <v>185</v>
      </c>
      <c r="C64" s="3" t="s">
        <v>186</v>
      </c>
      <c r="D64" s="2" t="s">
        <v>54</v>
      </c>
      <c r="E64" s="2" t="s">
        <v>201</v>
      </c>
      <c r="F64" s="1" t="s">
        <v>120</v>
      </c>
      <c r="G64" s="2"/>
      <c r="H64" s="15" t="s">
        <v>117</v>
      </c>
      <c r="I64" s="2">
        <v>0.4</v>
      </c>
      <c r="J64" s="2">
        <v>0.4</v>
      </c>
      <c r="K64" s="2">
        <v>0.4</v>
      </c>
      <c r="L64" s="2">
        <v>0.4</v>
      </c>
      <c r="M64" s="2">
        <v>0.4</v>
      </c>
      <c r="N64" s="2">
        <v>0</v>
      </c>
      <c r="O64" s="2">
        <v>0</v>
      </c>
      <c r="P64" s="2">
        <v>0</v>
      </c>
      <c r="Q64" s="2">
        <v>0</v>
      </c>
      <c r="R64" s="32">
        <f>SUM(FR_CH3[[#This Row],[26M04]:[26M06]])</f>
        <v>1.2000000000000002</v>
      </c>
      <c r="S64" s="79">
        <f>SUM(FR_CH3[[#This Row],[26M07]:[26M09]])</f>
        <v>0.8</v>
      </c>
      <c r="T64" s="110">
        <f>SUM(FR_CH3[[#This Row],[26M10]:[26M12]])</f>
        <v>0</v>
      </c>
      <c r="U64" s="85" t="str">
        <f>VLOOKUP(FR_CH3[[#This Row],[Product Line]],Prod_T6[],4,0)</f>
        <v>PV</v>
      </c>
    </row>
    <row r="65" spans="1:21" ht="14.25" customHeight="1">
      <c r="A65" s="29" t="s">
        <v>30</v>
      </c>
      <c r="B65" s="1" t="s">
        <v>185</v>
      </c>
      <c r="C65" s="3" t="s">
        <v>186</v>
      </c>
      <c r="D65" s="2" t="s">
        <v>54</v>
      </c>
      <c r="E65" s="2" t="s">
        <v>121</v>
      </c>
      <c r="F65" s="1" t="s">
        <v>120</v>
      </c>
      <c r="G65" s="2"/>
      <c r="H65" s="15" t="s">
        <v>117</v>
      </c>
      <c r="I65" s="2">
        <v>0.4</v>
      </c>
      <c r="J65" s="2">
        <v>0.8</v>
      </c>
      <c r="K65" s="2">
        <v>0.8</v>
      </c>
      <c r="L65" s="2">
        <v>0.8</v>
      </c>
      <c r="M65" s="13">
        <v>0.4</v>
      </c>
      <c r="N65" s="13">
        <v>0.4</v>
      </c>
      <c r="O65" s="13">
        <v>0.4</v>
      </c>
      <c r="P65" s="13">
        <v>0.4</v>
      </c>
      <c r="Q65" s="13">
        <v>0.4</v>
      </c>
      <c r="R65" s="32">
        <f>SUM(FR_CH3[[#This Row],[26M04]:[26M06]])</f>
        <v>2</v>
      </c>
      <c r="S65" s="79">
        <f>SUM(FR_CH3[[#This Row],[26M07]:[26M09]])</f>
        <v>1.6</v>
      </c>
      <c r="T65" s="110">
        <f>SUM(FR_CH3[[#This Row],[26M10]:[26M12]])</f>
        <v>1.2000000000000002</v>
      </c>
      <c r="U65" s="85" t="str">
        <f>VLOOKUP(FR_CH3[[#This Row],[Product Line]],Prod_T6[],4,0)</f>
        <v>PV</v>
      </c>
    </row>
    <row r="66" spans="1:21" ht="14.25" customHeight="1">
      <c r="A66" s="29" t="s">
        <v>30</v>
      </c>
      <c r="B66" s="1" t="s">
        <v>200</v>
      </c>
      <c r="C66" s="3" t="s">
        <v>186</v>
      </c>
      <c r="D66" s="2" t="s">
        <v>54</v>
      </c>
      <c r="E66" s="2" t="s">
        <v>201</v>
      </c>
      <c r="F66" s="1" t="s">
        <v>120</v>
      </c>
      <c r="H66" s="40" t="s">
        <v>132</v>
      </c>
      <c r="I66" s="13">
        <v>0.8</v>
      </c>
      <c r="J66" s="13">
        <v>0.8</v>
      </c>
      <c r="K66" s="13">
        <v>0.8</v>
      </c>
      <c r="L66" s="13">
        <v>0.8</v>
      </c>
      <c r="M66" s="13">
        <v>0.8</v>
      </c>
      <c r="N66" s="13">
        <v>0</v>
      </c>
      <c r="O66" s="13">
        <v>0</v>
      </c>
      <c r="P66" s="13">
        <v>0</v>
      </c>
      <c r="Q66" s="13">
        <v>0</v>
      </c>
      <c r="R66" s="32">
        <f>SUM(FR_CH3[[#This Row],[26M04]:[26M06]])</f>
        <v>2.4000000000000004</v>
      </c>
      <c r="S66" s="79">
        <f>SUM(FR_CH3[[#This Row],[26M07]:[26M09]])</f>
        <v>1.6</v>
      </c>
      <c r="T66" s="79">
        <f>SUM(FR_CH3[[#This Row],[26M10]:[26M12]])</f>
        <v>0</v>
      </c>
      <c r="U66" s="85" t="str">
        <f>VLOOKUP(FR_CH3[[#This Row],[Product Line]],Prod_T6[],4,0)</f>
        <v>PV</v>
      </c>
    </row>
    <row r="67" spans="1:21" ht="14.25" customHeight="1">
      <c r="A67" s="29" t="s">
        <v>30</v>
      </c>
      <c r="B67" s="1" t="s">
        <v>200</v>
      </c>
      <c r="C67" s="3" t="s">
        <v>186</v>
      </c>
      <c r="D67" s="2" t="s">
        <v>54</v>
      </c>
      <c r="E67" s="2" t="s">
        <v>121</v>
      </c>
      <c r="F67" s="1" t="s">
        <v>120</v>
      </c>
      <c r="H67" s="40" t="s">
        <v>117</v>
      </c>
      <c r="I67" s="13">
        <v>0.8</v>
      </c>
      <c r="J67" s="13">
        <v>0.8</v>
      </c>
      <c r="K67" s="13">
        <v>0.8</v>
      </c>
      <c r="L67" s="13">
        <v>0.8</v>
      </c>
      <c r="M67" s="13">
        <v>0.4</v>
      </c>
      <c r="N67" s="13">
        <v>0.4</v>
      </c>
      <c r="O67" s="13">
        <v>0.4</v>
      </c>
      <c r="P67" s="13">
        <v>0.4</v>
      </c>
      <c r="Q67" s="13">
        <v>0.4</v>
      </c>
      <c r="R67" s="32">
        <f>SUM(FR_CH3[[#This Row],[26M04]:[26M06]])</f>
        <v>2.4000000000000004</v>
      </c>
      <c r="S67" s="79">
        <f>SUM(FR_CH3[[#This Row],[26M07]:[26M09]])</f>
        <v>1.6</v>
      </c>
      <c r="T67" s="79">
        <f>SUM(FR_CH3[[#This Row],[26M10]:[26M12]])</f>
        <v>1.2000000000000002</v>
      </c>
      <c r="U67" s="85" t="str">
        <f>VLOOKUP(FR_CH3[[#This Row],[Product Line]],Prod_T6[],4,0)</f>
        <v>PV</v>
      </c>
    </row>
    <row r="68" spans="1:21" ht="14.25" customHeight="1">
      <c r="A68" s="29" t="s">
        <v>30</v>
      </c>
      <c r="B68" s="1" t="s">
        <v>199</v>
      </c>
      <c r="C68" s="3" t="s">
        <v>186</v>
      </c>
      <c r="D68" s="2" t="s">
        <v>149</v>
      </c>
      <c r="E68" s="2" t="s">
        <v>1243</v>
      </c>
      <c r="F68" s="1" t="s">
        <v>120</v>
      </c>
      <c r="H68" s="15" t="s">
        <v>117</v>
      </c>
      <c r="I68" s="13"/>
      <c r="J68" s="13"/>
      <c r="K68" s="13"/>
      <c r="L68" s="13"/>
      <c r="M68" s="13"/>
      <c r="N68" s="13"/>
      <c r="O68" s="13">
        <v>0.8</v>
      </c>
      <c r="P68" s="13">
        <v>1.2</v>
      </c>
      <c r="Q68" s="13">
        <v>1.2</v>
      </c>
      <c r="R68" s="32">
        <v>1.2</v>
      </c>
      <c r="S68" s="79">
        <f>SUM(FR_CH3[[#This Row],[26M07]:[26M09]])</f>
        <v>0</v>
      </c>
      <c r="T68" s="79">
        <f>SUM(FR_CH3[[#This Row],[26M10]:[26M12]])</f>
        <v>3.2</v>
      </c>
      <c r="U68" s="85" t="str">
        <f>VLOOKUP(FR_CH3[[#This Row],[Product Line]],Prod_T6[],4,0)</f>
        <v>PV</v>
      </c>
    </row>
    <row r="69" spans="1:21" ht="14.25" customHeight="1">
      <c r="A69" s="29" t="s">
        <v>30</v>
      </c>
      <c r="B69" s="1" t="s">
        <v>198</v>
      </c>
      <c r="C69" s="3" t="s">
        <v>186</v>
      </c>
      <c r="D69" s="2" t="s">
        <v>149</v>
      </c>
      <c r="E69" s="2" t="s">
        <v>1243</v>
      </c>
      <c r="F69" s="1" t="s">
        <v>120</v>
      </c>
      <c r="H69" s="15" t="s">
        <v>132</v>
      </c>
      <c r="I69" s="13"/>
      <c r="J69" s="13"/>
      <c r="K69" s="13"/>
      <c r="L69" s="13"/>
      <c r="M69" s="13"/>
      <c r="N69" s="13"/>
      <c r="O69" s="13">
        <v>0.8</v>
      </c>
      <c r="P69" s="13">
        <v>1.2</v>
      </c>
      <c r="Q69" s="13">
        <v>1.2</v>
      </c>
      <c r="R69" s="32">
        <f>SUM(FR_CH3[[#This Row],[26M04]:[26M06]])</f>
        <v>0</v>
      </c>
      <c r="S69" s="79">
        <f>SUM(FR_CH3[[#This Row],[26M07]:[26M09]])</f>
        <v>0</v>
      </c>
      <c r="T69" s="79">
        <f>SUM(FR_CH3[[#This Row],[26M10]:[26M12]])</f>
        <v>3.2</v>
      </c>
      <c r="U69" s="85" t="str">
        <f>VLOOKUP(FR_CH3[[#This Row],[Product Line]],Prod_T6[],4,0)</f>
        <v>PV</v>
      </c>
    </row>
    <row r="70" spans="1:21" ht="14.25" customHeight="1">
      <c r="A70" s="29" t="s">
        <v>30</v>
      </c>
      <c r="B70" s="1" t="s">
        <v>185</v>
      </c>
      <c r="C70" s="3" t="s">
        <v>186</v>
      </c>
      <c r="D70" s="2" t="s">
        <v>197</v>
      </c>
      <c r="E70" s="2" t="s">
        <v>59</v>
      </c>
      <c r="F70" s="1" t="s">
        <v>120</v>
      </c>
      <c r="H70" s="15" t="s">
        <v>117</v>
      </c>
      <c r="I70" s="13"/>
      <c r="J70" s="13"/>
      <c r="K70" s="13"/>
      <c r="L70" s="13"/>
      <c r="M70" s="13"/>
      <c r="N70" s="13"/>
      <c r="O70" s="13"/>
      <c r="P70" s="13"/>
      <c r="Q70" s="13"/>
      <c r="R70" s="32">
        <f>SUM(FR_CH3[[#This Row],[26M04]:[26M06]])</f>
        <v>0</v>
      </c>
      <c r="S70" s="79">
        <f>SUM(FR_CH3[[#This Row],[26M07]:[26M09]])</f>
        <v>0</v>
      </c>
      <c r="T70" s="79">
        <f>SUM(FR_CH3[[#This Row],[26M10]:[26M12]])</f>
        <v>0</v>
      </c>
      <c r="U70" s="85" t="str">
        <f>VLOOKUP(FR_CH3[[#This Row],[Product Line]],Prod_T6[],4,0)</f>
        <v>ESS</v>
      </c>
    </row>
    <row r="71" spans="1:21" ht="14.25" customHeight="1">
      <c r="A71" s="29" t="s">
        <v>30</v>
      </c>
      <c r="B71" s="1" t="s">
        <v>191</v>
      </c>
      <c r="C71" s="3" t="s">
        <v>192</v>
      </c>
      <c r="D71" s="2" t="s">
        <v>54</v>
      </c>
      <c r="E71" s="2" t="s">
        <v>193</v>
      </c>
      <c r="F71" s="1" t="s">
        <v>115</v>
      </c>
      <c r="H71" s="15" t="s">
        <v>117</v>
      </c>
      <c r="I71" s="13"/>
      <c r="J71" s="13"/>
      <c r="K71" s="13"/>
      <c r="L71" s="13"/>
      <c r="M71" s="13"/>
      <c r="N71" s="13"/>
      <c r="O71" s="13">
        <v>2</v>
      </c>
      <c r="P71" s="13"/>
      <c r="Q71" s="13"/>
      <c r="R71" s="32">
        <f>SUM(FR_CH3[[#This Row],[26M04]:[26M06]])</f>
        <v>0</v>
      </c>
      <c r="S71" s="79">
        <f>SUM(FR_CH3[[#This Row],[26M07]:[26M09]])</f>
        <v>0</v>
      </c>
      <c r="T71" s="79">
        <f>SUM(FR_CH3[[#This Row],[26M10]:[26M12]])</f>
        <v>2</v>
      </c>
      <c r="U71" s="85" t="str">
        <f>VLOOKUP(FR_CH3[[#This Row],[Product Line]],Prod_T6[],4,0)</f>
        <v>PV</v>
      </c>
    </row>
    <row r="72" spans="1:21" ht="14.25" customHeight="1">
      <c r="A72" s="29" t="s">
        <v>30</v>
      </c>
      <c r="B72" s="1" t="s">
        <v>190</v>
      </c>
      <c r="C72" s="3" t="s">
        <v>186</v>
      </c>
      <c r="D72" s="2" t="s">
        <v>149</v>
      </c>
      <c r="E72" s="2" t="s">
        <v>1243</v>
      </c>
      <c r="F72" s="1" t="s">
        <v>120</v>
      </c>
      <c r="H72" s="15" t="s">
        <v>117</v>
      </c>
      <c r="I72" s="13"/>
      <c r="J72" s="13"/>
      <c r="K72" s="13"/>
      <c r="L72" s="13"/>
      <c r="M72" s="13"/>
      <c r="N72" s="13"/>
      <c r="O72" s="13"/>
      <c r="P72" s="13"/>
      <c r="Q72" s="13"/>
      <c r="R72" s="32">
        <f>SUM(FR_CH3[[#This Row],[26M04]:[26M06]])</f>
        <v>0</v>
      </c>
      <c r="S72" s="79">
        <f>SUM(FR_CH3[[#This Row],[26M07]:[26M09]])</f>
        <v>0</v>
      </c>
      <c r="T72" s="79">
        <f>SUM(FR_CH3[[#This Row],[26M10]:[26M12]])</f>
        <v>0</v>
      </c>
      <c r="U72" s="85" t="str">
        <f>VLOOKUP(FR_CH3[[#This Row],[Product Line]],Prod_T6[],4,0)</f>
        <v>PV</v>
      </c>
    </row>
    <row r="73" spans="1:21" ht="14.25" customHeight="1">
      <c r="A73" s="29" t="s">
        <v>30</v>
      </c>
      <c r="B73" s="1" t="s">
        <v>189</v>
      </c>
      <c r="C73" s="3" t="s">
        <v>186</v>
      </c>
      <c r="D73" s="2" t="s">
        <v>149</v>
      </c>
      <c r="E73" s="2" t="s">
        <v>1243</v>
      </c>
      <c r="F73" s="1" t="s">
        <v>120</v>
      </c>
      <c r="H73" s="15" t="s">
        <v>117</v>
      </c>
      <c r="I73" s="13"/>
      <c r="J73" s="13"/>
      <c r="K73" s="13"/>
      <c r="L73" s="13"/>
      <c r="M73" s="13"/>
      <c r="N73" s="13"/>
      <c r="O73" s="13">
        <v>1.2</v>
      </c>
      <c r="P73" s="13">
        <v>1.2</v>
      </c>
      <c r="Q73" s="13">
        <v>1.2</v>
      </c>
      <c r="R73" s="32">
        <f>SUM(FR_CH3[[#This Row],[26M04]:[26M06]])</f>
        <v>0</v>
      </c>
      <c r="S73" s="79">
        <f>SUM(FR_CH3[[#This Row],[26M07]:[26M09]])</f>
        <v>0</v>
      </c>
      <c r="T73" s="79">
        <f>SUM(FR_CH3[[#This Row],[26M10]:[26M12]])</f>
        <v>3.5999999999999996</v>
      </c>
      <c r="U73" s="85" t="str">
        <f>VLOOKUP(FR_CH3[[#This Row],[Product Line]],Prod_T6[],4,0)</f>
        <v>PV</v>
      </c>
    </row>
    <row r="74" spans="1:21" ht="14.25" customHeight="1">
      <c r="A74" s="29" t="s">
        <v>30</v>
      </c>
      <c r="B74" s="1" t="s">
        <v>188</v>
      </c>
      <c r="C74" s="3" t="s">
        <v>186</v>
      </c>
      <c r="D74" s="2" t="s">
        <v>149</v>
      </c>
      <c r="E74" s="2" t="s">
        <v>1243</v>
      </c>
      <c r="F74" s="1" t="s">
        <v>120</v>
      </c>
      <c r="H74" s="15" t="s">
        <v>117</v>
      </c>
      <c r="I74" s="13"/>
      <c r="J74" s="13"/>
      <c r="K74" s="13"/>
      <c r="L74" s="13"/>
      <c r="M74" s="13"/>
      <c r="N74" s="13">
        <v>0.8</v>
      </c>
      <c r="O74" s="13">
        <v>0.8</v>
      </c>
      <c r="P74" s="13">
        <v>0.8</v>
      </c>
      <c r="Q74" s="13">
        <v>0.8</v>
      </c>
      <c r="R74" s="32">
        <f>SUM(FR_CH3[[#This Row],[26M04]:[26M06]])</f>
        <v>0</v>
      </c>
      <c r="S74" s="79">
        <f>SUM(FR_CH3[[#This Row],[26M07]:[26M09]])</f>
        <v>0.8</v>
      </c>
      <c r="T74" s="79">
        <f>SUM(FR_CH3[[#This Row],[26M10]:[26M12]])</f>
        <v>2.4000000000000004</v>
      </c>
      <c r="U74" s="85" t="str">
        <f>VLOOKUP(FR_CH3[[#This Row],[Product Line]],Prod_T6[],4,0)</f>
        <v>PV</v>
      </c>
    </row>
    <row r="75" spans="1:21" ht="14.25" customHeight="1">
      <c r="A75" s="29" t="s">
        <v>30</v>
      </c>
      <c r="B75" s="1" t="s">
        <v>185</v>
      </c>
      <c r="C75" s="3" t="s">
        <v>186</v>
      </c>
      <c r="D75" s="2" t="s">
        <v>149</v>
      </c>
      <c r="E75" s="2" t="s">
        <v>1243</v>
      </c>
      <c r="F75" s="1" t="s">
        <v>120</v>
      </c>
      <c r="H75" s="15" t="s">
        <v>117</v>
      </c>
      <c r="I75" s="13"/>
      <c r="J75" s="13"/>
      <c r="K75" s="13"/>
      <c r="L75" s="13"/>
      <c r="M75" s="13"/>
      <c r="N75" s="13">
        <v>0.4</v>
      </c>
      <c r="O75" s="13">
        <v>0.8</v>
      </c>
      <c r="P75" s="13">
        <v>0.8</v>
      </c>
      <c r="Q75" s="13">
        <v>0.8</v>
      </c>
      <c r="R75" s="32">
        <f>SUM(FR_CH3[[#This Row],[26M04]:[26M06]])</f>
        <v>0</v>
      </c>
      <c r="S75" s="79">
        <f>SUM(FR_CH3[[#This Row],[26M07]:[26M09]])</f>
        <v>0.4</v>
      </c>
      <c r="T75" s="79">
        <f>SUM(FR_CH3[[#This Row],[26M10]:[26M12]])</f>
        <v>2.4000000000000004</v>
      </c>
      <c r="U75" s="85" t="str">
        <f>VLOOKUP(FR_CH3[[#This Row],[Product Line]],Prod_T6[],4,0)</f>
        <v>PV</v>
      </c>
    </row>
    <row r="76" spans="1:21" ht="14.25" customHeight="1">
      <c r="A76" s="29" t="s">
        <v>30</v>
      </c>
      <c r="B76" s="1" t="s">
        <v>200</v>
      </c>
      <c r="C76" s="3" t="s">
        <v>186</v>
      </c>
      <c r="D76" s="2" t="s">
        <v>197</v>
      </c>
      <c r="E76" s="2" t="s">
        <v>59</v>
      </c>
      <c r="F76" s="1" t="s">
        <v>120</v>
      </c>
      <c r="H76" s="15" t="s">
        <v>117</v>
      </c>
      <c r="I76" s="13"/>
      <c r="J76" s="13"/>
      <c r="K76" s="13"/>
      <c r="L76" s="13"/>
      <c r="M76" s="13"/>
      <c r="N76" s="13"/>
      <c r="O76" s="13"/>
      <c r="P76" s="13"/>
      <c r="Q76" s="13"/>
      <c r="R76" s="32">
        <f>SUM(FR_CH3[[#This Row],[26M04]:[26M06]])</f>
        <v>0</v>
      </c>
      <c r="S76" s="79">
        <f>SUM(FR_CH3[[#This Row],[26M07]:[26M09]])</f>
        <v>0</v>
      </c>
      <c r="T76" s="79">
        <f>SUM(FR_CH3[[#This Row],[26M10]:[26M12]])</f>
        <v>0</v>
      </c>
      <c r="U76" s="85" t="str">
        <f>VLOOKUP(FR_CH3[[#This Row],[Product Line]],Prod_T6[],4,0)</f>
        <v>ESS</v>
      </c>
    </row>
    <row r="77" spans="1:21" ht="16.5" customHeight="1">
      <c r="A77" s="29" t="s">
        <v>30</v>
      </c>
      <c r="B77" s="1" t="s">
        <v>203</v>
      </c>
      <c r="C77" s="3" t="s">
        <v>651</v>
      </c>
      <c r="D77" s="2" t="s">
        <v>149</v>
      </c>
      <c r="E77" s="2" t="s">
        <v>1243</v>
      </c>
      <c r="F77" s="1" t="s">
        <v>634</v>
      </c>
      <c r="G77" s="1" t="s">
        <v>652</v>
      </c>
      <c r="H77" s="40" t="s">
        <v>117</v>
      </c>
      <c r="I77" s="13"/>
      <c r="J77" s="13"/>
      <c r="K77" s="13"/>
      <c r="L77" s="13"/>
      <c r="M77" s="13"/>
      <c r="N77" s="13">
        <v>20</v>
      </c>
      <c r="O77" s="13"/>
      <c r="P77" s="13"/>
      <c r="Q77" s="13"/>
      <c r="R77" s="32">
        <f>SUM(FR_CH3[[#This Row],[26M04]:[26M06]])</f>
        <v>0</v>
      </c>
      <c r="S77" s="79">
        <f>SUM(FR_CH3[[#This Row],[26M07]:[26M09]])</f>
        <v>20</v>
      </c>
      <c r="T77" s="79">
        <f>SUM(FR_CH3[[#This Row],[26M10]:[26M12]])</f>
        <v>0</v>
      </c>
      <c r="U77" s="85" t="str">
        <f>VLOOKUP(FR_CH3[[#This Row],[Product Line]],Prod_T6[],4,0)</f>
        <v>PV</v>
      </c>
    </row>
    <row r="78" spans="1:21" ht="14.25" customHeight="1">
      <c r="A78" s="29" t="s">
        <v>30</v>
      </c>
      <c r="B78" s="1" t="s">
        <v>203</v>
      </c>
      <c r="C78" s="3" t="s">
        <v>192</v>
      </c>
      <c r="D78" s="2" t="s">
        <v>149</v>
      </c>
      <c r="E78" s="2" t="s">
        <v>1243</v>
      </c>
      <c r="F78" s="1" t="s">
        <v>115</v>
      </c>
      <c r="G78" s="1" t="s">
        <v>228</v>
      </c>
      <c r="H78" s="15" t="s">
        <v>117</v>
      </c>
      <c r="I78" s="13"/>
      <c r="J78" s="13"/>
      <c r="K78" s="13"/>
      <c r="L78" s="13"/>
      <c r="M78" s="13"/>
      <c r="N78" s="13"/>
      <c r="O78" s="13"/>
      <c r="P78" s="13"/>
      <c r="Q78" s="13">
        <v>5</v>
      </c>
      <c r="R78" s="32">
        <f>SUM(FR_CH3[[#This Row],[26M04]:[26M06]])</f>
        <v>0</v>
      </c>
      <c r="S78" s="79">
        <f>SUM(FR_CH3[[#This Row],[26M07]:[26M09]])</f>
        <v>0</v>
      </c>
      <c r="T78" s="79">
        <f>SUM(FR_CH3[[#This Row],[26M10]:[26M12]])</f>
        <v>5</v>
      </c>
      <c r="U78" s="85" t="str">
        <f>VLOOKUP(FR_CH3[[#This Row],[Product Line]],Prod_T6[],4,0)</f>
        <v>PV</v>
      </c>
    </row>
    <row r="79" spans="1:21" ht="14.25" customHeight="1">
      <c r="A79" s="29" t="s">
        <v>30</v>
      </c>
      <c r="B79" s="1" t="s">
        <v>203</v>
      </c>
      <c r="C79" s="3" t="s">
        <v>1242</v>
      </c>
      <c r="D79" s="2" t="s">
        <v>149</v>
      </c>
      <c r="E79" s="2" t="s">
        <v>1243</v>
      </c>
      <c r="F79" s="1" t="s">
        <v>115</v>
      </c>
      <c r="G79" s="1" t="s">
        <v>209</v>
      </c>
      <c r="H79" s="15" t="s">
        <v>117</v>
      </c>
      <c r="I79" s="13"/>
      <c r="J79" s="13"/>
      <c r="K79" s="13"/>
      <c r="L79" s="13"/>
      <c r="M79" s="13"/>
      <c r="N79" s="13"/>
      <c r="O79" s="13">
        <v>2</v>
      </c>
      <c r="P79" s="32">
        <v>2</v>
      </c>
      <c r="Q79" s="79">
        <v>2</v>
      </c>
      <c r="R79" s="32">
        <f>SUM(FR_CH3[[#This Row],[26M04]:[26M06]])</f>
        <v>0</v>
      </c>
      <c r="S79" s="79">
        <f>SUM(FR_CH3[[#This Row],[26M07]:[26M09]])</f>
        <v>0</v>
      </c>
      <c r="T79" s="79">
        <f>SUM(FR_CH3[[#This Row],[26M10]:[26M12]])</f>
        <v>6</v>
      </c>
      <c r="U79" s="85" t="str">
        <f>VLOOKUP(FR_CH3[[#This Row],[Product Line]],Prod_T6[],4,0)</f>
        <v>PV</v>
      </c>
    </row>
    <row r="80" spans="1:21" ht="14.25" customHeight="1">
      <c r="A80" s="29" t="s">
        <v>30</v>
      </c>
      <c r="B80" s="1" t="s">
        <v>203</v>
      </c>
      <c r="C80" s="3" t="s">
        <v>1242</v>
      </c>
      <c r="D80" s="2" t="s">
        <v>149</v>
      </c>
      <c r="E80" s="2" t="s">
        <v>1243</v>
      </c>
      <c r="F80" s="1" t="s">
        <v>115</v>
      </c>
      <c r="G80" s="1" t="s">
        <v>226</v>
      </c>
      <c r="H80" s="40" t="s">
        <v>117</v>
      </c>
      <c r="I80" s="13"/>
      <c r="J80" s="13"/>
      <c r="K80" s="13"/>
      <c r="L80" s="13"/>
      <c r="M80" s="13"/>
      <c r="N80" s="13"/>
      <c r="O80" s="13"/>
      <c r="P80" s="32">
        <v>10</v>
      </c>
      <c r="Q80" s="138">
        <v>10</v>
      </c>
      <c r="R80" s="32">
        <f>SUM(FR_CH3[[#This Row],[26M04]:[26M06]])</f>
        <v>0</v>
      </c>
      <c r="S80" s="79">
        <f>SUM(FR_CH3[[#This Row],[26M07]:[26M09]])</f>
        <v>0</v>
      </c>
      <c r="T80" s="79">
        <f>SUM(FR_CH3[[#This Row],[26M10]:[26M12]])</f>
        <v>20</v>
      </c>
      <c r="U80" s="85" t="str">
        <f>VLOOKUP(FR_CH3[[#This Row],[Product Line]],Prod_T6[],4,0)</f>
        <v>PV</v>
      </c>
    </row>
    <row r="81" spans="1:21" ht="14.25" customHeight="1">
      <c r="A81" s="29" t="s">
        <v>30</v>
      </c>
      <c r="B81" s="1" t="s">
        <v>224</v>
      </c>
      <c r="C81" s="3" t="s">
        <v>192</v>
      </c>
      <c r="D81" s="2" t="s">
        <v>197</v>
      </c>
      <c r="E81" s="2" t="s">
        <v>60</v>
      </c>
      <c r="F81" s="1" t="s">
        <v>120</v>
      </c>
      <c r="H81" s="40" t="s">
        <v>117</v>
      </c>
      <c r="I81" s="13"/>
      <c r="J81" s="13">
        <v>4</v>
      </c>
      <c r="K81" s="13"/>
      <c r="L81" s="13"/>
      <c r="M81" s="13">
        <v>4</v>
      </c>
      <c r="N81" s="13"/>
      <c r="O81" s="13">
        <v>4</v>
      </c>
      <c r="P81" s="13">
        <v>4</v>
      </c>
      <c r="Q81" s="13"/>
      <c r="R81" s="32">
        <f>SUM(FR_CH3[[#This Row],[26M04]:[26M06]])</f>
        <v>4</v>
      </c>
      <c r="S81" s="79">
        <f>SUM(FR_CH3[[#This Row],[26M07]:[26M09]])</f>
        <v>4</v>
      </c>
      <c r="T81" s="79">
        <f>SUM(FR_CH3[[#This Row],[26M10]:[26M12]])</f>
        <v>8</v>
      </c>
      <c r="U81" s="85" t="str">
        <f>VLOOKUP(FR_CH3[[#This Row],[Product Line]],Prod_T6[],4,0)</f>
        <v>ESS</v>
      </c>
    </row>
    <row r="82" spans="1:21" ht="14.25" customHeight="1">
      <c r="A82" s="29" t="s">
        <v>30</v>
      </c>
      <c r="B82" s="1" t="s">
        <v>224</v>
      </c>
      <c r="C82" s="3" t="s">
        <v>192</v>
      </c>
      <c r="D82" s="2" t="s">
        <v>197</v>
      </c>
      <c r="E82" s="2" t="s">
        <v>62</v>
      </c>
      <c r="F82" s="1" t="s">
        <v>120</v>
      </c>
      <c r="H82" s="40" t="s">
        <v>117</v>
      </c>
      <c r="I82" s="13"/>
      <c r="J82" s="13"/>
      <c r="K82" s="13">
        <v>3</v>
      </c>
      <c r="L82" s="13"/>
      <c r="M82" s="13"/>
      <c r="N82" s="13"/>
      <c r="O82" s="13">
        <v>4</v>
      </c>
      <c r="P82" s="13"/>
      <c r="Q82" s="13"/>
      <c r="R82" s="32">
        <f>SUM(FR_CH3[[#This Row],[26M04]:[26M06]])</f>
        <v>3</v>
      </c>
      <c r="S82" s="79">
        <f>SUM(FR_CH3[[#This Row],[26M07]:[26M09]])</f>
        <v>0</v>
      </c>
      <c r="T82" s="79">
        <f>SUM(FR_CH3[[#This Row],[26M10]:[26M12]])</f>
        <v>4</v>
      </c>
      <c r="U82" s="85" t="str">
        <f>VLOOKUP(FR_CH3[[#This Row],[Product Line]],Prod_T6[],4,0)</f>
        <v>ESS</v>
      </c>
    </row>
    <row r="83" spans="1:21" ht="14.25" customHeight="1">
      <c r="A83" s="29" t="s">
        <v>30</v>
      </c>
      <c r="B83" s="1" t="s">
        <v>203</v>
      </c>
      <c r="C83" s="3" t="s">
        <v>223</v>
      </c>
      <c r="D83" s="2" t="s">
        <v>149</v>
      </c>
      <c r="E83" s="2" t="s">
        <v>1243</v>
      </c>
      <c r="F83" s="1" t="s">
        <v>115</v>
      </c>
      <c r="H83" s="40" t="s">
        <v>117</v>
      </c>
      <c r="I83" s="13"/>
      <c r="J83" s="13"/>
      <c r="K83" s="13"/>
      <c r="L83" s="13"/>
      <c r="M83" s="13"/>
      <c r="N83" s="13"/>
      <c r="O83" s="13">
        <v>5</v>
      </c>
      <c r="P83" s="13"/>
      <c r="Q83" s="13"/>
      <c r="R83" s="32">
        <f>SUM(FR_CH3[[#This Row],[26M04]:[26M06]])</f>
        <v>0</v>
      </c>
      <c r="S83" s="79">
        <f>SUM(FR_CH3[[#This Row],[26M07]:[26M09]])</f>
        <v>0</v>
      </c>
      <c r="T83" s="79">
        <f>SUM(FR_CH3[[#This Row],[26M10]:[26M12]])</f>
        <v>5</v>
      </c>
      <c r="U83" s="120" t="str">
        <f>VLOOKUP(FR_CH3[[#This Row],[Product Line]],Prod_T6[],4,0)</f>
        <v>PV</v>
      </c>
    </row>
    <row r="84" spans="1:21" ht="14.25" customHeight="1">
      <c r="A84" s="29" t="s">
        <v>30</v>
      </c>
      <c r="B84" s="1" t="s">
        <v>203</v>
      </c>
      <c r="C84" s="3" t="s">
        <v>222</v>
      </c>
      <c r="D84" s="2" t="s">
        <v>141</v>
      </c>
      <c r="E84" s="2" t="s">
        <v>46</v>
      </c>
      <c r="F84" s="1" t="s">
        <v>156</v>
      </c>
      <c r="H84" s="40" t="s">
        <v>117</v>
      </c>
      <c r="I84" s="13"/>
      <c r="J84" s="13"/>
      <c r="K84" s="13"/>
      <c r="L84" s="13"/>
      <c r="M84" s="13"/>
      <c r="N84" s="13">
        <v>1</v>
      </c>
      <c r="O84" s="13"/>
      <c r="P84" s="13"/>
      <c r="Q84" s="13"/>
      <c r="R84" s="32">
        <f>SUM(FR_CH3[[#This Row],[26M04]:[26M06]])</f>
        <v>0</v>
      </c>
      <c r="S84" s="79">
        <f>SUM(FR_CH3[[#This Row],[26M07]:[26M09]])</f>
        <v>1</v>
      </c>
      <c r="T84" s="79">
        <f>SUM(FR_CH3[[#This Row],[26M10]:[26M12]])</f>
        <v>0</v>
      </c>
      <c r="U84" s="120" t="str">
        <f>VLOOKUP(FR_CH3[[#This Row],[Product Line]],Prod_T6[],4,0)</f>
        <v>ESS</v>
      </c>
    </row>
    <row r="85" spans="1:21" ht="14.25" customHeight="1">
      <c r="A85" s="29" t="s">
        <v>30</v>
      </c>
      <c r="B85" s="1" t="s">
        <v>188</v>
      </c>
      <c r="C85" s="3" t="s">
        <v>212</v>
      </c>
      <c r="D85" s="2" t="s">
        <v>141</v>
      </c>
      <c r="E85" s="2" t="s">
        <v>46</v>
      </c>
      <c r="F85" s="1" t="s">
        <v>120</v>
      </c>
      <c r="H85" s="40" t="s">
        <v>117</v>
      </c>
      <c r="I85" s="13"/>
      <c r="J85" s="13"/>
      <c r="K85" s="13"/>
      <c r="L85" s="13"/>
      <c r="M85" s="156">
        <v>1</v>
      </c>
      <c r="N85" s="13"/>
      <c r="O85" s="13"/>
      <c r="P85" s="13"/>
      <c r="Q85" s="13"/>
      <c r="R85" s="32">
        <f>SUM(FR_CH3[[#This Row],[26M04]:[26M06]])</f>
        <v>0</v>
      </c>
      <c r="S85" s="79">
        <f>SUM(FR_CH3[[#This Row],[26M07]:[26M09]])</f>
        <v>1</v>
      </c>
      <c r="T85" s="79">
        <f>SUM(FR_CH3[[#This Row],[26M10]:[26M12]])</f>
        <v>0</v>
      </c>
      <c r="U85" s="120" t="str">
        <f>VLOOKUP(FR_CH3[[#This Row],[Product Line]],Prod_T6[],4,0)</f>
        <v>ESS</v>
      </c>
    </row>
    <row r="86" spans="1:21" ht="14.25" customHeight="1">
      <c r="A86" s="29" t="s">
        <v>30</v>
      </c>
      <c r="B86" s="1" t="s">
        <v>189</v>
      </c>
      <c r="C86" s="3" t="s">
        <v>221</v>
      </c>
      <c r="D86" s="2" t="s">
        <v>141</v>
      </c>
      <c r="E86" s="2" t="s">
        <v>46</v>
      </c>
      <c r="F86" s="1" t="s">
        <v>136</v>
      </c>
      <c r="H86" s="40" t="s">
        <v>117</v>
      </c>
      <c r="I86" s="13"/>
      <c r="J86" s="13"/>
      <c r="K86" s="13"/>
      <c r="L86" s="13"/>
      <c r="M86" s="13"/>
      <c r="N86" s="156">
        <v>1</v>
      </c>
      <c r="O86" s="13"/>
      <c r="P86" s="13"/>
      <c r="Q86" s="13"/>
      <c r="R86" s="32">
        <f>SUM(FR_CH3[[#This Row],[26M04]:[26M06]])</f>
        <v>0</v>
      </c>
      <c r="S86" s="79">
        <f>SUM(FR_CH3[[#This Row],[26M07]:[26M09]])</f>
        <v>1</v>
      </c>
      <c r="T86" s="79">
        <f>SUM(FR_CH3[[#This Row],[26M10]:[26M12]])</f>
        <v>0</v>
      </c>
      <c r="U86" s="120" t="str">
        <f>VLOOKUP(FR_CH3[[#This Row],[Product Line]],Prod_T6[],4,0)</f>
        <v>ESS</v>
      </c>
    </row>
    <row r="87" spans="1:21" ht="14.25" customHeight="1">
      <c r="A87" s="29" t="s">
        <v>30</v>
      </c>
      <c r="B87" s="1" t="s">
        <v>198</v>
      </c>
      <c r="C87" s="3" t="s">
        <v>220</v>
      </c>
      <c r="D87" s="2" t="s">
        <v>141</v>
      </c>
      <c r="E87" s="2" t="s">
        <v>46</v>
      </c>
      <c r="F87" s="1" t="s">
        <v>115</v>
      </c>
      <c r="H87" s="40" t="s">
        <v>117</v>
      </c>
      <c r="I87" s="13"/>
      <c r="J87" s="13"/>
      <c r="K87" s="13"/>
      <c r="L87" s="13"/>
      <c r="M87" s="13"/>
      <c r="N87" s="156">
        <v>1</v>
      </c>
      <c r="O87" s="13"/>
      <c r="P87" s="13"/>
      <c r="Q87" s="13"/>
      <c r="R87" s="32">
        <f>SUM(FR_CH3[[#This Row],[26M04]:[26M06]])</f>
        <v>0</v>
      </c>
      <c r="S87" s="79">
        <f>SUM(FR_CH3[[#This Row],[26M07]:[26M09]])</f>
        <v>1</v>
      </c>
      <c r="T87" s="79">
        <f>SUM(FR_CH3[[#This Row],[26M10]:[26M12]])</f>
        <v>0</v>
      </c>
      <c r="U87" s="120" t="str">
        <f>VLOOKUP(FR_CH3[[#This Row],[Product Line]],Prod_T6[],4,0)</f>
        <v>ESS</v>
      </c>
    </row>
    <row r="88" spans="1:21" ht="14.25" customHeight="1">
      <c r="A88" s="29" t="s">
        <v>30</v>
      </c>
      <c r="B88" s="1" t="s">
        <v>203</v>
      </c>
      <c r="C88" s="3" t="s">
        <v>218</v>
      </c>
      <c r="D88" s="2" t="s">
        <v>141</v>
      </c>
      <c r="E88" s="2" t="s">
        <v>50</v>
      </c>
      <c r="F88" s="1" t="s">
        <v>213</v>
      </c>
      <c r="H88" s="40" t="s">
        <v>117</v>
      </c>
      <c r="I88" s="13"/>
      <c r="J88" s="13"/>
      <c r="K88" s="13"/>
      <c r="L88" s="13"/>
      <c r="M88" s="13"/>
      <c r="N88" s="13"/>
      <c r="O88" s="13"/>
      <c r="P88" s="13"/>
      <c r="Q88" s="13">
        <v>6</v>
      </c>
      <c r="R88" s="32">
        <f>SUM(FR_CH3[[#This Row],[26M04]:[26M06]])</f>
        <v>0</v>
      </c>
      <c r="S88" s="79">
        <f>SUM(FR_CH3[[#This Row],[26M07]:[26M09]])</f>
        <v>0</v>
      </c>
      <c r="T88" s="79">
        <f>SUM(FR_CH3[[#This Row],[26M10]:[26M12]])</f>
        <v>6</v>
      </c>
      <c r="U88" s="120" t="str">
        <f>VLOOKUP(FR_CH3[[#This Row],[Product Line]],Prod_T6[],4,0)</f>
        <v>ESS</v>
      </c>
    </row>
    <row r="89" spans="1:21" ht="14.25" customHeight="1">
      <c r="A89" s="29" t="s">
        <v>30</v>
      </c>
      <c r="B89" s="1" t="s">
        <v>217</v>
      </c>
      <c r="C89" s="3" t="s">
        <v>192</v>
      </c>
      <c r="D89" s="2" t="s">
        <v>141</v>
      </c>
      <c r="E89" s="2" t="s">
        <v>46</v>
      </c>
      <c r="F89" s="1" t="s">
        <v>115</v>
      </c>
      <c r="H89" s="40" t="s">
        <v>117</v>
      </c>
      <c r="I89" s="13"/>
      <c r="J89" s="13"/>
      <c r="K89" s="13"/>
      <c r="L89" s="13"/>
      <c r="M89" s="13"/>
      <c r="N89" s="13"/>
      <c r="O89" s="13"/>
      <c r="P89" s="13">
        <v>1</v>
      </c>
      <c r="Q89" s="13"/>
      <c r="R89" s="32">
        <f>SUM(FR_CH3[[#This Row],[26M04]:[26M06]])</f>
        <v>0</v>
      </c>
      <c r="S89" s="79">
        <f>SUM(FR_CH3[[#This Row],[26M07]:[26M09]])</f>
        <v>0</v>
      </c>
      <c r="T89" s="79">
        <f>SUM(FR_CH3[[#This Row],[26M10]:[26M12]])</f>
        <v>1</v>
      </c>
      <c r="U89" s="120" t="str">
        <f>VLOOKUP(FR_CH3[[#This Row],[Product Line]],Prod_T6[],4,0)</f>
        <v>ESS</v>
      </c>
    </row>
    <row r="90" spans="1:21" ht="14.25" customHeight="1">
      <c r="A90" s="29" t="s">
        <v>30</v>
      </c>
      <c r="B90" s="1" t="s">
        <v>198</v>
      </c>
      <c r="C90" s="3" t="s">
        <v>216</v>
      </c>
      <c r="D90" s="2" t="s">
        <v>141</v>
      </c>
      <c r="E90" s="2" t="s">
        <v>46</v>
      </c>
      <c r="F90" s="1" t="s">
        <v>213</v>
      </c>
      <c r="H90" s="40" t="s">
        <v>117</v>
      </c>
      <c r="I90" s="13"/>
      <c r="J90" s="13"/>
      <c r="K90" s="13"/>
      <c r="L90" s="13"/>
      <c r="M90" s="13"/>
      <c r="N90" s="13"/>
      <c r="O90" s="13"/>
      <c r="P90" s="13"/>
      <c r="Q90" s="13">
        <v>1</v>
      </c>
      <c r="R90" s="32">
        <f>SUM(FR_CH3[[#This Row],[26M04]:[26M06]])</f>
        <v>0</v>
      </c>
      <c r="S90" s="79">
        <f>SUM(FR_CH3[[#This Row],[26M07]:[26M09]])</f>
        <v>0</v>
      </c>
      <c r="T90" s="79">
        <f>SUM(FR_CH3[[#This Row],[26M10]:[26M12]])</f>
        <v>1</v>
      </c>
      <c r="U90" s="120" t="str">
        <f>VLOOKUP(FR_CH3[[#This Row],[Product Line]],Prod_T6[],4,0)</f>
        <v>ESS</v>
      </c>
    </row>
    <row r="91" spans="1:21" ht="14.25" customHeight="1">
      <c r="A91" s="29" t="s">
        <v>30</v>
      </c>
      <c r="B91" s="1" t="s">
        <v>188</v>
      </c>
      <c r="C91" s="3" t="s">
        <v>215</v>
      </c>
      <c r="D91" s="2" t="s">
        <v>141</v>
      </c>
      <c r="E91" s="2" t="s">
        <v>46</v>
      </c>
      <c r="F91" s="1" t="s">
        <v>213</v>
      </c>
      <c r="H91" s="40" t="s">
        <v>117</v>
      </c>
      <c r="I91" s="13"/>
      <c r="J91" s="13"/>
      <c r="K91" s="13"/>
      <c r="L91" s="13"/>
      <c r="M91" s="13"/>
      <c r="N91" s="13"/>
      <c r="O91" s="13"/>
      <c r="P91" s="13"/>
      <c r="Q91" s="13">
        <v>1</v>
      </c>
      <c r="R91" s="32">
        <f>SUM(FR_CH3[[#This Row],[26M04]:[26M06]])</f>
        <v>0</v>
      </c>
      <c r="S91" s="79">
        <f>SUM(FR_CH3[[#This Row],[26M07]:[26M09]])</f>
        <v>0</v>
      </c>
      <c r="T91" s="79">
        <f>SUM(FR_CH3[[#This Row],[26M10]:[26M12]])</f>
        <v>1</v>
      </c>
      <c r="U91" s="120" t="str">
        <f>VLOOKUP(FR_CH3[[#This Row],[Product Line]],Prod_T6[],4,0)</f>
        <v>ESS</v>
      </c>
    </row>
    <row r="92" spans="1:21" ht="14.25" customHeight="1">
      <c r="A92" s="29" t="s">
        <v>30</v>
      </c>
      <c r="B92" s="1" t="s">
        <v>189</v>
      </c>
      <c r="C92" s="3" t="s">
        <v>214</v>
      </c>
      <c r="D92" s="2" t="s">
        <v>141</v>
      </c>
      <c r="E92" s="2" t="s">
        <v>46</v>
      </c>
      <c r="F92" s="1" t="s">
        <v>213</v>
      </c>
      <c r="H92" s="40" t="s">
        <v>117</v>
      </c>
      <c r="I92" s="13"/>
      <c r="J92" s="13"/>
      <c r="K92" s="13"/>
      <c r="L92" s="13"/>
      <c r="M92" s="13"/>
      <c r="N92" s="13"/>
      <c r="O92" s="13"/>
      <c r="P92" s="13"/>
      <c r="Q92" s="13">
        <v>1</v>
      </c>
      <c r="R92" s="32">
        <f>SUM(FR_CH3[[#This Row],[26M04]:[26M06]])</f>
        <v>0</v>
      </c>
      <c r="S92" s="79">
        <f>SUM(FR_CH3[[#This Row],[26M07]:[26M09]])</f>
        <v>0</v>
      </c>
      <c r="T92" s="79">
        <f>SUM(FR_CH3[[#This Row],[26M10]:[26M12]])</f>
        <v>1</v>
      </c>
      <c r="U92" s="120" t="str">
        <f>VLOOKUP(FR_CH3[[#This Row],[Product Line]],Prod_T6[],4,0)</f>
        <v>ESS</v>
      </c>
    </row>
    <row r="93" spans="1:21" ht="14.25" customHeight="1">
      <c r="A93" s="29" t="s">
        <v>30</v>
      </c>
      <c r="B93" s="1" t="s">
        <v>188</v>
      </c>
      <c r="C93" s="3" t="s">
        <v>212</v>
      </c>
      <c r="D93" s="2" t="s">
        <v>141</v>
      </c>
      <c r="E93" s="2" t="s">
        <v>46</v>
      </c>
      <c r="F93" s="1" t="s">
        <v>213</v>
      </c>
      <c r="H93" s="40" t="s">
        <v>117</v>
      </c>
      <c r="I93" s="13"/>
      <c r="J93" s="13"/>
      <c r="K93" s="13"/>
      <c r="L93" s="13"/>
      <c r="M93" s="13"/>
      <c r="N93" s="13"/>
      <c r="O93" s="13"/>
      <c r="P93" s="13"/>
      <c r="Q93" s="13">
        <v>8</v>
      </c>
      <c r="R93" s="32">
        <f>SUM(FR_CH3[[#This Row],[26M04]:[26M06]])</f>
        <v>0</v>
      </c>
      <c r="S93" s="79">
        <f>SUM(FR_CH3[[#This Row],[26M07]:[26M09]])</f>
        <v>0</v>
      </c>
      <c r="T93" s="79">
        <f>SUM(FR_CH3[[#This Row],[26M10]:[26M12]])</f>
        <v>8</v>
      </c>
      <c r="U93" s="120" t="str">
        <f>VLOOKUP(FR_CH3[[#This Row],[Product Line]],Prod_T6[],4,0)</f>
        <v>ESS</v>
      </c>
    </row>
    <row r="94" spans="1:21" ht="14.25" customHeight="1">
      <c r="A94" s="29" t="s">
        <v>30</v>
      </c>
      <c r="B94" s="1" t="s">
        <v>211</v>
      </c>
      <c r="C94" s="3" t="s">
        <v>186</v>
      </c>
      <c r="D94" s="2" t="s">
        <v>197</v>
      </c>
      <c r="E94" s="2" t="s">
        <v>63</v>
      </c>
      <c r="F94" s="1" t="s">
        <v>120</v>
      </c>
      <c r="H94" s="40" t="s">
        <v>117</v>
      </c>
      <c r="I94" s="13"/>
      <c r="J94" s="13"/>
      <c r="K94" s="13"/>
      <c r="L94" s="13">
        <v>80</v>
      </c>
      <c r="M94" s="13">
        <v>60</v>
      </c>
      <c r="N94" s="13">
        <v>120</v>
      </c>
      <c r="O94" s="13">
        <v>120</v>
      </c>
      <c r="P94" s="13">
        <v>80</v>
      </c>
      <c r="Q94" s="13">
        <v>120</v>
      </c>
      <c r="R94" s="32">
        <v>120</v>
      </c>
      <c r="S94" s="79">
        <f>SUM(FR_CH3[[#This Row],[26M07]:[26M09]])</f>
        <v>260</v>
      </c>
      <c r="T94" s="79">
        <f>SUM(FR_CH3[[#This Row],[26M10]:[26M12]])</f>
        <v>320</v>
      </c>
      <c r="U94" s="85" t="str">
        <f>VLOOKUP(FR_CH3[[#This Row],[Product Line]],Prod_T6[],4,0)</f>
        <v>ESS</v>
      </c>
    </row>
    <row r="95" spans="1:21" ht="14.25" customHeight="1">
      <c r="A95" s="29" t="s">
        <v>30</v>
      </c>
      <c r="B95" s="1" t="s">
        <v>200</v>
      </c>
      <c r="C95" s="3" t="s">
        <v>186</v>
      </c>
      <c r="D95" s="2" t="s">
        <v>149</v>
      </c>
      <c r="E95" s="2" t="s">
        <v>1243</v>
      </c>
      <c r="F95" s="1" t="s">
        <v>120</v>
      </c>
      <c r="H95" s="15" t="s">
        <v>117</v>
      </c>
      <c r="I95" s="13"/>
      <c r="J95" s="13"/>
      <c r="K95" s="13"/>
      <c r="L95" s="13"/>
      <c r="M95" s="13"/>
      <c r="N95" s="13"/>
      <c r="O95" s="13">
        <v>0.8</v>
      </c>
      <c r="P95" s="13">
        <v>1.2</v>
      </c>
      <c r="Q95" s="13">
        <v>1.2</v>
      </c>
      <c r="R95" s="32">
        <f>SUM(FR_CH3[[#This Row],[26M04]:[26M06]])</f>
        <v>0</v>
      </c>
      <c r="S95" s="79">
        <f>SUM(FR_CH3[[#This Row],[26M07]:[26M09]])</f>
        <v>0</v>
      </c>
      <c r="T95" s="79">
        <f>SUM(FR_CH3[[#This Row],[26M10]:[26M12]])</f>
        <v>3.2</v>
      </c>
      <c r="U95" s="85" t="str">
        <f>VLOOKUP(FR_CH3[[#This Row],[Product Line]],Prod_T6[],4,0)</f>
        <v>PV</v>
      </c>
    </row>
    <row r="97" ht="15" customHeight="1"/>
    <row r="110" ht="17.25" customHeight="1"/>
  </sheetData>
  <autoFilter ref="C96" xr:uid="{32574F2C-9DC8-4C09-83F9-B865747F1FF1}"/>
  <phoneticPr fontId="58" type="noConversion"/>
  <dataValidations count="4">
    <dataValidation type="list" allowBlank="1" showInputMessage="1" showErrorMessage="1" sqref="D10:D36 C37:D38 C9:D9 D6:D8 D95 D83:D93 D39:D80" xr:uid="{23609915-356E-420A-A39E-2F9D908863EA}">
      <formula1>Product_List</formula1>
    </dataValidation>
    <dataValidation type="list" allowBlank="1" showInputMessage="1" showErrorMessage="1" sqref="B6:B65 B83:B93 E6:E95 B77:B80" xr:uid="{B827FC92-A6AA-4994-8D32-8C74C8187790}">
      <formula1>INDIRECT(A6)</formula1>
    </dataValidation>
    <dataValidation type="list" allowBlank="1" showInputMessage="1" showErrorMessage="1" sqref="A6:A95" xr:uid="{21ACC425-6C1C-49EC-B60D-F9D965A43873}">
      <formula1>Country_List</formula1>
    </dataValidation>
    <dataValidation type="list" allowBlank="1" showInputMessage="1" showErrorMessage="1" sqref="F6:F95" xr:uid="{F641DCEA-63F9-4D73-A1DA-948DC3ACB672}">
      <formula1>Stage_List</formula1>
    </dataValidation>
  </dataValidations>
  <pageMargins left="0.70866141732283505" right="0.70866141732283505" top="0.74803149606299202" bottom="0.74803149606299202" header="0.31496062992126" footer="0.31496062992126"/>
  <pageSetup paperSize="9" scale="52" orientation="landscape"/>
  <legacyDrawing r:id="rId1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7F734-A96B-4894-A498-4B0BC7C267C3}">
  <dimension ref="D2:S19"/>
  <sheetViews>
    <sheetView workbookViewId="0">
      <selection activeCell="D23" sqref="D23"/>
    </sheetView>
  </sheetViews>
  <sheetFormatPr defaultColWidth="9.08984375" defaultRowHeight="14"/>
  <cols>
    <col min="6" max="6" width="11.6328125" bestFit="1" customWidth="1"/>
  </cols>
  <sheetData>
    <row r="2" spans="4:19" ht="78">
      <c r="D2" s="143" t="s">
        <v>1</v>
      </c>
      <c r="E2" s="144" t="s">
        <v>92</v>
      </c>
      <c r="F2" s="144" t="s">
        <v>3</v>
      </c>
      <c r="G2" s="143" t="s">
        <v>28</v>
      </c>
      <c r="H2" s="144" t="s">
        <v>5</v>
      </c>
      <c r="I2" s="145" t="s">
        <v>93</v>
      </c>
      <c r="J2" s="146" t="s">
        <v>94</v>
      </c>
      <c r="K2" s="147" t="s">
        <v>95</v>
      </c>
      <c r="L2" s="147" t="s">
        <v>96</v>
      </c>
      <c r="M2" s="147" t="s">
        <v>97</v>
      </c>
      <c r="N2" s="147" t="s">
        <v>98</v>
      </c>
      <c r="O2" s="147" t="s">
        <v>99</v>
      </c>
      <c r="P2" s="147" t="s">
        <v>100</v>
      </c>
      <c r="Q2" s="147" t="s">
        <v>34</v>
      </c>
      <c r="R2" s="147" t="s">
        <v>101</v>
      </c>
      <c r="S2" s="147" t="s">
        <v>36</v>
      </c>
    </row>
    <row r="3" spans="4:19" ht="14.5">
      <c r="D3" s="140" t="s">
        <v>365</v>
      </c>
      <c r="E3" s="148" t="s">
        <v>369</v>
      </c>
      <c r="F3" s="149" t="s">
        <v>314</v>
      </c>
      <c r="G3" s="140" t="s">
        <v>372</v>
      </c>
      <c r="H3" s="149" t="s">
        <v>136</v>
      </c>
      <c r="I3" s="140"/>
      <c r="J3" s="40" t="s">
        <v>117</v>
      </c>
      <c r="K3" s="150"/>
      <c r="L3" s="150">
        <v>6</v>
      </c>
      <c r="M3" s="150">
        <v>8</v>
      </c>
      <c r="N3" s="150">
        <v>6</v>
      </c>
      <c r="O3" s="150">
        <v>1</v>
      </c>
      <c r="P3" s="150">
        <v>4</v>
      </c>
      <c r="Q3" s="150"/>
      <c r="R3" s="150"/>
      <c r="S3" s="150"/>
    </row>
    <row r="4" spans="4:19" ht="14.5">
      <c r="D4" s="1" t="s">
        <v>365</v>
      </c>
      <c r="E4" s="3" t="s">
        <v>369</v>
      </c>
      <c r="F4" s="2" t="s">
        <v>314</v>
      </c>
      <c r="G4" s="1" t="s">
        <v>315</v>
      </c>
      <c r="H4" s="2" t="s">
        <v>136</v>
      </c>
      <c r="I4" s="1"/>
      <c r="J4" s="40" t="s">
        <v>117</v>
      </c>
      <c r="K4" s="13">
        <v>5</v>
      </c>
      <c r="L4" s="13">
        <v>6</v>
      </c>
      <c r="M4" s="13">
        <v>6</v>
      </c>
      <c r="N4" s="13">
        <v>3</v>
      </c>
      <c r="O4" s="13">
        <v>1</v>
      </c>
      <c r="P4" s="13">
        <v>4</v>
      </c>
      <c r="Q4" s="13"/>
      <c r="R4" s="13"/>
      <c r="S4" s="13"/>
    </row>
    <row r="5" spans="4:19" ht="14.5">
      <c r="D5" s="140" t="s">
        <v>365</v>
      </c>
      <c r="E5" s="148" t="s">
        <v>369</v>
      </c>
      <c r="F5" s="149" t="s">
        <v>314</v>
      </c>
      <c r="G5" s="140" t="s">
        <v>648</v>
      </c>
      <c r="H5" s="149" t="s">
        <v>136</v>
      </c>
      <c r="I5" s="140"/>
      <c r="J5" s="40" t="s">
        <v>117</v>
      </c>
      <c r="K5" s="150">
        <v>5</v>
      </c>
      <c r="L5" s="150"/>
      <c r="M5" s="150"/>
      <c r="N5" s="150"/>
      <c r="O5" s="150"/>
      <c r="P5" s="150"/>
      <c r="Q5" s="150"/>
      <c r="R5" s="150"/>
      <c r="S5" s="150"/>
    </row>
    <row r="6" spans="4:19" ht="14.5">
      <c r="D6" s="1" t="s">
        <v>365</v>
      </c>
      <c r="E6" s="3" t="s">
        <v>369</v>
      </c>
      <c r="F6" s="2" t="s">
        <v>314</v>
      </c>
      <c r="G6" s="1" t="s">
        <v>373</v>
      </c>
      <c r="H6" s="2" t="s">
        <v>136</v>
      </c>
      <c r="I6" s="1"/>
      <c r="J6" s="40" t="s">
        <v>117</v>
      </c>
      <c r="K6" s="13">
        <v>3</v>
      </c>
      <c r="L6" s="13">
        <v>7</v>
      </c>
      <c r="M6" s="13">
        <v>5</v>
      </c>
      <c r="N6" s="13"/>
      <c r="O6" s="13"/>
      <c r="P6" s="13"/>
      <c r="Q6" s="13"/>
      <c r="R6" s="13"/>
      <c r="S6" s="13"/>
    </row>
    <row r="7" spans="4:19" ht="14.5">
      <c r="D7" s="140" t="s">
        <v>365</v>
      </c>
      <c r="E7" s="148" t="s">
        <v>369</v>
      </c>
      <c r="F7" s="149" t="s">
        <v>54</v>
      </c>
      <c r="G7" s="140" t="s">
        <v>129</v>
      </c>
      <c r="H7" s="149" t="s">
        <v>136</v>
      </c>
      <c r="I7" s="140"/>
      <c r="J7" s="40" t="s">
        <v>374</v>
      </c>
      <c r="K7" s="150"/>
      <c r="L7" s="150"/>
      <c r="M7" s="150"/>
      <c r="N7" s="150">
        <v>3</v>
      </c>
      <c r="O7" s="150"/>
      <c r="P7" s="150">
        <v>2</v>
      </c>
      <c r="Q7" s="150"/>
      <c r="R7" s="150"/>
      <c r="S7" s="150"/>
    </row>
    <row r="8" spans="4:19" ht="14.5">
      <c r="D8" s="1" t="s">
        <v>365</v>
      </c>
      <c r="E8" s="3" t="s">
        <v>369</v>
      </c>
      <c r="F8" s="2" t="s">
        <v>54</v>
      </c>
      <c r="G8" s="1" t="s">
        <v>121</v>
      </c>
      <c r="H8" s="2" t="s">
        <v>136</v>
      </c>
      <c r="I8" s="1"/>
      <c r="J8" s="40" t="s">
        <v>117</v>
      </c>
      <c r="K8" s="13">
        <v>2</v>
      </c>
      <c r="L8" s="13">
        <v>8</v>
      </c>
      <c r="M8" s="13">
        <v>6</v>
      </c>
      <c r="N8" s="13"/>
      <c r="O8" s="13"/>
      <c r="P8" s="13"/>
      <c r="Q8" s="13"/>
      <c r="R8" s="13"/>
      <c r="S8" s="13"/>
    </row>
    <row r="9" spans="4:19" ht="14.5">
      <c r="D9" s="140" t="s">
        <v>365</v>
      </c>
      <c r="E9" s="148" t="s">
        <v>369</v>
      </c>
      <c r="F9" s="149" t="s">
        <v>54</v>
      </c>
      <c r="G9" s="140" t="s">
        <v>160</v>
      </c>
      <c r="H9" s="149" t="s">
        <v>136</v>
      </c>
      <c r="I9" s="140"/>
      <c r="J9" s="40" t="s">
        <v>117</v>
      </c>
      <c r="K9" s="150">
        <v>2</v>
      </c>
      <c r="L9" s="150"/>
      <c r="M9" s="150"/>
      <c r="N9" s="150">
        <v>9</v>
      </c>
      <c r="O9" s="150">
        <v>2</v>
      </c>
      <c r="P9" s="150">
        <v>5</v>
      </c>
      <c r="Q9" s="150"/>
      <c r="R9" s="150"/>
      <c r="S9" s="150"/>
    </row>
    <row r="10" spans="4:19" ht="14.5">
      <c r="D10" s="1" t="s">
        <v>365</v>
      </c>
      <c r="E10" s="3" t="s">
        <v>369</v>
      </c>
      <c r="F10" s="2" t="s">
        <v>54</v>
      </c>
      <c r="G10" s="1" t="s">
        <v>166</v>
      </c>
      <c r="H10" s="2" t="s">
        <v>136</v>
      </c>
      <c r="I10" s="1"/>
      <c r="J10" s="40" t="s">
        <v>117</v>
      </c>
      <c r="K10" s="13"/>
      <c r="L10" s="13">
        <v>10</v>
      </c>
      <c r="M10" s="13">
        <v>6</v>
      </c>
      <c r="N10" s="13"/>
      <c r="O10" s="13"/>
      <c r="P10" s="13"/>
      <c r="Q10" s="13"/>
      <c r="R10" s="13"/>
      <c r="S10" s="13"/>
    </row>
    <row r="11" spans="4:19" ht="14.5">
      <c r="D11" s="140" t="s">
        <v>365</v>
      </c>
      <c r="E11" s="148" t="s">
        <v>369</v>
      </c>
      <c r="F11" s="149" t="s">
        <v>54</v>
      </c>
      <c r="G11" s="140" t="s">
        <v>297</v>
      </c>
      <c r="H11" s="149" t="s">
        <v>136</v>
      </c>
      <c r="I11" s="140"/>
      <c r="J11" s="40" t="s">
        <v>117</v>
      </c>
      <c r="K11" s="150"/>
      <c r="L11" s="150"/>
      <c r="M11" s="150"/>
      <c r="N11" s="150">
        <v>9</v>
      </c>
      <c r="O11" s="150">
        <v>2</v>
      </c>
      <c r="P11" s="150">
        <v>5</v>
      </c>
      <c r="Q11" s="150"/>
      <c r="R11" s="150"/>
      <c r="S11" s="150"/>
    </row>
    <row r="12" spans="4:19" ht="14.5">
      <c r="D12" s="1" t="s">
        <v>365</v>
      </c>
      <c r="E12" s="3" t="s">
        <v>369</v>
      </c>
      <c r="F12" s="2" t="s">
        <v>54</v>
      </c>
      <c r="G12" s="1" t="s">
        <v>170</v>
      </c>
      <c r="H12" s="2" t="s">
        <v>136</v>
      </c>
      <c r="I12" s="1"/>
      <c r="J12" s="40" t="s">
        <v>117</v>
      </c>
      <c r="K12" s="13">
        <v>2</v>
      </c>
      <c r="L12" s="13">
        <v>2</v>
      </c>
      <c r="M12" s="13"/>
      <c r="N12" s="13"/>
      <c r="O12" s="13"/>
      <c r="P12" s="13"/>
      <c r="Q12" s="13"/>
      <c r="R12" s="13"/>
      <c r="S12" s="13"/>
    </row>
    <row r="13" spans="4:19" ht="14.5">
      <c r="D13" s="140" t="s">
        <v>365</v>
      </c>
      <c r="E13" s="148" t="s">
        <v>369</v>
      </c>
      <c r="F13" s="149" t="s">
        <v>54</v>
      </c>
      <c r="G13" s="140" t="s">
        <v>126</v>
      </c>
      <c r="H13" s="149" t="s">
        <v>136</v>
      </c>
      <c r="I13" s="140"/>
      <c r="J13" s="40" t="s">
        <v>117</v>
      </c>
      <c r="K13" s="150"/>
      <c r="L13" s="150">
        <v>10</v>
      </c>
      <c r="M13" s="150">
        <v>5</v>
      </c>
      <c r="N13" s="150">
        <v>6</v>
      </c>
      <c r="O13" s="150"/>
      <c r="P13" s="150">
        <v>4</v>
      </c>
      <c r="Q13" s="150"/>
      <c r="R13" s="150"/>
      <c r="S13" s="150"/>
    </row>
    <row r="14" spans="4:19" ht="14.5">
      <c r="D14" s="1" t="s">
        <v>365</v>
      </c>
      <c r="E14" s="3" t="s">
        <v>369</v>
      </c>
      <c r="F14" s="2" t="s">
        <v>149</v>
      </c>
      <c r="G14" s="1" t="s">
        <v>1244</v>
      </c>
      <c r="H14" s="2" t="s">
        <v>136</v>
      </c>
      <c r="I14" s="1"/>
      <c r="J14" s="40" t="s">
        <v>374</v>
      </c>
      <c r="K14" s="13"/>
      <c r="L14" s="13"/>
      <c r="M14" s="13"/>
      <c r="N14" s="121">
        <v>0</v>
      </c>
      <c r="O14" s="13"/>
      <c r="P14" s="13">
        <v>2</v>
      </c>
      <c r="Q14" s="13"/>
      <c r="R14" s="13"/>
      <c r="S14" s="13"/>
    </row>
    <row r="15" spans="4:19" ht="14.5">
      <c r="D15" s="140" t="s">
        <v>365</v>
      </c>
      <c r="E15" s="148" t="s">
        <v>369</v>
      </c>
      <c r="F15" s="149" t="s">
        <v>149</v>
      </c>
      <c r="G15" s="140" t="s">
        <v>1245</v>
      </c>
      <c r="H15" s="149" t="s">
        <v>136</v>
      </c>
      <c r="I15" s="140"/>
      <c r="J15" s="40" t="s">
        <v>374</v>
      </c>
      <c r="K15" s="150"/>
      <c r="L15" s="150"/>
      <c r="M15" s="150"/>
      <c r="N15" s="121">
        <v>0</v>
      </c>
      <c r="O15" s="150"/>
      <c r="P15" s="150">
        <v>2</v>
      </c>
      <c r="Q15" s="150"/>
      <c r="R15" s="150"/>
      <c r="S15" s="150"/>
    </row>
    <row r="16" spans="4:19" ht="14.5">
      <c r="D16" s="1" t="s">
        <v>365</v>
      </c>
      <c r="E16" s="3" t="s">
        <v>369</v>
      </c>
      <c r="F16" s="2" t="s">
        <v>149</v>
      </c>
      <c r="G16" s="1" t="s">
        <v>1246</v>
      </c>
      <c r="H16" s="2" t="s">
        <v>136</v>
      </c>
      <c r="I16" s="1"/>
      <c r="J16" s="40" t="s">
        <v>374</v>
      </c>
      <c r="K16" s="13"/>
      <c r="L16" s="13"/>
      <c r="M16" s="13"/>
      <c r="N16" s="121">
        <v>0</v>
      </c>
      <c r="O16" s="13"/>
      <c r="P16" s="13">
        <v>5</v>
      </c>
      <c r="Q16" s="13"/>
      <c r="R16" s="13"/>
      <c r="S16" s="13"/>
    </row>
    <row r="17" spans="4:19" ht="14.5">
      <c r="D17" s="140" t="s">
        <v>365</v>
      </c>
      <c r="E17" s="148" t="s">
        <v>369</v>
      </c>
      <c r="F17" s="149" t="s">
        <v>113</v>
      </c>
      <c r="G17" s="140" t="s">
        <v>182</v>
      </c>
      <c r="H17" s="149" t="s">
        <v>136</v>
      </c>
      <c r="I17" s="140"/>
      <c r="J17" s="40" t="s">
        <v>374</v>
      </c>
      <c r="K17" s="150"/>
      <c r="L17" s="150"/>
      <c r="M17" s="150"/>
      <c r="N17" s="121">
        <v>6</v>
      </c>
      <c r="O17" s="150"/>
      <c r="P17" s="150">
        <v>4</v>
      </c>
      <c r="Q17" s="150"/>
      <c r="R17" s="150"/>
      <c r="S17" s="150"/>
    </row>
    <row r="18" spans="4:19" ht="14.5">
      <c r="D18" s="1" t="s">
        <v>365</v>
      </c>
      <c r="E18" s="3" t="s">
        <v>369</v>
      </c>
      <c r="F18" s="2" t="s">
        <v>113</v>
      </c>
      <c r="G18" s="1" t="s">
        <v>1247</v>
      </c>
      <c r="H18" s="2" t="s">
        <v>136</v>
      </c>
      <c r="I18" s="1"/>
      <c r="J18" s="40" t="s">
        <v>374</v>
      </c>
      <c r="K18" s="13"/>
      <c r="L18" s="13"/>
      <c r="M18" s="13"/>
      <c r="N18" s="13"/>
      <c r="O18" s="13"/>
      <c r="P18" s="13">
        <v>10</v>
      </c>
      <c r="Q18" s="13"/>
      <c r="R18" s="13"/>
      <c r="S18" s="13"/>
    </row>
    <row r="19" spans="4:19" ht="14.5">
      <c r="D19" s="140" t="s">
        <v>368</v>
      </c>
      <c r="E19" s="148" t="s">
        <v>369</v>
      </c>
      <c r="F19" s="149" t="s">
        <v>113</v>
      </c>
      <c r="G19" s="140" t="s">
        <v>182</v>
      </c>
      <c r="H19" s="149" t="s">
        <v>120</v>
      </c>
      <c r="I19" s="140" t="s">
        <v>370</v>
      </c>
      <c r="J19" s="40" t="s">
        <v>374</v>
      </c>
      <c r="K19" s="150"/>
      <c r="L19" s="150"/>
      <c r="M19" s="150"/>
      <c r="N19" s="150">
        <v>0</v>
      </c>
      <c r="O19" s="150">
        <v>3</v>
      </c>
      <c r="P19" s="150">
        <v>9</v>
      </c>
      <c r="Q19" s="150">
        <v>6</v>
      </c>
      <c r="R19" s="150"/>
      <c r="S19" s="150"/>
    </row>
  </sheetData>
  <phoneticPr fontId="65" type="noConversion"/>
  <dataValidations count="3">
    <dataValidation type="list" allowBlank="1" showInputMessage="1" showErrorMessage="1" sqref="G3:G19 D3:D19" xr:uid="{4EE969D8-A93B-4E45-905F-1EEA6E937409}">
      <formula1>INDIRECT(C3)</formula1>
    </dataValidation>
    <dataValidation type="list" allowBlank="1" showInputMessage="1" showErrorMessage="1" sqref="F3:F19" xr:uid="{36408FA1-AF04-40FA-9BAD-915AD54EB47E}">
      <formula1>Product_List</formula1>
    </dataValidation>
    <dataValidation type="list" allowBlank="1" showInputMessage="1" showErrorMessage="1" sqref="H3:H19" xr:uid="{8A120F61-4B36-4121-95DF-37731F7A22F0}">
      <formula1>Stage_List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1FB9C124E1754A8AA6BF2AA6679455" ma:contentTypeVersion="11" ma:contentTypeDescription="Create a new document." ma:contentTypeScope="" ma:versionID="70990ea2a1503e854dab526edb2d69e4">
  <xsd:schema xmlns:xsd="http://www.w3.org/2001/XMLSchema" xmlns:xs="http://www.w3.org/2001/XMLSchema" xmlns:p="http://schemas.microsoft.com/office/2006/metadata/properties" xmlns:ns2="2b3fffea-ccfa-4079-8527-8ee4d8b7d40d" xmlns:ns3="bab72da5-8012-4793-a6d2-7233248b2692" targetNamespace="http://schemas.microsoft.com/office/2006/metadata/properties" ma:root="true" ma:fieldsID="0931c770b1f3c730be6942b3e80ba4f7" ns2:_="" ns3:_="">
    <xsd:import namespace="2b3fffea-ccfa-4079-8527-8ee4d8b7d40d"/>
    <xsd:import namespace="bab72da5-8012-4793-a6d2-7233248b26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3fffea-ccfa-4079-8527-8ee4d8b7d4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b3c370a-f6a1-4133-bcf0-4563e56bd05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72da5-8012-4793-a6d2-7233248b269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c44e8a7-00da-4aaf-8490-27e29bd7e624}" ma:internalName="TaxCatchAll" ma:showField="CatchAllData" ma:web="bab72da5-8012-4793-a6d2-7233248b26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ab72da5-8012-4793-a6d2-7233248b2692" xsi:nil="true"/>
    <lcf76f155ced4ddcb4097134ff3c332f xmlns="2b3fffea-ccfa-4079-8527-8ee4d8b7d40d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D02CAF4A-EB36-4A47-9499-E066B5FC78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3fffea-ccfa-4079-8527-8ee4d8b7d40d"/>
    <ds:schemaRef ds:uri="bab72da5-8012-4793-a6d2-7233248b26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A66A20-16F7-43EF-B13E-DC594857470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0AC6DE-00A4-49B3-BDC3-681321F0CA14}">
  <ds:schemaRefs>
    <ds:schemaRef ds:uri="http://schemas.microsoft.com/office/2006/metadata/properties"/>
    <ds:schemaRef ds:uri="http://schemas.microsoft.com/office/infopath/2007/PartnerControls"/>
    <ds:schemaRef ds:uri="bab72da5-8012-4793-a6d2-7233248b2692"/>
    <ds:schemaRef ds:uri="2b3fffea-ccfa-4079-8527-8ee4d8b7d40d"/>
  </ds:schemaRefs>
</ds:datastoreItem>
</file>

<file path=customXml/itemProps4.xml><?xml version="1.0" encoding="utf-8"?>
<ds:datastoreItem xmlns:ds="http://schemas.openxmlformats.org/officeDocument/2006/customXml" ds:itemID="{32ECC6F2-C53F-4148-BE5F-E60F4A75984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43</vt:i4>
      </vt:variant>
    </vt:vector>
  </HeadingPairs>
  <TitlesOfParts>
    <vt:vector size="67" baseType="lpstr">
      <vt:lpstr>Pivot Weekly report</vt:lpstr>
      <vt:lpstr>Fcst Accuracy data</vt:lpstr>
      <vt:lpstr>Conso</vt:lpstr>
      <vt:lpstr>Country-Region</vt:lpstr>
      <vt:lpstr>Instructions</vt:lpstr>
      <vt:lpstr>Nordic</vt:lpstr>
      <vt:lpstr>BeNeLux</vt:lpstr>
      <vt:lpstr>UK</vt:lpstr>
      <vt:lpstr>Spain</vt:lpstr>
      <vt:lpstr>France + CH</vt:lpstr>
      <vt:lpstr>Central &amp; East EU</vt:lpstr>
      <vt:lpstr>ITaly</vt:lpstr>
      <vt:lpstr>ITaly-Backup</vt:lpstr>
      <vt:lpstr>DACH-Backup</vt:lpstr>
      <vt:lpstr>DACH</vt:lpstr>
      <vt:lpstr>Product List</vt:lpstr>
      <vt:lpstr>Customer List</vt:lpstr>
      <vt:lpstr>Stages and Status</vt:lpstr>
      <vt:lpstr>Central &amp; East EU-Backup</vt:lpstr>
      <vt:lpstr>Nordic-backup</vt:lpstr>
      <vt:lpstr>BeNeLux -backup</vt:lpstr>
      <vt:lpstr>Spain-bakcup</vt:lpstr>
      <vt:lpstr>France + CH-backup</vt:lpstr>
      <vt:lpstr>backup italy</vt:lpstr>
      <vt:lpstr>Austria</vt:lpstr>
      <vt:lpstr>Belgium</vt:lpstr>
      <vt:lpstr>Country_List</vt:lpstr>
      <vt:lpstr>Emerging_Markets</vt:lpstr>
      <vt:lpstr>ESS_SPR_Gen2</vt:lpstr>
      <vt:lpstr>ESS_TCL_CI</vt:lpstr>
      <vt:lpstr>ESS_TCL_Res</vt:lpstr>
      <vt:lpstr>France</vt:lpstr>
      <vt:lpstr>Germany</vt:lpstr>
      <vt:lpstr>Heat_Pump</vt:lpstr>
      <vt:lpstr>'BeNeLux -backup'!Incoterm_List</vt:lpstr>
      <vt:lpstr>'Central &amp; East EU-Backup'!Incoterm_List</vt:lpstr>
      <vt:lpstr>'DACH-Backup'!Incoterm_List</vt:lpstr>
      <vt:lpstr>'France + CH-backup'!Incoterm_List</vt:lpstr>
      <vt:lpstr>'ITaly-Backup'!Incoterm_List</vt:lpstr>
      <vt:lpstr>'Nordic-backup'!Incoterm_List</vt:lpstr>
      <vt:lpstr>'Spain-bakcup'!Incoterm_List</vt:lpstr>
      <vt:lpstr>Incoterm_List</vt:lpstr>
      <vt:lpstr>Italy</vt:lpstr>
      <vt:lpstr>Netherlands</vt:lpstr>
      <vt:lpstr>Nordic</vt:lpstr>
      <vt:lpstr>Product_List</vt:lpstr>
      <vt:lpstr>Spain</vt:lpstr>
      <vt:lpstr>SPR_BC</vt:lpstr>
      <vt:lpstr>SPR_M_Class</vt:lpstr>
      <vt:lpstr>SPR_MAX_P6</vt:lpstr>
      <vt:lpstr>SPR_P_Class</vt:lpstr>
      <vt:lpstr>SPR_P7</vt:lpstr>
      <vt:lpstr>'BeNeLux -backup'!Stage_List</vt:lpstr>
      <vt:lpstr>'Central &amp; East EU-Backup'!Stage_List</vt:lpstr>
      <vt:lpstr>'DACH-Backup'!Stage_List</vt:lpstr>
      <vt:lpstr>'France + CH-backup'!Stage_List</vt:lpstr>
      <vt:lpstr>'ITaly-Backup'!Stage_List</vt:lpstr>
      <vt:lpstr>'Nordic-backup'!Stage_List</vt:lpstr>
      <vt:lpstr>'Spain-bakcup'!Stage_List</vt:lpstr>
      <vt:lpstr>Stage_List</vt:lpstr>
      <vt:lpstr>Switzerland</vt:lpstr>
      <vt:lpstr>TCL_C2_Series</vt:lpstr>
      <vt:lpstr>TCL_E_Class</vt:lpstr>
      <vt:lpstr>TCL_S_Class</vt:lpstr>
      <vt:lpstr>TCL_T_Class</vt:lpstr>
      <vt:lpstr>TCL_T5_Pro</vt:lpstr>
      <vt:lpstr>UK</vt:lpstr>
    </vt:vector>
  </TitlesOfParts>
  <Manager/>
  <Company>TCL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Dawn</dc:creator>
  <cp:keywords/>
  <dc:description/>
  <cp:lastModifiedBy>Nan Shao 邵楠</cp:lastModifiedBy>
  <cp:revision/>
  <dcterms:created xsi:type="dcterms:W3CDTF">2018-02-02T07:57:00Z</dcterms:created>
  <dcterms:modified xsi:type="dcterms:W3CDTF">2026-09-27T19:45:11Z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24D70A134D4949B4EF3EDC67FB090654_43</vt:lpwstr>
  </property>
  <property fmtid="{D5CDD505-2E9C-101B-9397-08002B2CF9AE}" pid="3" name="KSOProductBuildVer">
    <vt:lpwstr>2052-7.2.2.8955</vt:lpwstr>
  </property>
  <property fmtid="{D5CDD505-2E9C-101B-9397-08002B2CF9AE}" pid="4" name="MSIP_Label_9e4371ff-6f72-4b84-8816-334be4e8faf0_Enabled">
    <vt:lpwstr>true</vt:lpwstr>
  </property>
  <property fmtid="{D5CDD505-2E9C-101B-9397-08002B2CF9AE}" pid="5" name="MSIP_Label_9e4371ff-6f72-4b84-8816-334be4e8faf0_SetDate">
    <vt:lpwstr>2025-05-28T12:27:06Z</vt:lpwstr>
  </property>
  <property fmtid="{D5CDD505-2E9C-101B-9397-08002B2CF9AE}" pid="6" name="MSIP_Label_9e4371ff-6f72-4b84-8816-334be4e8faf0_Method">
    <vt:lpwstr>Privileged</vt:lpwstr>
  </property>
  <property fmtid="{D5CDD505-2E9C-101B-9397-08002B2CF9AE}" pid="7" name="MSIP_Label_9e4371ff-6f72-4b84-8816-334be4e8faf0_Name">
    <vt:lpwstr>Confidential Data</vt:lpwstr>
  </property>
  <property fmtid="{D5CDD505-2E9C-101B-9397-08002B2CF9AE}" pid="8" name="MSIP_Label_9e4371ff-6f72-4b84-8816-334be4e8faf0_SiteId">
    <vt:lpwstr>ac8a6e24-a760-4d82-ac1b-f51cb55a9227</vt:lpwstr>
  </property>
  <property fmtid="{D5CDD505-2E9C-101B-9397-08002B2CF9AE}" pid="9" name="MSIP_Label_9e4371ff-6f72-4b84-8816-334be4e8faf0_ActionId">
    <vt:lpwstr>4e45a545-3934-4c5a-9f96-4f365a213661</vt:lpwstr>
  </property>
  <property fmtid="{D5CDD505-2E9C-101B-9397-08002B2CF9AE}" pid="10" name="MSIP_Label_9e4371ff-6f72-4b84-8816-334be4e8faf0_ContentBits">
    <vt:lpwstr>0</vt:lpwstr>
  </property>
  <property fmtid="{D5CDD505-2E9C-101B-9397-08002B2CF9AE}" pid="11" name="ContentTypeId">
    <vt:lpwstr>0x010100DB1FB9C124E1754A8AA6BF2AA6679455</vt:lpwstr>
  </property>
  <property fmtid="{D5CDD505-2E9C-101B-9397-08002B2CF9AE}" pid="12" name="MSIP_Label_defa4170-0d19-0005-0004-bc88714345d2_Enabled">
    <vt:lpwstr>true</vt:lpwstr>
  </property>
  <property fmtid="{D5CDD505-2E9C-101B-9397-08002B2CF9AE}" pid="13" name="MSIP_Label_defa4170-0d19-0005-0004-bc88714345d2_SetDate">
    <vt:lpwstr>2025-06-02T19:11:10Z</vt:lpwstr>
  </property>
  <property fmtid="{D5CDD505-2E9C-101B-9397-08002B2CF9AE}" pid="14" name="MSIP_Label_defa4170-0d19-0005-0004-bc88714345d2_Method">
    <vt:lpwstr>Standard</vt:lpwstr>
  </property>
  <property fmtid="{D5CDD505-2E9C-101B-9397-08002B2CF9AE}" pid="15" name="MSIP_Label_defa4170-0d19-0005-0004-bc88714345d2_Name">
    <vt:lpwstr>defa4170-0d19-0005-0004-bc88714345d2</vt:lpwstr>
  </property>
  <property fmtid="{D5CDD505-2E9C-101B-9397-08002B2CF9AE}" pid="16" name="MSIP_Label_defa4170-0d19-0005-0004-bc88714345d2_SiteId">
    <vt:lpwstr>4f5443a1-c98b-4415-9433-0790d384cbe3</vt:lpwstr>
  </property>
  <property fmtid="{D5CDD505-2E9C-101B-9397-08002B2CF9AE}" pid="17" name="MSIP_Label_defa4170-0d19-0005-0004-bc88714345d2_ActionId">
    <vt:lpwstr>82ef9d6f-eb64-4771-98a2-ad76b32a3f4c</vt:lpwstr>
  </property>
  <property fmtid="{D5CDD505-2E9C-101B-9397-08002B2CF9AE}" pid="18" name="MSIP_Label_defa4170-0d19-0005-0004-bc88714345d2_ContentBits">
    <vt:lpwstr>0</vt:lpwstr>
  </property>
  <property fmtid="{D5CDD505-2E9C-101B-9397-08002B2CF9AE}" pid="19" name="MediaServiceImageTags">
    <vt:lpwstr/>
  </property>
</Properties>
</file>